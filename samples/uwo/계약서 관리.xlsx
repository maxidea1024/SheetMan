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uwo\game\cms\xls\"/>
    </mc:Choice>
  </mc:AlternateContent>
  <xr:revisionPtr revIDLastSave="0" documentId="13_ncr:1_{78D60763-0C89-46F1-96AC-0211B12998B5}" xr6:coauthVersionLast="47" xr6:coauthVersionMax="47" xr10:uidLastSave="{00000000-0000-0000-0000-000000000000}"/>
  <bookViews>
    <workbookView xWindow="1305" yWindow="1770" windowWidth="28080" windowHeight="14535" xr2:uid="{F42C7B2A-41DD-4D0A-BD2B-F4ADBC03AA9C}"/>
  </bookViews>
  <sheets>
    <sheet name="RewardDropPool" sheetId="1" r:id="rId1"/>
  </sheets>
  <externalReferences>
    <externalReference r:id="rId2"/>
  </externalReferences>
  <definedNames>
    <definedName name="_xlnm._FilterDatabase" localSheetId="0" hidden="1">RewardDropPool!$A$7:$U$10452</definedName>
    <definedName name="RewardDropPool">RewardDropPool!$A$1:$J$8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3" i="1" l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G5" i="1" l="1"/>
  <c r="G4" i="1"/>
  <c r="E4" i="1" a="1"/>
  <c r="E4" i="1" s="1"/>
  <c r="E5" i="1" a="1"/>
  <c r="E5" i="1" s="1"/>
  <c r="E8" i="1"/>
  <c r="G8" i="1" s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267" i="1"/>
  <c r="G267" i="1"/>
  <c r="K266" i="1"/>
  <c r="G266" i="1"/>
  <c r="K265" i="1"/>
  <c r="G265" i="1"/>
  <c r="K248" i="1"/>
  <c r="G248" i="1"/>
  <c r="K247" i="1"/>
  <c r="G247" i="1"/>
  <c r="K246" i="1"/>
  <c r="G246" i="1"/>
  <c r="K244" i="1"/>
  <c r="G244" i="1"/>
  <c r="K243" i="1"/>
  <c r="G243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68" i="1"/>
  <c r="G268" i="1"/>
  <c r="K245" i="1"/>
  <c r="G245" i="1"/>
  <c r="K242" i="1"/>
  <c r="G242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Y10666" i="1"/>
  <c r="Z10666" i="1" s="1"/>
  <c r="AA10666" i="1" s="1"/>
  <c r="Y10605" i="1"/>
  <c r="Z10605" i="1" s="1"/>
  <c r="AA10605" i="1" s="1"/>
  <c r="Y10580" i="1"/>
  <c r="Z10580" i="1" s="1"/>
  <c r="AA10580" i="1" s="1"/>
  <c r="Y10579" i="1"/>
  <c r="Z10579" i="1" s="1"/>
  <c r="AA10579" i="1" s="1"/>
  <c r="Y10578" i="1"/>
  <c r="Z10578" i="1" s="1"/>
  <c r="AA10578" i="1" s="1"/>
  <c r="Y10577" i="1"/>
  <c r="Z10577" i="1" s="1"/>
  <c r="AA10577" i="1" s="1"/>
  <c r="Y10576" i="1"/>
  <c r="Z10576" i="1" s="1"/>
  <c r="AA10576" i="1" s="1"/>
  <c r="Y10575" i="1"/>
  <c r="Z10575" i="1" s="1"/>
  <c r="AA10575" i="1" s="1"/>
  <c r="Y10574" i="1"/>
  <c r="Z10574" i="1" s="1"/>
  <c r="AA10574" i="1" s="1"/>
  <c r="Y10573" i="1"/>
  <c r="Z10573" i="1" s="1"/>
  <c r="Y10572" i="1"/>
  <c r="Z10572" i="1" s="1"/>
  <c r="Y10571" i="1"/>
  <c r="Z10571" i="1" s="1"/>
  <c r="Y10570" i="1"/>
  <c r="Z10570" i="1" s="1"/>
  <c r="U10525" i="1"/>
  <c r="U10521" i="1"/>
  <c r="U10515" i="1"/>
  <c r="U10513" i="1"/>
  <c r="U10523" i="1"/>
  <c r="U10511" i="1"/>
  <c r="U10499" i="1"/>
  <c r="U10497" i="1"/>
  <c r="U10495" i="1"/>
  <c r="K8" i="1"/>
  <c r="L228" i="1" l="1"/>
  <c r="L233" i="1"/>
  <c r="L232" i="1"/>
  <c r="L231" i="1"/>
  <c r="L227" i="1"/>
  <c r="L230" i="1"/>
  <c r="L229" i="1"/>
  <c r="L226" i="1"/>
  <c r="L13" i="1"/>
  <c r="L288" i="1"/>
  <c r="L283" i="1"/>
  <c r="L289" i="1"/>
  <c r="L293" i="1"/>
  <c r="L302" i="1"/>
  <c r="L247" i="1"/>
  <c r="L279" i="1"/>
  <c r="L284" i="1"/>
  <c r="L332" i="1"/>
  <c r="L12" i="1"/>
  <c r="L245" i="1"/>
  <c r="L320" i="1"/>
  <c r="L286" i="1"/>
  <c r="L285" i="1"/>
  <c r="L255" i="1"/>
  <c r="L14" i="1"/>
  <c r="L20" i="1"/>
  <c r="L282" i="1"/>
  <c r="L292" i="1"/>
  <c r="U10506" i="1"/>
  <c r="U10502" i="1"/>
  <c r="U10508" i="1"/>
  <c r="U10517" i="1"/>
  <c r="U10504" i="1"/>
  <c r="U10524" i="1"/>
  <c r="U10526" i="1"/>
  <c r="U10654" i="1"/>
  <c r="U10493" i="1"/>
  <c r="U10538" i="1"/>
  <c r="U10653" i="1"/>
  <c r="U10522" i="1"/>
  <c r="U10512" i="1"/>
  <c r="U10520" i="1"/>
  <c r="L32" i="1"/>
  <c r="L23" i="1"/>
  <c r="L215" i="1"/>
  <c r="L211" i="1"/>
  <c r="L194" i="1"/>
  <c r="L224" i="1"/>
  <c r="L207" i="1"/>
  <c r="L190" i="1"/>
  <c r="L173" i="1"/>
  <c r="L169" i="1"/>
  <c r="L152" i="1"/>
  <c r="L135" i="1"/>
  <c r="L118" i="1"/>
  <c r="L101" i="1"/>
  <c r="L212" i="1"/>
  <c r="L195" i="1"/>
  <c r="L178" i="1"/>
  <c r="L221" i="1"/>
  <c r="L217" i="1"/>
  <c r="L200" i="1"/>
  <c r="L183" i="1"/>
  <c r="L166" i="1"/>
  <c r="L149" i="1"/>
  <c r="L145" i="1"/>
  <c r="L209" i="1"/>
  <c r="L205" i="1"/>
  <c r="L188" i="1"/>
  <c r="L171" i="1"/>
  <c r="L154" i="1"/>
  <c r="L137" i="1"/>
  <c r="L214" i="1"/>
  <c r="L197" i="1"/>
  <c r="L193" i="1"/>
  <c r="L176" i="1"/>
  <c r="L159" i="1"/>
  <c r="L219" i="1"/>
  <c r="L70" i="1"/>
  <c r="L177" i="1"/>
  <c r="L139" i="1"/>
  <c r="L73" i="1"/>
  <c r="L142" i="1"/>
  <c r="L39" i="1"/>
  <c r="L121" i="1"/>
  <c r="L88" i="1"/>
  <c r="L63" i="1"/>
  <c r="L58" i="1"/>
  <c r="L133" i="1"/>
  <c r="L128" i="1"/>
  <c r="L123" i="1"/>
  <c r="L116" i="1"/>
  <c r="L104" i="1"/>
  <c r="L97" i="1"/>
  <c r="L22" i="1"/>
  <c r="L111" i="1"/>
  <c r="L106" i="1"/>
  <c r="L99" i="1"/>
  <c r="L61" i="1"/>
  <c r="L56" i="1"/>
  <c r="L53" i="1"/>
  <c r="L50" i="1"/>
  <c r="L47" i="1"/>
  <c r="L125" i="1"/>
  <c r="L161" i="1"/>
  <c r="L157" i="1"/>
  <c r="L89" i="1"/>
  <c r="L77" i="1"/>
  <c r="L140" i="1"/>
  <c r="L87" i="1"/>
  <c r="L80" i="1"/>
  <c r="L143" i="1"/>
  <c r="L122" i="1"/>
  <c r="L85" i="1"/>
  <c r="L160" i="1"/>
  <c r="L105" i="1"/>
  <c r="L94" i="1"/>
  <c r="L92" i="1"/>
  <c r="L33" i="1"/>
  <c r="L38" i="1"/>
  <c r="L26" i="1"/>
  <c r="L16" i="1"/>
  <c r="L57" i="1"/>
  <c r="L46" i="1"/>
  <c r="L64" i="1"/>
  <c r="L45" i="1"/>
  <c r="L15" i="1"/>
  <c r="L10" i="1"/>
  <c r="L19" i="1"/>
  <c r="L25" i="1"/>
  <c r="L30" i="1"/>
  <c r="L21" i="1"/>
  <c r="L29" i="1"/>
  <c r="L68" i="1"/>
  <c r="L74" i="1"/>
  <c r="L27" i="1"/>
  <c r="L34" i="1"/>
  <c r="L49" i="1"/>
  <c r="L69" i="1"/>
  <c r="L75" i="1"/>
  <c r="L81" i="1"/>
  <c r="L17" i="1"/>
  <c r="L43" i="1"/>
  <c r="L37" i="1"/>
  <c r="L40" i="1"/>
  <c r="L65" i="1"/>
  <c r="L82" i="1"/>
  <c r="L28" i="1"/>
  <c r="L71" i="1"/>
  <c r="L41" i="1"/>
  <c r="L44" i="1"/>
  <c r="L62" i="1"/>
  <c r="L11" i="1"/>
  <c r="L18" i="1"/>
  <c r="L24" i="1"/>
  <c r="L31" i="1"/>
  <c r="L51" i="1"/>
  <c r="L67" i="1"/>
  <c r="L91" i="1"/>
  <c r="L96" i="1"/>
  <c r="L110" i="1"/>
  <c r="L117" i="1"/>
  <c r="L134" i="1"/>
  <c r="L146" i="1"/>
  <c r="L54" i="1"/>
  <c r="L115" i="1"/>
  <c r="L127" i="1"/>
  <c r="L132" i="1"/>
  <c r="L165" i="1"/>
  <c r="L206" i="1"/>
  <c r="L218" i="1"/>
  <c r="L48" i="1"/>
  <c r="L59" i="1"/>
  <c r="L72" i="1"/>
  <c r="L103" i="1"/>
  <c r="L153" i="1"/>
  <c r="L108" i="1"/>
  <c r="L113" i="1"/>
  <c r="L120" i="1"/>
  <c r="L147" i="1"/>
  <c r="L170" i="1"/>
  <c r="L179" i="1"/>
  <c r="L189" i="1"/>
  <c r="L201" i="1"/>
  <c r="L213" i="1"/>
  <c r="L225" i="1"/>
  <c r="L84" i="1"/>
  <c r="L93" i="1"/>
  <c r="L130" i="1"/>
  <c r="L144" i="1"/>
  <c r="L184" i="1"/>
  <c r="L141" i="1"/>
  <c r="L175" i="1"/>
  <c r="L196" i="1"/>
  <c r="L202" i="1"/>
  <c r="L208" i="1"/>
  <c r="L220" i="1"/>
  <c r="L79" i="1"/>
  <c r="L95" i="1"/>
  <c r="L148" i="1"/>
  <c r="L158" i="1"/>
  <c r="L185" i="1"/>
  <c r="L36" i="1"/>
  <c r="L76" i="1"/>
  <c r="L86" i="1"/>
  <c r="L151" i="1"/>
  <c r="L167" i="1"/>
  <c r="L191" i="1"/>
  <c r="L203" i="1"/>
  <c r="L109" i="1"/>
  <c r="L181" i="1"/>
  <c r="L52" i="1"/>
  <c r="L55" i="1"/>
  <c r="L60" i="1"/>
  <c r="L126" i="1"/>
  <c r="L131" i="1"/>
  <c r="L155" i="1"/>
  <c r="L163" i="1"/>
  <c r="L172" i="1"/>
  <c r="L35" i="1"/>
  <c r="L42" i="1"/>
  <c r="L83" i="1"/>
  <c r="L107" i="1"/>
  <c r="L112" i="1"/>
  <c r="L124" i="1"/>
  <c r="L136" i="1"/>
  <c r="L182" i="1"/>
  <c r="L78" i="1"/>
  <c r="L98" i="1"/>
  <c r="L100" i="1"/>
  <c r="L119" i="1"/>
  <c r="L129" i="1"/>
  <c r="L164" i="1"/>
  <c r="L187" i="1"/>
  <c r="L199" i="1"/>
  <c r="L223" i="1"/>
  <c r="L168" i="1"/>
  <c r="L298" i="1"/>
  <c r="L301" i="1"/>
  <c r="L306" i="1"/>
  <c r="L311" i="1"/>
  <c r="L321" i="1"/>
  <c r="L252" i="1"/>
  <c r="L257" i="1"/>
  <c r="L275" i="1"/>
  <c r="L344" i="1"/>
  <c r="L350" i="1"/>
  <c r="L362" i="1"/>
  <c r="L368" i="1"/>
  <c r="L398" i="1"/>
  <c r="L404" i="1"/>
  <c r="L416" i="1"/>
  <c r="L66" i="1"/>
  <c r="L138" i="1"/>
  <c r="L210" i="1"/>
  <c r="L280" i="1"/>
  <c r="L291" i="1"/>
  <c r="L268" i="1"/>
  <c r="L308" i="1"/>
  <c r="L319" i="1"/>
  <c r="L180" i="1"/>
  <c r="L313" i="1"/>
  <c r="L317" i="1"/>
  <c r="L236" i="1"/>
  <c r="L238" i="1"/>
  <c r="L271" i="1"/>
  <c r="L276" i="1"/>
  <c r="L345" i="1"/>
  <c r="L351" i="1"/>
  <c r="L381" i="1"/>
  <c r="L387" i="1"/>
  <c r="L399" i="1"/>
  <c r="L405" i="1"/>
  <c r="L417" i="1"/>
  <c r="L429" i="1"/>
  <c r="L150" i="1"/>
  <c r="L222" i="1"/>
  <c r="L423" i="1"/>
  <c r="L411" i="1"/>
  <c r="L394" i="1"/>
  <c r="L377" i="1"/>
  <c r="L360" i="1"/>
  <c r="L356" i="1"/>
  <c r="L339" i="1"/>
  <c r="L407" i="1"/>
  <c r="L390" i="1"/>
  <c r="L386" i="1"/>
  <c r="L369" i="1"/>
  <c r="L352" i="1"/>
  <c r="L335" i="1"/>
  <c r="L326" i="1"/>
  <c r="L261" i="1"/>
  <c r="L237" i="1"/>
  <c r="L424" i="1"/>
  <c r="L412" i="1"/>
  <c r="L395" i="1"/>
  <c r="L378" i="1"/>
  <c r="L374" i="1"/>
  <c r="L357" i="1"/>
  <c r="L340" i="1"/>
  <c r="L413" i="1"/>
  <c r="L396" i="1"/>
  <c r="L392" i="1"/>
  <c r="L375" i="1"/>
  <c r="L358" i="1"/>
  <c r="L341" i="1"/>
  <c r="L422" i="1"/>
  <c r="L418" i="1"/>
  <c r="L401" i="1"/>
  <c r="L384" i="1"/>
  <c r="L380" i="1"/>
  <c r="L363" i="1"/>
  <c r="L346" i="1"/>
  <c r="L272" i="1"/>
  <c r="L414" i="1"/>
  <c r="L410" i="1"/>
  <c r="L393" i="1"/>
  <c r="L376" i="1"/>
  <c r="L359" i="1"/>
  <c r="L342" i="1"/>
  <c r="L338" i="1"/>
  <c r="L329" i="1"/>
  <c r="L295" i="1"/>
  <c r="L303" i="1"/>
  <c r="L310" i="1"/>
  <c r="L234" i="1"/>
  <c r="L250" i="1"/>
  <c r="L258" i="1"/>
  <c r="L263" i="1"/>
  <c r="L192" i="1"/>
  <c r="L287" i="1"/>
  <c r="L290" i="1"/>
  <c r="L244" i="1"/>
  <c r="L265" i="1"/>
  <c r="L324" i="1"/>
  <c r="L334" i="1"/>
  <c r="L364" i="1"/>
  <c r="L370" i="1"/>
  <c r="L382" i="1"/>
  <c r="L388" i="1"/>
  <c r="L400" i="1"/>
  <c r="L406" i="1"/>
  <c r="L90" i="1"/>
  <c r="L162" i="1"/>
  <c r="L300" i="1"/>
  <c r="L322" i="1"/>
  <c r="L204" i="1"/>
  <c r="L297" i="1"/>
  <c r="L307" i="1"/>
  <c r="L253" i="1"/>
  <c r="L330" i="1"/>
  <c r="L347" i="1"/>
  <c r="L353" i="1"/>
  <c r="L365" i="1"/>
  <c r="L371" i="1"/>
  <c r="L383" i="1"/>
  <c r="L389" i="1"/>
  <c r="L419" i="1"/>
  <c r="L425" i="1"/>
  <c r="L102" i="1"/>
  <c r="L174" i="1"/>
  <c r="L267" i="1"/>
  <c r="L312" i="1"/>
  <c r="L239" i="1"/>
  <c r="L251" i="1"/>
  <c r="L256" i="1"/>
  <c r="L273" i="1"/>
  <c r="L216" i="1"/>
  <c r="L309" i="1"/>
  <c r="L314" i="1"/>
  <c r="L316" i="1"/>
  <c r="L318" i="1"/>
  <c r="L259" i="1"/>
  <c r="L264" i="1"/>
  <c r="L269" i="1"/>
  <c r="L336" i="1"/>
  <c r="L348" i="1"/>
  <c r="L354" i="1"/>
  <c r="L366" i="1"/>
  <c r="L372" i="1"/>
  <c r="L402" i="1"/>
  <c r="L408" i="1"/>
  <c r="L420" i="1"/>
  <c r="L426" i="1"/>
  <c r="L114" i="1"/>
  <c r="L186" i="1"/>
  <c r="L294" i="1"/>
  <c r="L304" i="1"/>
  <c r="L325" i="1"/>
  <c r="L235" i="1"/>
  <c r="L156" i="1"/>
  <c r="L281" i="1"/>
  <c r="L242" i="1"/>
  <c r="L243" i="1"/>
  <c r="L249" i="1"/>
  <c r="L254" i="1"/>
  <c r="L328" i="1"/>
  <c r="L331" i="1"/>
  <c r="L198" i="1"/>
  <c r="L296" i="1"/>
  <c r="L246" i="1"/>
  <c r="L248" i="1"/>
  <c r="L323" i="1"/>
  <c r="L240" i="1"/>
  <c r="L262" i="1"/>
  <c r="L270" i="1"/>
  <c r="L315" i="1"/>
  <c r="L355" i="1"/>
  <c r="L333" i="1"/>
  <c r="L397" i="1"/>
  <c r="L367" i="1"/>
  <c r="L305" i="1"/>
  <c r="L337" i="1"/>
  <c r="L409" i="1"/>
  <c r="L379" i="1"/>
  <c r="L266" i="1"/>
  <c r="L349" i="1"/>
  <c r="L421" i="1"/>
  <c r="L428" i="1"/>
  <c r="L327" i="1"/>
  <c r="L391" i="1"/>
  <c r="L361" i="1"/>
  <c r="L299" i="1"/>
  <c r="L274" i="1"/>
  <c r="L403" i="1"/>
  <c r="L241" i="1"/>
  <c r="L373" i="1"/>
  <c r="L343" i="1"/>
  <c r="L415" i="1"/>
  <c r="L260" i="1"/>
  <c r="L385" i="1"/>
  <c r="L427" i="1"/>
  <c r="M228" i="1" l="1"/>
  <c r="M229" i="1"/>
  <c r="M230" i="1"/>
  <c r="M231" i="1"/>
  <c r="M232" i="1"/>
  <c r="M226" i="1"/>
  <c r="M227" i="1"/>
  <c r="M233" i="1"/>
  <c r="M427" i="1"/>
  <c r="M198" i="1"/>
  <c r="R198" i="1" s="1"/>
  <c r="M332" i="1"/>
  <c r="N332" i="1" s="1"/>
  <c r="M336" i="1"/>
  <c r="M253" i="1"/>
  <c r="M324" i="1"/>
  <c r="M234" i="1"/>
  <c r="M272" i="1"/>
  <c r="M396" i="1"/>
  <c r="M335" i="1"/>
  <c r="M423" i="1"/>
  <c r="M387" i="1"/>
  <c r="M257" i="1"/>
  <c r="M164" i="1"/>
  <c r="M42" i="1"/>
  <c r="M181" i="1"/>
  <c r="M185" i="1"/>
  <c r="M247" i="1"/>
  <c r="M201" i="1"/>
  <c r="M48" i="1"/>
  <c r="M146" i="1"/>
  <c r="M18" i="1"/>
  <c r="M44" i="1"/>
  <c r="M82" i="1"/>
  <c r="M81" i="1"/>
  <c r="M30" i="1"/>
  <c r="M45" i="1"/>
  <c r="M85" i="1"/>
  <c r="M50" i="1"/>
  <c r="M128" i="1"/>
  <c r="M219" i="1"/>
  <c r="M145" i="1"/>
  <c r="M135" i="1"/>
  <c r="M361" i="1"/>
  <c r="M269" i="1"/>
  <c r="M307" i="1"/>
  <c r="M265" i="1"/>
  <c r="M310" i="1"/>
  <c r="M346" i="1"/>
  <c r="M413" i="1"/>
  <c r="M352" i="1"/>
  <c r="M222" i="1"/>
  <c r="M381" i="1"/>
  <c r="M252" i="1"/>
  <c r="M129" i="1"/>
  <c r="M35" i="1"/>
  <c r="M109" i="1"/>
  <c r="M158" i="1"/>
  <c r="M302" i="1"/>
  <c r="M189" i="1"/>
  <c r="M292" i="1"/>
  <c r="M134" i="1"/>
  <c r="M11" i="1"/>
  <c r="M41" i="1"/>
  <c r="M65" i="1"/>
  <c r="M75" i="1"/>
  <c r="M25" i="1"/>
  <c r="M19" i="1"/>
  <c r="M64" i="1"/>
  <c r="M122" i="1"/>
  <c r="M53" i="1"/>
  <c r="M133" i="1"/>
  <c r="M159" i="1"/>
  <c r="M149" i="1"/>
  <c r="M152" i="1"/>
  <c r="U10540" i="1"/>
  <c r="M391" i="1"/>
  <c r="M428" i="1"/>
  <c r="M379" i="1"/>
  <c r="M409" i="1"/>
  <c r="M264" i="1"/>
  <c r="M297" i="1"/>
  <c r="M244" i="1"/>
  <c r="M303" i="1"/>
  <c r="M363" i="1"/>
  <c r="M340" i="1"/>
  <c r="M369" i="1"/>
  <c r="M150" i="1"/>
  <c r="M351" i="1"/>
  <c r="M321" i="1"/>
  <c r="M119" i="1"/>
  <c r="M172" i="1"/>
  <c r="M203" i="1"/>
  <c r="M148" i="1"/>
  <c r="M293" i="1"/>
  <c r="M179" i="1"/>
  <c r="M282" i="1"/>
  <c r="M117" i="1"/>
  <c r="M71" i="1"/>
  <c r="M40" i="1"/>
  <c r="M69" i="1"/>
  <c r="M29" i="1"/>
  <c r="M10" i="1"/>
  <c r="M46" i="1"/>
  <c r="M143" i="1"/>
  <c r="M56" i="1"/>
  <c r="M58" i="1"/>
  <c r="M176" i="1"/>
  <c r="M166" i="1"/>
  <c r="M169" i="1"/>
  <c r="M13" i="1"/>
  <c r="M14" i="1"/>
  <c r="U10529" i="1"/>
  <c r="M327" i="1"/>
  <c r="M421" i="1"/>
  <c r="M337" i="1"/>
  <c r="M397" i="1"/>
  <c r="M259" i="1"/>
  <c r="M273" i="1"/>
  <c r="M425" i="1"/>
  <c r="M204" i="1"/>
  <c r="M290" i="1"/>
  <c r="M295" i="1"/>
  <c r="M380" i="1"/>
  <c r="M357" i="1"/>
  <c r="M386" i="1"/>
  <c r="M345" i="1"/>
  <c r="M311" i="1"/>
  <c r="M100" i="1"/>
  <c r="M163" i="1"/>
  <c r="M191" i="1"/>
  <c r="M95" i="1"/>
  <c r="M184" i="1"/>
  <c r="M170" i="1"/>
  <c r="M218" i="1"/>
  <c r="M110" i="1"/>
  <c r="M28" i="1"/>
  <c r="M37" i="1"/>
  <c r="M49" i="1"/>
  <c r="M21" i="1"/>
  <c r="M57" i="1"/>
  <c r="M80" i="1"/>
  <c r="M61" i="1"/>
  <c r="M63" i="1"/>
  <c r="M193" i="1"/>
  <c r="M183" i="1"/>
  <c r="M173" i="1"/>
  <c r="M20" i="1"/>
  <c r="M349" i="1"/>
  <c r="M305" i="1"/>
  <c r="M367" i="1"/>
  <c r="M333" i="1"/>
  <c r="M331" i="1"/>
  <c r="M426" i="1"/>
  <c r="M318" i="1"/>
  <c r="M256" i="1"/>
  <c r="M419" i="1"/>
  <c r="M287" i="1"/>
  <c r="M329" i="1"/>
  <c r="M384" i="1"/>
  <c r="M374" i="1"/>
  <c r="M390" i="1"/>
  <c r="M276" i="1"/>
  <c r="M319" i="1"/>
  <c r="M416" i="1"/>
  <c r="M306" i="1"/>
  <c r="M98" i="1"/>
  <c r="M155" i="1"/>
  <c r="M167" i="1"/>
  <c r="M79" i="1"/>
  <c r="M144" i="1"/>
  <c r="M147" i="1"/>
  <c r="M206" i="1"/>
  <c r="M96" i="1"/>
  <c r="M43" i="1"/>
  <c r="M34" i="1"/>
  <c r="M16" i="1"/>
  <c r="M87" i="1"/>
  <c r="M99" i="1"/>
  <c r="M88" i="1"/>
  <c r="M197" i="1"/>
  <c r="M200" i="1"/>
  <c r="M190" i="1"/>
  <c r="U10496" i="1"/>
  <c r="M266" i="1"/>
  <c r="M270" i="1"/>
  <c r="M328" i="1"/>
  <c r="M420" i="1"/>
  <c r="M316" i="1"/>
  <c r="M251" i="1"/>
  <c r="M389" i="1"/>
  <c r="M406" i="1"/>
  <c r="M192" i="1"/>
  <c r="M338" i="1"/>
  <c r="M401" i="1"/>
  <c r="M378" i="1"/>
  <c r="M407" i="1"/>
  <c r="M271" i="1"/>
  <c r="M308" i="1"/>
  <c r="M404" i="1"/>
  <c r="M301" i="1"/>
  <c r="M78" i="1"/>
  <c r="M131" i="1"/>
  <c r="M151" i="1"/>
  <c r="M130" i="1"/>
  <c r="M120" i="1"/>
  <c r="M165" i="1"/>
  <c r="M91" i="1"/>
  <c r="M17" i="1"/>
  <c r="M27" i="1"/>
  <c r="M26" i="1"/>
  <c r="M140" i="1"/>
  <c r="M106" i="1"/>
  <c r="M121" i="1"/>
  <c r="M214" i="1"/>
  <c r="M217" i="1"/>
  <c r="M207" i="1"/>
  <c r="U10544" i="1"/>
  <c r="U10516" i="1"/>
  <c r="N427" i="1"/>
  <c r="R427" i="1"/>
  <c r="M262" i="1"/>
  <c r="M254" i="1"/>
  <c r="M235" i="1"/>
  <c r="M408" i="1"/>
  <c r="M314" i="1"/>
  <c r="M239" i="1"/>
  <c r="M383" i="1"/>
  <c r="M400" i="1"/>
  <c r="M342" i="1"/>
  <c r="M418" i="1"/>
  <c r="M395" i="1"/>
  <c r="M339" i="1"/>
  <c r="M238" i="1"/>
  <c r="M268" i="1"/>
  <c r="M398" i="1"/>
  <c r="M298" i="1"/>
  <c r="M182" i="1"/>
  <c r="M126" i="1"/>
  <c r="M86" i="1"/>
  <c r="M220" i="1"/>
  <c r="M93" i="1"/>
  <c r="M113" i="1"/>
  <c r="M132" i="1"/>
  <c r="M74" i="1"/>
  <c r="M38" i="1"/>
  <c r="M77" i="1"/>
  <c r="M111" i="1"/>
  <c r="M39" i="1"/>
  <c r="M137" i="1"/>
  <c r="M221" i="1"/>
  <c r="M224" i="1"/>
  <c r="U10514" i="1"/>
  <c r="M240" i="1"/>
  <c r="M249" i="1"/>
  <c r="M325" i="1"/>
  <c r="M402" i="1"/>
  <c r="M309" i="1"/>
  <c r="M312" i="1"/>
  <c r="M371" i="1"/>
  <c r="M388" i="1"/>
  <c r="M359" i="1"/>
  <c r="M422" i="1"/>
  <c r="M412" i="1"/>
  <c r="M356" i="1"/>
  <c r="M236" i="1"/>
  <c r="M291" i="1"/>
  <c r="M368" i="1"/>
  <c r="M168" i="1"/>
  <c r="M136" i="1"/>
  <c r="M60" i="1"/>
  <c r="M76" i="1"/>
  <c r="M208" i="1"/>
  <c r="M84" i="1"/>
  <c r="M108" i="1"/>
  <c r="M127" i="1"/>
  <c r="M68" i="1"/>
  <c r="M33" i="1"/>
  <c r="M89" i="1"/>
  <c r="M22" i="1"/>
  <c r="M142" i="1"/>
  <c r="M154" i="1"/>
  <c r="M178" i="1"/>
  <c r="M194" i="1"/>
  <c r="U10519" i="1"/>
  <c r="U10510" i="1"/>
  <c r="U10662" i="1"/>
  <c r="M385" i="1"/>
  <c r="M403" i="1"/>
  <c r="M355" i="1"/>
  <c r="M323" i="1"/>
  <c r="M243" i="1"/>
  <c r="M304" i="1"/>
  <c r="M372" i="1"/>
  <c r="M216" i="1"/>
  <c r="M267" i="1"/>
  <c r="M365" i="1"/>
  <c r="M322" i="1"/>
  <c r="M382" i="1"/>
  <c r="M376" i="1"/>
  <c r="M341" i="1"/>
  <c r="M424" i="1"/>
  <c r="M360" i="1"/>
  <c r="M429" i="1"/>
  <c r="M317" i="1"/>
  <c r="M280" i="1"/>
  <c r="M362" i="1"/>
  <c r="M286" i="1"/>
  <c r="M124" i="1"/>
  <c r="M55" i="1"/>
  <c r="M36" i="1"/>
  <c r="M202" i="1"/>
  <c r="M288" i="1"/>
  <c r="M153" i="1"/>
  <c r="M115" i="1"/>
  <c r="M67" i="1"/>
  <c r="M92" i="1"/>
  <c r="M157" i="1"/>
  <c r="M97" i="1"/>
  <c r="M73" i="1"/>
  <c r="M171" i="1"/>
  <c r="M195" i="1"/>
  <c r="M211" i="1"/>
  <c r="U10498" i="1"/>
  <c r="M260" i="1"/>
  <c r="M415" i="1"/>
  <c r="M373" i="1"/>
  <c r="M274" i="1"/>
  <c r="M315" i="1"/>
  <c r="M248" i="1"/>
  <c r="M242" i="1"/>
  <c r="M294" i="1"/>
  <c r="M366" i="1"/>
  <c r="M174" i="1"/>
  <c r="M353" i="1"/>
  <c r="M300" i="1"/>
  <c r="M370" i="1"/>
  <c r="M263" i="1"/>
  <c r="M393" i="1"/>
  <c r="M358" i="1"/>
  <c r="M237" i="1"/>
  <c r="M377" i="1"/>
  <c r="M417" i="1"/>
  <c r="M313" i="1"/>
  <c r="M210" i="1"/>
  <c r="M350" i="1"/>
  <c r="M223" i="1"/>
  <c r="M112" i="1"/>
  <c r="M52" i="1"/>
  <c r="M289" i="1"/>
  <c r="M196" i="1"/>
  <c r="M283" i="1"/>
  <c r="M103" i="1"/>
  <c r="M54" i="1"/>
  <c r="M51" i="1"/>
  <c r="M94" i="1"/>
  <c r="M161" i="1"/>
  <c r="M104" i="1"/>
  <c r="M139" i="1"/>
  <c r="M188" i="1"/>
  <c r="M212" i="1"/>
  <c r="M215" i="1"/>
  <c r="M23" i="1"/>
  <c r="M32" i="1"/>
  <c r="U10651" i="1"/>
  <c r="M343" i="1"/>
  <c r="M241" i="1"/>
  <c r="M299" i="1"/>
  <c r="M246" i="1"/>
  <c r="M281" i="1"/>
  <c r="M186" i="1"/>
  <c r="M354" i="1"/>
  <c r="M102" i="1"/>
  <c r="M347" i="1"/>
  <c r="M162" i="1"/>
  <c r="M364" i="1"/>
  <c r="M258" i="1"/>
  <c r="M410" i="1"/>
  <c r="M375" i="1"/>
  <c r="M261" i="1"/>
  <c r="M394" i="1"/>
  <c r="M405" i="1"/>
  <c r="M180" i="1"/>
  <c r="M138" i="1"/>
  <c r="M344" i="1"/>
  <c r="M199" i="1"/>
  <c r="M107" i="1"/>
  <c r="M320" i="1"/>
  <c r="M284" i="1"/>
  <c r="M175" i="1"/>
  <c r="M225" i="1"/>
  <c r="M72" i="1"/>
  <c r="M255" i="1"/>
  <c r="M31" i="1"/>
  <c r="M105" i="1"/>
  <c r="M125" i="1"/>
  <c r="M116" i="1"/>
  <c r="M177" i="1"/>
  <c r="M205" i="1"/>
  <c r="M101" i="1"/>
  <c r="M296" i="1"/>
  <c r="M156" i="1"/>
  <c r="M114" i="1"/>
  <c r="M348" i="1"/>
  <c r="M330" i="1"/>
  <c r="M90" i="1"/>
  <c r="M334" i="1"/>
  <c r="M250" i="1"/>
  <c r="M414" i="1"/>
  <c r="M392" i="1"/>
  <c r="M326" i="1"/>
  <c r="M411" i="1"/>
  <c r="M399" i="1"/>
  <c r="M66" i="1"/>
  <c r="M275" i="1"/>
  <c r="M187" i="1"/>
  <c r="M83" i="1"/>
  <c r="M245" i="1"/>
  <c r="M279" i="1"/>
  <c r="M141" i="1"/>
  <c r="M213" i="1"/>
  <c r="M59" i="1"/>
  <c r="M285" i="1"/>
  <c r="M24" i="1"/>
  <c r="M62" i="1"/>
  <c r="M15" i="1"/>
  <c r="M160" i="1"/>
  <c r="M47" i="1"/>
  <c r="M123" i="1"/>
  <c r="M70" i="1"/>
  <c r="M209" i="1"/>
  <c r="M118" i="1"/>
  <c r="M12" i="1"/>
  <c r="U10527" i="1"/>
  <c r="R233" i="1" l="1"/>
  <c r="N233" i="1"/>
  <c r="R227" i="1"/>
  <c r="N227" i="1"/>
  <c r="N226" i="1"/>
  <c r="R226" i="1"/>
  <c r="N232" i="1"/>
  <c r="R232" i="1"/>
  <c r="N231" i="1"/>
  <c r="R231" i="1"/>
  <c r="R230" i="1"/>
  <c r="N230" i="1"/>
  <c r="R229" i="1"/>
  <c r="N229" i="1"/>
  <c r="R228" i="1"/>
  <c r="N228" i="1"/>
  <c r="N198" i="1"/>
  <c r="R332" i="1"/>
  <c r="R411" i="1"/>
  <c r="N411" i="1"/>
  <c r="R209" i="1"/>
  <c r="N209" i="1"/>
  <c r="N24" i="1"/>
  <c r="R24" i="1"/>
  <c r="N399" i="1"/>
  <c r="R399" i="1"/>
  <c r="R114" i="1"/>
  <c r="N114" i="1"/>
  <c r="R116" i="1"/>
  <c r="N116" i="1"/>
  <c r="N344" i="1"/>
  <c r="R344" i="1"/>
  <c r="N102" i="1"/>
  <c r="R102" i="1"/>
  <c r="N32" i="1"/>
  <c r="R32" i="1"/>
  <c r="R283" i="1"/>
  <c r="N283" i="1"/>
  <c r="R358" i="1"/>
  <c r="N358" i="1"/>
  <c r="R315" i="1"/>
  <c r="N315" i="1"/>
  <c r="R415" i="1"/>
  <c r="N415" i="1"/>
  <c r="N211" i="1"/>
  <c r="R211" i="1"/>
  <c r="R36" i="1"/>
  <c r="N36" i="1"/>
  <c r="R385" i="1"/>
  <c r="N385" i="1"/>
  <c r="R154" i="1"/>
  <c r="N154" i="1"/>
  <c r="N136" i="1"/>
  <c r="R136" i="1"/>
  <c r="N74" i="1"/>
  <c r="R74" i="1"/>
  <c r="R235" i="1"/>
  <c r="N235" i="1"/>
  <c r="R207" i="1"/>
  <c r="N207" i="1"/>
  <c r="R130" i="1"/>
  <c r="N130" i="1"/>
  <c r="N338" i="1"/>
  <c r="R338" i="1"/>
  <c r="R200" i="1"/>
  <c r="N200" i="1"/>
  <c r="N79" i="1"/>
  <c r="R79" i="1"/>
  <c r="R329" i="1"/>
  <c r="N329" i="1"/>
  <c r="R333" i="1"/>
  <c r="N333" i="1"/>
  <c r="R63" i="1"/>
  <c r="N63" i="1"/>
  <c r="R95" i="1"/>
  <c r="N95" i="1"/>
  <c r="R295" i="1"/>
  <c r="N295" i="1"/>
  <c r="R397" i="1"/>
  <c r="N397" i="1"/>
  <c r="N166" i="1"/>
  <c r="R166" i="1"/>
  <c r="N282" i="1"/>
  <c r="R282" i="1"/>
  <c r="N369" i="1"/>
  <c r="R369" i="1"/>
  <c r="R41" i="1"/>
  <c r="N41" i="1"/>
  <c r="N269" i="1"/>
  <c r="R269" i="1"/>
  <c r="N18" i="1"/>
  <c r="R18" i="1"/>
  <c r="R387" i="1"/>
  <c r="N387" i="1"/>
  <c r="R156" i="1"/>
  <c r="N156" i="1"/>
  <c r="R125" i="1"/>
  <c r="N125" i="1"/>
  <c r="R138" i="1"/>
  <c r="N138" i="1"/>
  <c r="N23" i="1"/>
  <c r="R23" i="1"/>
  <c r="R196" i="1"/>
  <c r="N196" i="1"/>
  <c r="R393" i="1"/>
  <c r="N393" i="1"/>
  <c r="R260" i="1"/>
  <c r="N260" i="1"/>
  <c r="R195" i="1"/>
  <c r="N195" i="1"/>
  <c r="N55" i="1"/>
  <c r="R55" i="1"/>
  <c r="R382" i="1"/>
  <c r="N382" i="1"/>
  <c r="N142" i="1"/>
  <c r="R142" i="1"/>
  <c r="R168" i="1"/>
  <c r="N168" i="1"/>
  <c r="R371" i="1"/>
  <c r="N371" i="1"/>
  <c r="R132" i="1"/>
  <c r="N132" i="1"/>
  <c r="R339" i="1"/>
  <c r="N339" i="1"/>
  <c r="N254" i="1"/>
  <c r="R254" i="1"/>
  <c r="N217" i="1"/>
  <c r="R217" i="1"/>
  <c r="N151" i="1"/>
  <c r="R151" i="1"/>
  <c r="R192" i="1"/>
  <c r="N192" i="1"/>
  <c r="R197" i="1"/>
  <c r="N197" i="1"/>
  <c r="R167" i="1"/>
  <c r="N167" i="1"/>
  <c r="R287" i="1"/>
  <c r="N287" i="1"/>
  <c r="R367" i="1"/>
  <c r="N367" i="1"/>
  <c r="N61" i="1"/>
  <c r="R61" i="1"/>
  <c r="N191" i="1"/>
  <c r="R191" i="1"/>
  <c r="N290" i="1"/>
  <c r="R290" i="1"/>
  <c r="R176" i="1"/>
  <c r="N176" i="1"/>
  <c r="N179" i="1"/>
  <c r="R179" i="1"/>
  <c r="R340" i="1"/>
  <c r="N340" i="1"/>
  <c r="R152" i="1"/>
  <c r="N152" i="1"/>
  <c r="N11" i="1"/>
  <c r="R11" i="1"/>
  <c r="R381" i="1"/>
  <c r="N381" i="1"/>
  <c r="N361" i="1"/>
  <c r="R361" i="1"/>
  <c r="R135" i="1"/>
  <c r="N135" i="1"/>
  <c r="N146" i="1"/>
  <c r="R146" i="1"/>
  <c r="R423" i="1"/>
  <c r="N423" i="1"/>
  <c r="R105" i="1"/>
  <c r="N105" i="1"/>
  <c r="R180" i="1"/>
  <c r="N180" i="1"/>
  <c r="R354" i="1"/>
  <c r="N354" i="1"/>
  <c r="R215" i="1"/>
  <c r="N215" i="1"/>
  <c r="R289" i="1"/>
  <c r="N289" i="1"/>
  <c r="R263" i="1"/>
  <c r="N263" i="1"/>
  <c r="R171" i="1"/>
  <c r="N171" i="1"/>
  <c r="N124" i="1"/>
  <c r="R124" i="1"/>
  <c r="N322" i="1"/>
  <c r="R322" i="1"/>
  <c r="U10665" i="1"/>
  <c r="U10501" i="1"/>
  <c r="N22" i="1"/>
  <c r="R22" i="1"/>
  <c r="N368" i="1"/>
  <c r="R368" i="1"/>
  <c r="R312" i="1"/>
  <c r="N312" i="1"/>
  <c r="R113" i="1"/>
  <c r="N113" i="1"/>
  <c r="N395" i="1"/>
  <c r="R395" i="1"/>
  <c r="R262" i="1"/>
  <c r="N262" i="1"/>
  <c r="R214" i="1"/>
  <c r="N214" i="1"/>
  <c r="R131" i="1"/>
  <c r="N131" i="1"/>
  <c r="R406" i="1"/>
  <c r="N406" i="1"/>
  <c r="R88" i="1"/>
  <c r="N88" i="1"/>
  <c r="R155" i="1"/>
  <c r="N155" i="1"/>
  <c r="R305" i="1"/>
  <c r="N305" i="1"/>
  <c r="R80" i="1"/>
  <c r="N80" i="1"/>
  <c r="N163" i="1"/>
  <c r="R163" i="1"/>
  <c r="R337" i="1"/>
  <c r="N337" i="1"/>
  <c r="N58" i="1"/>
  <c r="R58" i="1"/>
  <c r="R293" i="1"/>
  <c r="N293" i="1"/>
  <c r="R363" i="1"/>
  <c r="N363" i="1"/>
  <c r="R149" i="1"/>
  <c r="N149" i="1"/>
  <c r="N134" i="1"/>
  <c r="R134" i="1"/>
  <c r="R222" i="1"/>
  <c r="N222" i="1"/>
  <c r="N145" i="1"/>
  <c r="R145" i="1"/>
  <c r="R48" i="1"/>
  <c r="N48" i="1"/>
  <c r="N335" i="1"/>
  <c r="R335" i="1"/>
  <c r="N31" i="1"/>
  <c r="R31" i="1"/>
  <c r="R405" i="1"/>
  <c r="N405" i="1"/>
  <c r="R186" i="1"/>
  <c r="N186" i="1"/>
  <c r="N212" i="1"/>
  <c r="R212" i="1"/>
  <c r="N52" i="1"/>
  <c r="R52" i="1"/>
  <c r="R370" i="1"/>
  <c r="N370" i="1"/>
  <c r="N73" i="1"/>
  <c r="R73" i="1"/>
  <c r="N286" i="1"/>
  <c r="R286" i="1"/>
  <c r="N365" i="1"/>
  <c r="R365" i="1"/>
  <c r="R89" i="1"/>
  <c r="N89" i="1"/>
  <c r="N291" i="1"/>
  <c r="R291" i="1"/>
  <c r="N309" i="1"/>
  <c r="R309" i="1"/>
  <c r="R93" i="1"/>
  <c r="N93" i="1"/>
  <c r="R418" i="1"/>
  <c r="N418" i="1"/>
  <c r="U10740" i="1"/>
  <c r="U10518" i="1"/>
  <c r="N121" i="1"/>
  <c r="R121" i="1"/>
  <c r="R78" i="1"/>
  <c r="N78" i="1"/>
  <c r="R99" i="1"/>
  <c r="N99" i="1"/>
  <c r="N98" i="1"/>
  <c r="R98" i="1"/>
  <c r="U10784" i="1"/>
  <c r="R57" i="1"/>
  <c r="N57" i="1"/>
  <c r="R100" i="1"/>
  <c r="N100" i="1"/>
  <c r="N204" i="1"/>
  <c r="R204" i="1"/>
  <c r="R56" i="1"/>
  <c r="N56" i="1"/>
  <c r="R148" i="1"/>
  <c r="N148" i="1"/>
  <c r="R303" i="1"/>
  <c r="N303" i="1"/>
  <c r="R159" i="1"/>
  <c r="N159" i="1"/>
  <c r="R292" i="1"/>
  <c r="N292" i="1"/>
  <c r="R352" i="1"/>
  <c r="N352" i="1"/>
  <c r="R219" i="1"/>
  <c r="N219" i="1"/>
  <c r="R201" i="1"/>
  <c r="N201" i="1"/>
  <c r="R396" i="1"/>
  <c r="N396" i="1"/>
  <c r="R296" i="1"/>
  <c r="N296" i="1"/>
  <c r="N255" i="1"/>
  <c r="R255" i="1"/>
  <c r="R394" i="1"/>
  <c r="N394" i="1"/>
  <c r="R281" i="1"/>
  <c r="N281" i="1"/>
  <c r="N299" i="1"/>
  <c r="R299" i="1"/>
  <c r="R188" i="1"/>
  <c r="N188" i="1"/>
  <c r="R112" i="1"/>
  <c r="N112" i="1"/>
  <c r="N300" i="1"/>
  <c r="R300" i="1"/>
  <c r="N97" i="1"/>
  <c r="R97" i="1"/>
  <c r="N362" i="1"/>
  <c r="R362" i="1"/>
  <c r="N267" i="1"/>
  <c r="R267" i="1"/>
  <c r="R33" i="1"/>
  <c r="N33" i="1"/>
  <c r="N236" i="1"/>
  <c r="R236" i="1"/>
  <c r="R402" i="1"/>
  <c r="N402" i="1"/>
  <c r="U10528" i="1"/>
  <c r="N220" i="1"/>
  <c r="R220" i="1"/>
  <c r="R342" i="1"/>
  <c r="N342" i="1"/>
  <c r="N106" i="1"/>
  <c r="R106" i="1"/>
  <c r="R301" i="1"/>
  <c r="N301" i="1"/>
  <c r="R389" i="1"/>
  <c r="N389" i="1"/>
  <c r="R266" i="1"/>
  <c r="N266" i="1"/>
  <c r="R87" i="1"/>
  <c r="N87" i="1"/>
  <c r="N306" i="1"/>
  <c r="R306" i="1"/>
  <c r="R419" i="1"/>
  <c r="N419" i="1"/>
  <c r="R349" i="1"/>
  <c r="N349" i="1"/>
  <c r="R21" i="1"/>
  <c r="N21" i="1"/>
  <c r="R311" i="1"/>
  <c r="N311" i="1"/>
  <c r="R425" i="1"/>
  <c r="N425" i="1"/>
  <c r="R421" i="1"/>
  <c r="N421" i="1"/>
  <c r="U10663" i="1"/>
  <c r="U10852" i="1"/>
  <c r="R143" i="1"/>
  <c r="N143" i="1"/>
  <c r="N203" i="1"/>
  <c r="R203" i="1"/>
  <c r="N244" i="1"/>
  <c r="R244" i="1"/>
  <c r="N133" i="1"/>
  <c r="R133" i="1"/>
  <c r="R189" i="1"/>
  <c r="N189" i="1"/>
  <c r="R413" i="1"/>
  <c r="N413" i="1"/>
  <c r="R128" i="1"/>
  <c r="N128" i="1"/>
  <c r="R247" i="1"/>
  <c r="N247" i="1"/>
  <c r="R272" i="1"/>
  <c r="N272" i="1"/>
  <c r="R59" i="1"/>
  <c r="N59" i="1"/>
  <c r="U10870" i="1"/>
  <c r="R72" i="1"/>
  <c r="N72" i="1"/>
  <c r="N261" i="1"/>
  <c r="R261" i="1"/>
  <c r="R246" i="1"/>
  <c r="N246" i="1"/>
  <c r="N241" i="1"/>
  <c r="R241" i="1"/>
  <c r="N139" i="1"/>
  <c r="R139" i="1"/>
  <c r="N223" i="1"/>
  <c r="R223" i="1"/>
  <c r="N353" i="1"/>
  <c r="R353" i="1"/>
  <c r="N157" i="1"/>
  <c r="R157" i="1"/>
  <c r="R280" i="1"/>
  <c r="N280" i="1"/>
  <c r="N216" i="1"/>
  <c r="R216" i="1"/>
  <c r="R68" i="1"/>
  <c r="N68" i="1"/>
  <c r="N325" i="1"/>
  <c r="R325" i="1"/>
  <c r="R224" i="1"/>
  <c r="N224" i="1"/>
  <c r="N86" i="1"/>
  <c r="R86" i="1"/>
  <c r="N140" i="1"/>
  <c r="R140" i="1"/>
  <c r="N404" i="1"/>
  <c r="R404" i="1"/>
  <c r="R251" i="1"/>
  <c r="N251" i="1"/>
  <c r="U10664" i="1"/>
  <c r="N16" i="1"/>
  <c r="R16" i="1"/>
  <c r="N416" i="1"/>
  <c r="R416" i="1"/>
  <c r="R256" i="1"/>
  <c r="N256" i="1"/>
  <c r="N49" i="1"/>
  <c r="R49" i="1"/>
  <c r="R273" i="1"/>
  <c r="N273" i="1"/>
  <c r="N46" i="1"/>
  <c r="R46" i="1"/>
  <c r="R172" i="1"/>
  <c r="N172" i="1"/>
  <c r="R409" i="1"/>
  <c r="N409" i="1"/>
  <c r="R53" i="1"/>
  <c r="N53" i="1"/>
  <c r="R302" i="1"/>
  <c r="N302" i="1"/>
  <c r="R346" i="1"/>
  <c r="N346" i="1"/>
  <c r="R50" i="1"/>
  <c r="N50" i="1"/>
  <c r="R185" i="1"/>
  <c r="N185" i="1"/>
  <c r="R234" i="1"/>
  <c r="N234" i="1"/>
  <c r="R414" i="1"/>
  <c r="N414" i="1"/>
  <c r="U10492" i="1"/>
  <c r="R334" i="1"/>
  <c r="N334" i="1"/>
  <c r="R225" i="1"/>
  <c r="N225" i="1"/>
  <c r="R375" i="1"/>
  <c r="N375" i="1"/>
  <c r="R343" i="1"/>
  <c r="N343" i="1"/>
  <c r="R104" i="1"/>
  <c r="N104" i="1"/>
  <c r="N350" i="1"/>
  <c r="R350" i="1"/>
  <c r="N174" i="1"/>
  <c r="R174" i="1"/>
  <c r="R92" i="1"/>
  <c r="N92" i="1"/>
  <c r="R317" i="1"/>
  <c r="N317" i="1"/>
  <c r="R372" i="1"/>
  <c r="N372" i="1"/>
  <c r="N127" i="1"/>
  <c r="R127" i="1"/>
  <c r="N356" i="1"/>
  <c r="R356" i="1"/>
  <c r="N249" i="1"/>
  <c r="R249" i="1"/>
  <c r="U10669" i="1"/>
  <c r="U10776" i="1"/>
  <c r="N221" i="1"/>
  <c r="R221" i="1"/>
  <c r="R126" i="1"/>
  <c r="N126" i="1"/>
  <c r="R400" i="1"/>
  <c r="N400" i="1"/>
  <c r="R26" i="1"/>
  <c r="N26" i="1"/>
  <c r="R308" i="1"/>
  <c r="N308" i="1"/>
  <c r="N316" i="1"/>
  <c r="R316" i="1"/>
  <c r="N34" i="1"/>
  <c r="R34" i="1"/>
  <c r="N319" i="1"/>
  <c r="R319" i="1"/>
  <c r="R318" i="1"/>
  <c r="N318" i="1"/>
  <c r="N37" i="1"/>
  <c r="R37" i="1"/>
  <c r="R259" i="1"/>
  <c r="N259" i="1"/>
  <c r="N327" i="1"/>
  <c r="R327" i="1"/>
  <c r="R10" i="1"/>
  <c r="N10" i="1"/>
  <c r="N119" i="1"/>
  <c r="R119" i="1"/>
  <c r="R297" i="1"/>
  <c r="N297" i="1"/>
  <c r="R379" i="1"/>
  <c r="N379" i="1"/>
  <c r="N122" i="1"/>
  <c r="R122" i="1"/>
  <c r="R158" i="1"/>
  <c r="N158" i="1"/>
  <c r="N310" i="1"/>
  <c r="R310" i="1"/>
  <c r="N85" i="1"/>
  <c r="R85" i="1"/>
  <c r="N181" i="1"/>
  <c r="R181" i="1"/>
  <c r="R324" i="1"/>
  <c r="N324" i="1"/>
  <c r="R285" i="1"/>
  <c r="N285" i="1"/>
  <c r="N12" i="1"/>
  <c r="R12" i="1"/>
  <c r="N90" i="1"/>
  <c r="R90" i="1"/>
  <c r="N175" i="1"/>
  <c r="R175" i="1"/>
  <c r="N410" i="1"/>
  <c r="R410" i="1"/>
  <c r="U10864" i="1"/>
  <c r="N161" i="1"/>
  <c r="R161" i="1"/>
  <c r="R210" i="1"/>
  <c r="N210" i="1"/>
  <c r="N67" i="1"/>
  <c r="R67" i="1"/>
  <c r="R429" i="1"/>
  <c r="N429" i="1"/>
  <c r="N304" i="1"/>
  <c r="R304" i="1"/>
  <c r="R108" i="1"/>
  <c r="N108" i="1"/>
  <c r="R412" i="1"/>
  <c r="N412" i="1"/>
  <c r="R240" i="1"/>
  <c r="N240" i="1"/>
  <c r="R137" i="1"/>
  <c r="N137" i="1"/>
  <c r="R182" i="1"/>
  <c r="N182" i="1"/>
  <c r="R27" i="1"/>
  <c r="N27" i="1"/>
  <c r="R271" i="1"/>
  <c r="N271" i="1"/>
  <c r="N420" i="1"/>
  <c r="R420" i="1"/>
  <c r="N43" i="1"/>
  <c r="R43" i="1"/>
  <c r="R276" i="1"/>
  <c r="N276" i="1"/>
  <c r="R426" i="1"/>
  <c r="N426" i="1"/>
  <c r="R28" i="1"/>
  <c r="N28" i="1"/>
  <c r="R345" i="1"/>
  <c r="N345" i="1"/>
  <c r="N29" i="1"/>
  <c r="R29" i="1"/>
  <c r="R321" i="1"/>
  <c r="N321" i="1"/>
  <c r="N428" i="1"/>
  <c r="R428" i="1"/>
  <c r="U10533" i="1"/>
  <c r="N64" i="1"/>
  <c r="R64" i="1"/>
  <c r="N109" i="1"/>
  <c r="R109" i="1"/>
  <c r="R265" i="1"/>
  <c r="N265" i="1"/>
  <c r="R45" i="1"/>
  <c r="N45" i="1"/>
  <c r="R42" i="1"/>
  <c r="N42" i="1"/>
  <c r="U10801" i="1"/>
  <c r="N326" i="1"/>
  <c r="R326" i="1"/>
  <c r="U10844" i="1"/>
  <c r="R70" i="1"/>
  <c r="N70" i="1"/>
  <c r="R123" i="1"/>
  <c r="N123" i="1"/>
  <c r="U10543" i="1"/>
  <c r="R47" i="1"/>
  <c r="N47" i="1"/>
  <c r="N187" i="1"/>
  <c r="R187" i="1"/>
  <c r="R330" i="1"/>
  <c r="N330" i="1"/>
  <c r="R284" i="1"/>
  <c r="N284" i="1"/>
  <c r="R258" i="1"/>
  <c r="N258" i="1"/>
  <c r="U10817" i="1"/>
  <c r="R94" i="1"/>
  <c r="N94" i="1"/>
  <c r="N313" i="1"/>
  <c r="R313" i="1"/>
  <c r="R366" i="1"/>
  <c r="N366" i="1"/>
  <c r="U10661" i="1"/>
  <c r="N115" i="1"/>
  <c r="R115" i="1"/>
  <c r="R360" i="1"/>
  <c r="N360" i="1"/>
  <c r="N243" i="1"/>
  <c r="R243" i="1"/>
  <c r="N403" i="1"/>
  <c r="R403" i="1"/>
  <c r="R84" i="1"/>
  <c r="N84" i="1"/>
  <c r="N422" i="1"/>
  <c r="R422" i="1"/>
  <c r="U10668" i="1"/>
  <c r="U10799" i="1"/>
  <c r="R39" i="1"/>
  <c r="N39" i="1"/>
  <c r="R298" i="1"/>
  <c r="N298" i="1"/>
  <c r="R383" i="1"/>
  <c r="N383" i="1"/>
  <c r="U10711" i="1"/>
  <c r="N17" i="1"/>
  <c r="R17" i="1"/>
  <c r="R96" i="1"/>
  <c r="N96" i="1"/>
  <c r="R20" i="1"/>
  <c r="N20" i="1"/>
  <c r="R110" i="1"/>
  <c r="N110" i="1"/>
  <c r="R69" i="1"/>
  <c r="N69" i="1"/>
  <c r="U10813" i="1"/>
  <c r="R19" i="1"/>
  <c r="N19" i="1"/>
  <c r="R35" i="1"/>
  <c r="N35" i="1"/>
  <c r="R30" i="1"/>
  <c r="N30" i="1"/>
  <c r="R164" i="1"/>
  <c r="N164" i="1"/>
  <c r="N253" i="1"/>
  <c r="R253" i="1"/>
  <c r="R213" i="1"/>
  <c r="N213" i="1"/>
  <c r="N118" i="1"/>
  <c r="R118" i="1"/>
  <c r="R250" i="1"/>
  <c r="N250" i="1"/>
  <c r="N245" i="1"/>
  <c r="R245" i="1"/>
  <c r="R83" i="1"/>
  <c r="N83" i="1"/>
  <c r="R160" i="1"/>
  <c r="N160" i="1"/>
  <c r="N275" i="1"/>
  <c r="R275" i="1"/>
  <c r="U10807" i="1"/>
  <c r="N101" i="1"/>
  <c r="R101" i="1"/>
  <c r="N320" i="1"/>
  <c r="R320" i="1"/>
  <c r="R364" i="1"/>
  <c r="N364" i="1"/>
  <c r="U10757" i="1"/>
  <c r="R51" i="1"/>
  <c r="N51" i="1"/>
  <c r="R417" i="1"/>
  <c r="N417" i="1"/>
  <c r="N294" i="1"/>
  <c r="R294" i="1"/>
  <c r="U10772" i="1"/>
  <c r="R153" i="1"/>
  <c r="N153" i="1"/>
  <c r="R424" i="1"/>
  <c r="N424" i="1"/>
  <c r="R323" i="1"/>
  <c r="N323" i="1"/>
  <c r="U10507" i="1"/>
  <c r="N208" i="1"/>
  <c r="R208" i="1"/>
  <c r="R359" i="1"/>
  <c r="N359" i="1"/>
  <c r="U10824" i="1"/>
  <c r="U10859" i="1"/>
  <c r="R111" i="1"/>
  <c r="N111" i="1"/>
  <c r="N398" i="1"/>
  <c r="R398" i="1"/>
  <c r="R239" i="1"/>
  <c r="N239" i="1"/>
  <c r="U10535" i="1"/>
  <c r="N91" i="1"/>
  <c r="R91" i="1"/>
  <c r="N407" i="1"/>
  <c r="R407" i="1"/>
  <c r="N328" i="1"/>
  <c r="R328" i="1"/>
  <c r="U10494" i="1"/>
  <c r="R206" i="1"/>
  <c r="N206" i="1"/>
  <c r="N390" i="1"/>
  <c r="R390" i="1"/>
  <c r="N331" i="1"/>
  <c r="R331" i="1"/>
  <c r="R173" i="1"/>
  <c r="N173" i="1"/>
  <c r="R218" i="1"/>
  <c r="N218" i="1"/>
  <c r="N386" i="1"/>
  <c r="R386" i="1"/>
  <c r="U10681" i="1"/>
  <c r="R14" i="1"/>
  <c r="N14" i="1"/>
  <c r="N40" i="1"/>
  <c r="R40" i="1"/>
  <c r="R264" i="1"/>
  <c r="N264" i="1"/>
  <c r="N391" i="1"/>
  <c r="R391" i="1"/>
  <c r="U10739" i="1"/>
  <c r="U10722" i="1"/>
  <c r="N25" i="1"/>
  <c r="R25" i="1"/>
  <c r="R129" i="1"/>
  <c r="N129" i="1"/>
  <c r="R307" i="1"/>
  <c r="N307" i="1"/>
  <c r="R81" i="1"/>
  <c r="N81" i="1"/>
  <c r="R257" i="1"/>
  <c r="N257" i="1"/>
  <c r="U10670" i="1"/>
  <c r="R279" i="1"/>
  <c r="N279" i="1"/>
  <c r="R15" i="1"/>
  <c r="N15" i="1"/>
  <c r="R66" i="1"/>
  <c r="N66" i="1"/>
  <c r="U10729" i="1"/>
  <c r="U10780" i="1"/>
  <c r="U10816" i="1"/>
  <c r="U10842" i="1"/>
  <c r="N205" i="1"/>
  <c r="R205" i="1"/>
  <c r="N107" i="1"/>
  <c r="R107" i="1"/>
  <c r="N162" i="1"/>
  <c r="R162" i="1"/>
  <c r="U10534" i="1"/>
  <c r="R54" i="1"/>
  <c r="N54" i="1"/>
  <c r="R377" i="1"/>
  <c r="N377" i="1"/>
  <c r="N242" i="1"/>
  <c r="R242" i="1"/>
  <c r="R274" i="1"/>
  <c r="N274" i="1"/>
  <c r="R288" i="1"/>
  <c r="N288" i="1"/>
  <c r="R341" i="1"/>
  <c r="N341" i="1"/>
  <c r="R355" i="1"/>
  <c r="N355" i="1"/>
  <c r="R194" i="1"/>
  <c r="N194" i="1"/>
  <c r="N76" i="1"/>
  <c r="R76" i="1"/>
  <c r="U10542" i="1"/>
  <c r="U10868" i="1"/>
  <c r="R77" i="1"/>
  <c r="N77" i="1"/>
  <c r="N268" i="1"/>
  <c r="R268" i="1"/>
  <c r="N314" i="1"/>
  <c r="R314" i="1"/>
  <c r="U10751" i="1"/>
  <c r="U10503" i="1"/>
  <c r="U10786" i="1"/>
  <c r="R165" i="1"/>
  <c r="N165" i="1"/>
  <c r="N378" i="1"/>
  <c r="R378" i="1"/>
  <c r="R270" i="1"/>
  <c r="N270" i="1"/>
  <c r="U10532" i="1"/>
  <c r="R147" i="1"/>
  <c r="N147" i="1"/>
  <c r="N374" i="1"/>
  <c r="R374" i="1"/>
  <c r="U10707" i="1"/>
  <c r="U10539" i="1"/>
  <c r="R183" i="1"/>
  <c r="N183" i="1"/>
  <c r="N170" i="1"/>
  <c r="R170" i="1"/>
  <c r="N357" i="1"/>
  <c r="R357" i="1"/>
  <c r="N13" i="1"/>
  <c r="R13" i="1"/>
  <c r="R71" i="1"/>
  <c r="N71" i="1"/>
  <c r="R351" i="1"/>
  <c r="N351" i="1"/>
  <c r="R75" i="1"/>
  <c r="N75" i="1"/>
  <c r="N252" i="1"/>
  <c r="R252" i="1"/>
  <c r="U10718" i="1"/>
  <c r="U10509" i="1"/>
  <c r="R82" i="1"/>
  <c r="N82" i="1"/>
  <c r="U10735" i="1"/>
  <c r="N392" i="1"/>
  <c r="R392" i="1"/>
  <c r="R141" i="1"/>
  <c r="N141" i="1"/>
  <c r="R62" i="1"/>
  <c r="N62" i="1"/>
  <c r="N348" i="1"/>
  <c r="R348" i="1"/>
  <c r="U10828" i="1"/>
  <c r="R177" i="1"/>
  <c r="N177" i="1"/>
  <c r="N199" i="1"/>
  <c r="R199" i="1"/>
  <c r="R347" i="1"/>
  <c r="N347" i="1"/>
  <c r="U10678" i="1"/>
  <c r="U10837" i="1"/>
  <c r="U10652" i="1"/>
  <c r="N103" i="1"/>
  <c r="R103" i="1"/>
  <c r="N237" i="1"/>
  <c r="R237" i="1"/>
  <c r="R248" i="1"/>
  <c r="N248" i="1"/>
  <c r="N373" i="1"/>
  <c r="R373" i="1"/>
  <c r="R202" i="1"/>
  <c r="N202" i="1"/>
  <c r="R376" i="1"/>
  <c r="N376" i="1"/>
  <c r="U10779" i="1"/>
  <c r="U10834" i="1"/>
  <c r="N178" i="1"/>
  <c r="R178" i="1"/>
  <c r="N60" i="1"/>
  <c r="R60" i="1"/>
  <c r="R388" i="1"/>
  <c r="N388" i="1"/>
  <c r="U10736" i="1"/>
  <c r="U10800" i="1"/>
  <c r="R38" i="1"/>
  <c r="N38" i="1"/>
  <c r="R238" i="1"/>
  <c r="N238" i="1"/>
  <c r="N408" i="1"/>
  <c r="R408" i="1"/>
  <c r="U10505" i="1"/>
  <c r="R120" i="1"/>
  <c r="N120" i="1"/>
  <c r="R401" i="1"/>
  <c r="N401" i="1"/>
  <c r="R190" i="1"/>
  <c r="N190" i="1"/>
  <c r="N144" i="1"/>
  <c r="R144" i="1"/>
  <c r="R384" i="1"/>
  <c r="N384" i="1"/>
  <c r="U10747" i="1"/>
  <c r="U10856" i="1"/>
  <c r="N193" i="1"/>
  <c r="R193" i="1"/>
  <c r="R184" i="1"/>
  <c r="N184" i="1"/>
  <c r="N380" i="1"/>
  <c r="R380" i="1"/>
  <c r="U10810" i="1"/>
  <c r="U10851" i="1"/>
  <c r="U10500" i="1"/>
  <c r="N169" i="1"/>
  <c r="R169" i="1"/>
  <c r="R117" i="1"/>
  <c r="N117" i="1"/>
  <c r="R150" i="1"/>
  <c r="N150" i="1"/>
  <c r="U10770" i="1"/>
  <c r="U10794" i="1"/>
  <c r="U10848" i="1"/>
  <c r="N65" i="1"/>
  <c r="R65" i="1"/>
  <c r="U10728" i="1"/>
  <c r="U10536" i="1"/>
  <c r="N44" i="1"/>
  <c r="R44" i="1"/>
  <c r="N336" i="1"/>
  <c r="R336" i="1"/>
  <c r="U10861" i="1"/>
  <c r="O232" i="1" l="1"/>
  <c r="P232" i="1" s="1"/>
  <c r="J232" i="1" s="1"/>
  <c r="O226" i="1"/>
  <c r="P226" i="1" s="1"/>
  <c r="O233" i="1"/>
  <c r="P233" i="1" s="1"/>
  <c r="J233" i="1" s="1"/>
  <c r="O227" i="1"/>
  <c r="P227" i="1" s="1"/>
  <c r="J227" i="1" s="1"/>
  <c r="O228" i="1"/>
  <c r="P228" i="1" s="1"/>
  <c r="J228" i="1" s="1"/>
  <c r="O229" i="1"/>
  <c r="P229" i="1" s="1"/>
  <c r="J229" i="1" s="1"/>
  <c r="O230" i="1"/>
  <c r="P230" i="1" s="1"/>
  <c r="J230" i="1" s="1"/>
  <c r="O231" i="1"/>
  <c r="P231" i="1" s="1"/>
  <c r="J231" i="1" s="1"/>
  <c r="U10753" i="1"/>
  <c r="U10815" i="1"/>
  <c r="U10812" i="1"/>
  <c r="U10798" i="1"/>
  <c r="U10793" i="1"/>
  <c r="U10803" i="1"/>
  <c r="U10797" i="1"/>
  <c r="U10672" i="1"/>
  <c r="U10727" i="1"/>
  <c r="U10853" i="1"/>
  <c r="U10869" i="1"/>
  <c r="U10867" i="1"/>
  <c r="U10689" i="1"/>
  <c r="U10846" i="1"/>
  <c r="U10783" i="1"/>
  <c r="U10715" i="1"/>
  <c r="U10796" i="1"/>
  <c r="U10732" i="1"/>
  <c r="U10675" i="1"/>
  <c r="U10785" i="1"/>
  <c r="U10758" i="1"/>
  <c r="U10821" i="1"/>
  <c r="U10825" i="1"/>
  <c r="U10717" i="1"/>
  <c r="U10843" i="1"/>
  <c r="U10674" i="1"/>
  <c r="U10762" i="1"/>
  <c r="U10854" i="1"/>
  <c r="U10773" i="1"/>
  <c r="U10710" i="1"/>
  <c r="U10709" i="1"/>
  <c r="U10692" i="1"/>
  <c r="U10811" i="1"/>
  <c r="U10788" i="1"/>
  <c r="U10822" i="1"/>
  <c r="U10749" i="1"/>
  <c r="U10734" i="1"/>
  <c r="U10693" i="1"/>
  <c r="U10838" i="1"/>
  <c r="U10697" i="1"/>
  <c r="U10850" i="1"/>
  <c r="U10787" i="1"/>
  <c r="U10541" i="1"/>
  <c r="U10683" i="1"/>
  <c r="U10802" i="1"/>
  <c r="U10721" i="1"/>
  <c r="U10726" i="1"/>
  <c r="U10832" i="1"/>
  <c r="O216" i="1"/>
  <c r="P216" i="1" s="1"/>
  <c r="J216" i="1" s="1"/>
  <c r="O212" i="1"/>
  <c r="P212" i="1" s="1"/>
  <c r="J212" i="1" s="1"/>
  <c r="O199" i="1"/>
  <c r="P199" i="1" s="1"/>
  <c r="J199" i="1" s="1"/>
  <c r="O195" i="1"/>
  <c r="P195" i="1" s="1"/>
  <c r="J195" i="1" s="1"/>
  <c r="O225" i="1"/>
  <c r="P225" i="1" s="1"/>
  <c r="J225" i="1" s="1"/>
  <c r="O208" i="1"/>
  <c r="P208" i="1" s="1"/>
  <c r="J208" i="1" s="1"/>
  <c r="O191" i="1"/>
  <c r="P191" i="1" s="1"/>
  <c r="J191" i="1" s="1"/>
  <c r="O174" i="1"/>
  <c r="P174" i="1" s="1"/>
  <c r="J174" i="1" s="1"/>
  <c r="O170" i="1"/>
  <c r="P170" i="1" s="1"/>
  <c r="J170" i="1" s="1"/>
  <c r="O157" i="1"/>
  <c r="P157" i="1" s="1"/>
  <c r="J157" i="1" s="1"/>
  <c r="O153" i="1"/>
  <c r="P153" i="1" s="1"/>
  <c r="J153" i="1" s="1"/>
  <c r="O136" i="1"/>
  <c r="P136" i="1" s="1"/>
  <c r="J136" i="1" s="1"/>
  <c r="O119" i="1"/>
  <c r="P119" i="1" s="1"/>
  <c r="J119" i="1" s="1"/>
  <c r="O102" i="1"/>
  <c r="P102" i="1" s="1"/>
  <c r="J102" i="1" s="1"/>
  <c r="O221" i="1"/>
  <c r="P221" i="1" s="1"/>
  <c r="J221" i="1" s="1"/>
  <c r="O204" i="1"/>
  <c r="P204" i="1" s="1"/>
  <c r="J204" i="1" s="1"/>
  <c r="O200" i="1"/>
  <c r="P200" i="1" s="1"/>
  <c r="J200" i="1" s="1"/>
  <c r="O187" i="1"/>
  <c r="P187" i="1" s="1"/>
  <c r="J187" i="1" s="1"/>
  <c r="O183" i="1"/>
  <c r="P183" i="1" s="1"/>
  <c r="J183" i="1" s="1"/>
  <c r="O166" i="1"/>
  <c r="P166" i="1" s="1"/>
  <c r="J166" i="1" s="1"/>
  <c r="O149" i="1"/>
  <c r="P149" i="1" s="1"/>
  <c r="J149" i="1" s="1"/>
  <c r="O132" i="1"/>
  <c r="P132" i="1" s="1"/>
  <c r="J132" i="1" s="1"/>
  <c r="O128" i="1"/>
  <c r="P128" i="1" s="1"/>
  <c r="J128" i="1" s="1"/>
  <c r="O115" i="1"/>
  <c r="P115" i="1" s="1"/>
  <c r="J115" i="1" s="1"/>
  <c r="O111" i="1"/>
  <c r="P111" i="1" s="1"/>
  <c r="J111" i="1" s="1"/>
  <c r="O94" i="1"/>
  <c r="P94" i="1" s="1"/>
  <c r="J94" i="1" s="1"/>
  <c r="O77" i="1"/>
  <c r="P77" i="1" s="1"/>
  <c r="J77" i="1" s="1"/>
  <c r="O60" i="1"/>
  <c r="P60" i="1" s="1"/>
  <c r="J60" i="1" s="1"/>
  <c r="O56" i="1"/>
  <c r="P56" i="1" s="1"/>
  <c r="J56" i="1" s="1"/>
  <c r="O217" i="1"/>
  <c r="P217" i="1" s="1"/>
  <c r="J217" i="1" s="1"/>
  <c r="O213" i="1"/>
  <c r="P213" i="1" s="1"/>
  <c r="J213" i="1" s="1"/>
  <c r="O196" i="1"/>
  <c r="P196" i="1" s="1"/>
  <c r="J196" i="1" s="1"/>
  <c r="O179" i="1"/>
  <c r="P179" i="1" s="1"/>
  <c r="J179" i="1" s="1"/>
  <c r="O162" i="1"/>
  <c r="P162" i="1" s="1"/>
  <c r="J162" i="1" s="1"/>
  <c r="O209" i="1"/>
  <c r="P209" i="1" s="1"/>
  <c r="J209" i="1" s="1"/>
  <c r="O192" i="1"/>
  <c r="P192" i="1" s="1"/>
  <c r="J192" i="1" s="1"/>
  <c r="O188" i="1"/>
  <c r="P188" i="1" s="1"/>
  <c r="J188" i="1" s="1"/>
  <c r="O175" i="1"/>
  <c r="P175" i="1" s="1"/>
  <c r="J175" i="1" s="1"/>
  <c r="O171" i="1"/>
  <c r="P171" i="1" s="1"/>
  <c r="J171" i="1" s="1"/>
  <c r="O154" i="1"/>
  <c r="P154" i="1" s="1"/>
  <c r="J154" i="1" s="1"/>
  <c r="O137" i="1"/>
  <c r="P137" i="1" s="1"/>
  <c r="J137" i="1" s="1"/>
  <c r="O120" i="1"/>
  <c r="P120" i="1" s="1"/>
  <c r="J120" i="1" s="1"/>
  <c r="O116" i="1"/>
  <c r="P116" i="1" s="1"/>
  <c r="J116" i="1" s="1"/>
  <c r="O103" i="1"/>
  <c r="P103" i="1" s="1"/>
  <c r="J103" i="1" s="1"/>
  <c r="O99" i="1"/>
  <c r="P99" i="1" s="1"/>
  <c r="J99" i="1" s="1"/>
  <c r="O82" i="1"/>
  <c r="P82" i="1" s="1"/>
  <c r="J82" i="1" s="1"/>
  <c r="O222" i="1"/>
  <c r="P222" i="1" s="1"/>
  <c r="J222" i="1" s="1"/>
  <c r="O218" i="1"/>
  <c r="P218" i="1" s="1"/>
  <c r="J218" i="1" s="1"/>
  <c r="O205" i="1"/>
  <c r="P205" i="1" s="1"/>
  <c r="J205" i="1" s="1"/>
  <c r="O201" i="1"/>
  <c r="P201" i="1" s="1"/>
  <c r="J201" i="1" s="1"/>
  <c r="O184" i="1"/>
  <c r="P184" i="1" s="1"/>
  <c r="J184" i="1" s="1"/>
  <c r="O167" i="1"/>
  <c r="P167" i="1" s="1"/>
  <c r="J167" i="1" s="1"/>
  <c r="O150" i="1"/>
  <c r="P150" i="1" s="1"/>
  <c r="J150" i="1" s="1"/>
  <c r="O146" i="1"/>
  <c r="P146" i="1" s="1"/>
  <c r="J146" i="1" s="1"/>
  <c r="O214" i="1"/>
  <c r="P214" i="1" s="1"/>
  <c r="J214" i="1" s="1"/>
  <c r="O197" i="1"/>
  <c r="P197" i="1" s="1"/>
  <c r="J197" i="1" s="1"/>
  <c r="O180" i="1"/>
  <c r="P180" i="1" s="1"/>
  <c r="J180" i="1" s="1"/>
  <c r="O176" i="1"/>
  <c r="P176" i="1" s="1"/>
  <c r="J176" i="1" s="1"/>
  <c r="O163" i="1"/>
  <c r="P163" i="1" s="1"/>
  <c r="J163" i="1" s="1"/>
  <c r="O159" i="1"/>
  <c r="P159" i="1" s="1"/>
  <c r="J159" i="1" s="1"/>
  <c r="O142" i="1"/>
  <c r="P142" i="1" s="1"/>
  <c r="J142" i="1" s="1"/>
  <c r="O125" i="1"/>
  <c r="P125" i="1" s="1"/>
  <c r="J125" i="1" s="1"/>
  <c r="O108" i="1"/>
  <c r="P108" i="1" s="1"/>
  <c r="J108" i="1" s="1"/>
  <c r="O104" i="1"/>
  <c r="P104" i="1" s="1"/>
  <c r="J104" i="1" s="1"/>
  <c r="O91" i="1"/>
  <c r="P91" i="1" s="1"/>
  <c r="J91" i="1" s="1"/>
  <c r="O87" i="1"/>
  <c r="P87" i="1" s="1"/>
  <c r="J87" i="1" s="1"/>
  <c r="O70" i="1"/>
  <c r="P70" i="1" s="1"/>
  <c r="J70" i="1" s="1"/>
  <c r="O53" i="1"/>
  <c r="P53" i="1" s="1"/>
  <c r="J53" i="1" s="1"/>
  <c r="O36" i="1"/>
  <c r="P36" i="1" s="1"/>
  <c r="J36" i="1" s="1"/>
  <c r="O32" i="1"/>
  <c r="P32" i="1" s="1"/>
  <c r="J32" i="1" s="1"/>
  <c r="O210" i="1"/>
  <c r="P210" i="1" s="1"/>
  <c r="J210" i="1" s="1"/>
  <c r="O206" i="1"/>
  <c r="P206" i="1" s="1"/>
  <c r="J206" i="1" s="1"/>
  <c r="O193" i="1"/>
  <c r="P193" i="1" s="1"/>
  <c r="J193" i="1" s="1"/>
  <c r="O189" i="1"/>
  <c r="P189" i="1" s="1"/>
  <c r="J189" i="1" s="1"/>
  <c r="O172" i="1"/>
  <c r="P172" i="1" s="1"/>
  <c r="J172" i="1" s="1"/>
  <c r="O155" i="1"/>
  <c r="P155" i="1" s="1"/>
  <c r="J155" i="1" s="1"/>
  <c r="O138" i="1"/>
  <c r="P138" i="1" s="1"/>
  <c r="J138" i="1" s="1"/>
  <c r="O223" i="1"/>
  <c r="P223" i="1" s="1"/>
  <c r="J223" i="1" s="1"/>
  <c r="O219" i="1"/>
  <c r="P219" i="1" s="1"/>
  <c r="J219" i="1" s="1"/>
  <c r="O202" i="1"/>
  <c r="P202" i="1" s="1"/>
  <c r="J202" i="1" s="1"/>
  <c r="O185" i="1"/>
  <c r="P185" i="1" s="1"/>
  <c r="J185" i="1" s="1"/>
  <c r="O168" i="1"/>
  <c r="P168" i="1" s="1"/>
  <c r="J168" i="1" s="1"/>
  <c r="O164" i="1"/>
  <c r="P164" i="1" s="1"/>
  <c r="J164" i="1" s="1"/>
  <c r="O151" i="1"/>
  <c r="P151" i="1" s="1"/>
  <c r="J151" i="1" s="1"/>
  <c r="O147" i="1"/>
  <c r="P147" i="1" s="1"/>
  <c r="J147" i="1" s="1"/>
  <c r="O130" i="1"/>
  <c r="P130" i="1" s="1"/>
  <c r="J130" i="1" s="1"/>
  <c r="O113" i="1"/>
  <c r="P113" i="1" s="1"/>
  <c r="J113" i="1" s="1"/>
  <c r="O96" i="1"/>
  <c r="P96" i="1" s="1"/>
  <c r="J96" i="1" s="1"/>
  <c r="O92" i="1"/>
  <c r="P92" i="1" s="1"/>
  <c r="J92" i="1" s="1"/>
  <c r="O215" i="1"/>
  <c r="P215" i="1" s="1"/>
  <c r="J215" i="1" s="1"/>
  <c r="O198" i="1"/>
  <c r="P198" i="1" s="1"/>
  <c r="J198" i="1" s="1"/>
  <c r="O194" i="1"/>
  <c r="P194" i="1" s="1"/>
  <c r="J194" i="1" s="1"/>
  <c r="O181" i="1"/>
  <c r="P181" i="1" s="1"/>
  <c r="J181" i="1" s="1"/>
  <c r="O177" i="1"/>
  <c r="P177" i="1" s="1"/>
  <c r="J177" i="1" s="1"/>
  <c r="O160" i="1"/>
  <c r="P160" i="1" s="1"/>
  <c r="J160" i="1" s="1"/>
  <c r="O224" i="1"/>
  <c r="P224" i="1" s="1"/>
  <c r="J224" i="1" s="1"/>
  <c r="O211" i="1"/>
  <c r="P211" i="1" s="1"/>
  <c r="J211" i="1" s="1"/>
  <c r="O207" i="1"/>
  <c r="P207" i="1" s="1"/>
  <c r="J207" i="1" s="1"/>
  <c r="O190" i="1"/>
  <c r="P190" i="1" s="1"/>
  <c r="J190" i="1" s="1"/>
  <c r="O173" i="1"/>
  <c r="P173" i="1" s="1"/>
  <c r="J173" i="1" s="1"/>
  <c r="O156" i="1"/>
  <c r="P156" i="1" s="1"/>
  <c r="J156" i="1" s="1"/>
  <c r="O152" i="1"/>
  <c r="P152" i="1" s="1"/>
  <c r="J152" i="1" s="1"/>
  <c r="O139" i="1"/>
  <c r="P139" i="1" s="1"/>
  <c r="J139" i="1" s="1"/>
  <c r="O135" i="1"/>
  <c r="P135" i="1" s="1"/>
  <c r="J135" i="1" s="1"/>
  <c r="O118" i="1"/>
  <c r="P118" i="1" s="1"/>
  <c r="J118" i="1" s="1"/>
  <c r="O101" i="1"/>
  <c r="P101" i="1" s="1"/>
  <c r="J101" i="1" s="1"/>
  <c r="O84" i="1"/>
  <c r="P84" i="1" s="1"/>
  <c r="J84" i="1" s="1"/>
  <c r="O80" i="1"/>
  <c r="P80" i="1" s="1"/>
  <c r="J80" i="1" s="1"/>
  <c r="O67" i="1"/>
  <c r="P67" i="1" s="1"/>
  <c r="J67" i="1" s="1"/>
  <c r="O63" i="1"/>
  <c r="P63" i="1" s="1"/>
  <c r="J63" i="1" s="1"/>
  <c r="O220" i="1"/>
  <c r="P220" i="1" s="1"/>
  <c r="J220" i="1" s="1"/>
  <c r="O203" i="1"/>
  <c r="P203" i="1" s="1"/>
  <c r="J203" i="1" s="1"/>
  <c r="O186" i="1"/>
  <c r="P186" i="1" s="1"/>
  <c r="J186" i="1" s="1"/>
  <c r="O182" i="1"/>
  <c r="P182" i="1" s="1"/>
  <c r="J182" i="1" s="1"/>
  <c r="O169" i="1"/>
  <c r="P169" i="1" s="1"/>
  <c r="J169" i="1" s="1"/>
  <c r="O165" i="1"/>
  <c r="P165" i="1" s="1"/>
  <c r="J165" i="1" s="1"/>
  <c r="O148" i="1"/>
  <c r="P148" i="1" s="1"/>
  <c r="J148" i="1" s="1"/>
  <c r="O131" i="1"/>
  <c r="P131" i="1" s="1"/>
  <c r="J131" i="1" s="1"/>
  <c r="O114" i="1"/>
  <c r="P114" i="1" s="1"/>
  <c r="J114" i="1" s="1"/>
  <c r="O110" i="1"/>
  <c r="P110" i="1" s="1"/>
  <c r="J110" i="1" s="1"/>
  <c r="O97" i="1"/>
  <c r="P97" i="1" s="1"/>
  <c r="J97" i="1" s="1"/>
  <c r="O81" i="1"/>
  <c r="P81" i="1" s="1"/>
  <c r="J81" i="1" s="1"/>
  <c r="O68" i="1"/>
  <c r="P68" i="1" s="1"/>
  <c r="J68" i="1" s="1"/>
  <c r="O55" i="1"/>
  <c r="P55" i="1" s="1"/>
  <c r="J55" i="1" s="1"/>
  <c r="O46" i="1"/>
  <c r="P46" i="1" s="1"/>
  <c r="J46" i="1" s="1"/>
  <c r="O25" i="1"/>
  <c r="P25" i="1" s="1"/>
  <c r="J25" i="1" s="1"/>
  <c r="O126" i="1"/>
  <c r="P126" i="1" s="1"/>
  <c r="J126" i="1" s="1"/>
  <c r="O88" i="1"/>
  <c r="P88" i="1" s="1"/>
  <c r="J88" i="1" s="1"/>
  <c r="O76" i="1"/>
  <c r="P76" i="1" s="1"/>
  <c r="J76" i="1" s="1"/>
  <c r="O58" i="1"/>
  <c r="P58" i="1" s="1"/>
  <c r="J58" i="1" s="1"/>
  <c r="O22" i="1"/>
  <c r="P22" i="1" s="1"/>
  <c r="J22" i="1" s="1"/>
  <c r="O145" i="1"/>
  <c r="P145" i="1" s="1"/>
  <c r="J145" i="1" s="1"/>
  <c r="O121" i="1"/>
  <c r="P121" i="1" s="1"/>
  <c r="J121" i="1" s="1"/>
  <c r="O109" i="1"/>
  <c r="P109" i="1" s="1"/>
  <c r="J109" i="1" s="1"/>
  <c r="O86" i="1"/>
  <c r="P86" i="1" s="1"/>
  <c r="J86" i="1" s="1"/>
  <c r="O71" i="1"/>
  <c r="P71" i="1" s="1"/>
  <c r="J71" i="1" s="1"/>
  <c r="O43" i="1"/>
  <c r="P43" i="1" s="1"/>
  <c r="J43" i="1" s="1"/>
  <c r="O133" i="1"/>
  <c r="P133" i="1" s="1"/>
  <c r="J133" i="1" s="1"/>
  <c r="O123" i="1"/>
  <c r="P123" i="1" s="1"/>
  <c r="J123" i="1" s="1"/>
  <c r="O95" i="1"/>
  <c r="P95" i="1" s="1"/>
  <c r="J95" i="1" s="1"/>
  <c r="O79" i="1"/>
  <c r="P79" i="1" s="1"/>
  <c r="J79" i="1" s="1"/>
  <c r="O66" i="1"/>
  <c r="P66" i="1" s="1"/>
  <c r="J66" i="1" s="1"/>
  <c r="O50" i="1"/>
  <c r="P50" i="1" s="1"/>
  <c r="J50" i="1" s="1"/>
  <c r="O47" i="1"/>
  <c r="P47" i="1" s="1"/>
  <c r="J47" i="1" s="1"/>
  <c r="O158" i="1"/>
  <c r="P158" i="1" s="1"/>
  <c r="J158" i="1" s="1"/>
  <c r="O106" i="1"/>
  <c r="P106" i="1" s="1"/>
  <c r="J106" i="1" s="1"/>
  <c r="O93" i="1"/>
  <c r="P93" i="1" s="1"/>
  <c r="J93" i="1" s="1"/>
  <c r="O74" i="1"/>
  <c r="P74" i="1" s="1"/>
  <c r="J74" i="1" s="1"/>
  <c r="O61" i="1"/>
  <c r="P61" i="1" s="1"/>
  <c r="J61" i="1" s="1"/>
  <c r="O19" i="1"/>
  <c r="P19" i="1" s="1"/>
  <c r="J19" i="1" s="1"/>
  <c r="O141" i="1"/>
  <c r="P141" i="1" s="1"/>
  <c r="J141" i="1" s="1"/>
  <c r="O69" i="1"/>
  <c r="P69" i="1" s="1"/>
  <c r="J69" i="1" s="1"/>
  <c r="O44" i="1"/>
  <c r="P44" i="1" s="1"/>
  <c r="J44" i="1" s="1"/>
  <c r="O37" i="1"/>
  <c r="P37" i="1" s="1"/>
  <c r="J37" i="1" s="1"/>
  <c r="O30" i="1"/>
  <c r="P30" i="1" s="1"/>
  <c r="J30" i="1" s="1"/>
  <c r="O23" i="1"/>
  <c r="P23" i="1" s="1"/>
  <c r="J23" i="1" s="1"/>
  <c r="O144" i="1"/>
  <c r="P144" i="1" s="1"/>
  <c r="J144" i="1" s="1"/>
  <c r="O89" i="1"/>
  <c r="P89" i="1" s="1"/>
  <c r="J89" i="1" s="1"/>
  <c r="O64" i="1"/>
  <c r="P64" i="1" s="1"/>
  <c r="J64" i="1" s="1"/>
  <c r="O59" i="1"/>
  <c r="P59" i="1" s="1"/>
  <c r="J59" i="1" s="1"/>
  <c r="O41" i="1"/>
  <c r="P41" i="1" s="1"/>
  <c r="J41" i="1" s="1"/>
  <c r="O34" i="1"/>
  <c r="P34" i="1" s="1"/>
  <c r="J34" i="1" s="1"/>
  <c r="O161" i="1"/>
  <c r="P161" i="1" s="1"/>
  <c r="J161" i="1" s="1"/>
  <c r="O72" i="1"/>
  <c r="P72" i="1" s="1"/>
  <c r="J72" i="1" s="1"/>
  <c r="O54" i="1"/>
  <c r="P54" i="1" s="1"/>
  <c r="J54" i="1" s="1"/>
  <c r="O51" i="1"/>
  <c r="P51" i="1" s="1"/>
  <c r="J51" i="1" s="1"/>
  <c r="O48" i="1"/>
  <c r="P48" i="1" s="1"/>
  <c r="J48" i="1" s="1"/>
  <c r="O27" i="1"/>
  <c r="P27" i="1" s="1"/>
  <c r="J27" i="1" s="1"/>
  <c r="O20" i="1"/>
  <c r="P20" i="1" s="1"/>
  <c r="J20" i="1" s="1"/>
  <c r="O140" i="1"/>
  <c r="P140" i="1" s="1"/>
  <c r="J140" i="1" s="1"/>
  <c r="O75" i="1"/>
  <c r="P75" i="1" s="1"/>
  <c r="J75" i="1" s="1"/>
  <c r="O143" i="1"/>
  <c r="P143" i="1" s="1"/>
  <c r="J143" i="1" s="1"/>
  <c r="O134" i="1"/>
  <c r="P134" i="1" s="1"/>
  <c r="J134" i="1" s="1"/>
  <c r="O127" i="1"/>
  <c r="P127" i="1" s="1"/>
  <c r="J127" i="1" s="1"/>
  <c r="O122" i="1"/>
  <c r="P122" i="1" s="1"/>
  <c r="J122" i="1" s="1"/>
  <c r="O117" i="1"/>
  <c r="P117" i="1" s="1"/>
  <c r="J117" i="1" s="1"/>
  <c r="O85" i="1"/>
  <c r="P85" i="1" s="1"/>
  <c r="J85" i="1" s="1"/>
  <c r="O57" i="1"/>
  <c r="P57" i="1" s="1"/>
  <c r="J57" i="1" s="1"/>
  <c r="O31" i="1"/>
  <c r="P31" i="1" s="1"/>
  <c r="J31" i="1" s="1"/>
  <c r="O12" i="1"/>
  <c r="P12" i="1" s="1"/>
  <c r="J12" i="1" s="1"/>
  <c r="O178" i="1"/>
  <c r="P178" i="1" s="1"/>
  <c r="J178" i="1" s="1"/>
  <c r="O129" i="1"/>
  <c r="P129" i="1" s="1"/>
  <c r="J129" i="1" s="1"/>
  <c r="O105" i="1"/>
  <c r="P105" i="1" s="1"/>
  <c r="J105" i="1" s="1"/>
  <c r="O100" i="1"/>
  <c r="P100" i="1" s="1"/>
  <c r="J100" i="1" s="1"/>
  <c r="O98" i="1"/>
  <c r="P98" i="1" s="1"/>
  <c r="J98" i="1" s="1"/>
  <c r="O83" i="1"/>
  <c r="P83" i="1" s="1"/>
  <c r="J83" i="1" s="1"/>
  <c r="O78" i="1"/>
  <c r="P78" i="1" s="1"/>
  <c r="J78" i="1" s="1"/>
  <c r="O124" i="1"/>
  <c r="P124" i="1" s="1"/>
  <c r="J124" i="1" s="1"/>
  <c r="O112" i="1"/>
  <c r="P112" i="1" s="1"/>
  <c r="J112" i="1" s="1"/>
  <c r="O107" i="1"/>
  <c r="P107" i="1" s="1"/>
  <c r="J107" i="1" s="1"/>
  <c r="O90" i="1"/>
  <c r="P90" i="1" s="1"/>
  <c r="J90" i="1" s="1"/>
  <c r="O73" i="1"/>
  <c r="P73" i="1" s="1"/>
  <c r="J73" i="1" s="1"/>
  <c r="O38" i="1"/>
  <c r="P38" i="1" s="1"/>
  <c r="J38" i="1" s="1"/>
  <c r="O33" i="1"/>
  <c r="P33" i="1" s="1"/>
  <c r="J33" i="1" s="1"/>
  <c r="O26" i="1"/>
  <c r="P26" i="1" s="1"/>
  <c r="J26" i="1" s="1"/>
  <c r="O62" i="1"/>
  <c r="P62" i="1" s="1"/>
  <c r="J62" i="1" s="1"/>
  <c r="O35" i="1"/>
  <c r="P35" i="1" s="1"/>
  <c r="J35" i="1" s="1"/>
  <c r="O28" i="1"/>
  <c r="P28" i="1" s="1"/>
  <c r="J28" i="1" s="1"/>
  <c r="O14" i="1"/>
  <c r="P14" i="1" s="1"/>
  <c r="J14" i="1" s="1"/>
  <c r="O21" i="1"/>
  <c r="P21" i="1" s="1"/>
  <c r="J21" i="1" s="1"/>
  <c r="O65" i="1"/>
  <c r="P65" i="1" s="1"/>
  <c r="J65" i="1" s="1"/>
  <c r="O40" i="1"/>
  <c r="P40" i="1" s="1"/>
  <c r="J40" i="1" s="1"/>
  <c r="O49" i="1"/>
  <c r="P49" i="1" s="1"/>
  <c r="J49" i="1" s="1"/>
  <c r="O52" i="1"/>
  <c r="P52" i="1" s="1"/>
  <c r="J52" i="1" s="1"/>
  <c r="O45" i="1"/>
  <c r="P45" i="1" s="1"/>
  <c r="J45" i="1" s="1"/>
  <c r="O39" i="1"/>
  <c r="P39" i="1" s="1"/>
  <c r="J39" i="1" s="1"/>
  <c r="O29" i="1"/>
  <c r="P29" i="1" s="1"/>
  <c r="J29" i="1" s="1"/>
  <c r="O42" i="1"/>
  <c r="P42" i="1" s="1"/>
  <c r="J42" i="1" s="1"/>
  <c r="O13" i="1"/>
  <c r="P13" i="1" s="1"/>
  <c r="J13" i="1" s="1"/>
  <c r="O24" i="1"/>
  <c r="P24" i="1" s="1"/>
  <c r="J24" i="1" s="1"/>
  <c r="O18" i="1"/>
  <c r="P18" i="1" s="1"/>
  <c r="J18" i="1" s="1"/>
  <c r="O10" i="1"/>
  <c r="P10" i="1" s="1"/>
  <c r="O15" i="1"/>
  <c r="P15" i="1" s="1"/>
  <c r="J15" i="1" s="1"/>
  <c r="O17" i="1"/>
  <c r="P17" i="1" s="1"/>
  <c r="J17" i="1" s="1"/>
  <c r="O11" i="1"/>
  <c r="P11" i="1" s="1"/>
  <c r="J11" i="1" s="1"/>
  <c r="O16" i="1"/>
  <c r="P16" i="1" s="1"/>
  <c r="J16" i="1" s="1"/>
  <c r="U10716" i="1"/>
  <c r="U10857" i="1"/>
  <c r="U10808" i="1"/>
  <c r="U10752" i="1"/>
  <c r="U10700" i="1"/>
  <c r="U10712" i="1"/>
  <c r="U10782" i="1"/>
  <c r="U10673" i="1"/>
  <c r="U10723" i="1"/>
  <c r="U10790" i="1"/>
  <c r="U10849" i="1"/>
  <c r="U10650" i="1"/>
  <c r="U10763" i="1"/>
  <c r="U10684" i="1"/>
  <c r="U10862" i="1"/>
  <c r="U10730" i="1"/>
  <c r="U10702" i="1"/>
  <c r="U10827" i="1"/>
  <c r="U10682" i="1"/>
  <c r="U10691" i="1"/>
  <c r="U10791" i="1"/>
  <c r="U10679" i="1"/>
  <c r="U10731" i="1"/>
  <c r="U10545" i="1"/>
  <c r="U10657" i="1"/>
  <c r="U10826" i="1"/>
  <c r="U10819" i="1"/>
  <c r="U10733" i="1"/>
  <c r="U10781" i="1"/>
  <c r="U10708" i="1"/>
  <c r="U10677" i="1"/>
  <c r="U10830" i="1"/>
  <c r="O428" i="1"/>
  <c r="P428" i="1" s="1"/>
  <c r="J428" i="1" s="1"/>
  <c r="O429" i="1"/>
  <c r="P429" i="1" s="1"/>
  <c r="J429" i="1" s="1"/>
  <c r="O427" i="1"/>
  <c r="P427" i="1" s="1"/>
  <c r="J427" i="1" s="1"/>
  <c r="O420" i="1"/>
  <c r="P420" i="1" s="1"/>
  <c r="J420" i="1" s="1"/>
  <c r="O403" i="1"/>
  <c r="P403" i="1" s="1"/>
  <c r="J403" i="1" s="1"/>
  <c r="O399" i="1"/>
  <c r="P399" i="1" s="1"/>
  <c r="J399" i="1" s="1"/>
  <c r="O386" i="1"/>
  <c r="P386" i="1" s="1"/>
  <c r="J386" i="1" s="1"/>
  <c r="O382" i="1"/>
  <c r="P382" i="1" s="1"/>
  <c r="J382" i="1" s="1"/>
  <c r="O365" i="1"/>
  <c r="P365" i="1" s="1"/>
  <c r="J365" i="1" s="1"/>
  <c r="O348" i="1"/>
  <c r="P348" i="1" s="1"/>
  <c r="J348" i="1" s="1"/>
  <c r="O274" i="1"/>
  <c r="P274" i="1" s="1"/>
  <c r="J274" i="1" s="1"/>
  <c r="O270" i="1"/>
  <c r="P270" i="1" s="1"/>
  <c r="J270" i="1" s="1"/>
  <c r="O261" i="1"/>
  <c r="P261" i="1" s="1"/>
  <c r="J261" i="1" s="1"/>
  <c r="O257" i="1"/>
  <c r="P257" i="1" s="1"/>
  <c r="J257" i="1" s="1"/>
  <c r="O325" i="1"/>
  <c r="P325" i="1" s="1"/>
  <c r="J325" i="1" s="1"/>
  <c r="O416" i="1"/>
  <c r="P416" i="1" s="1"/>
  <c r="J416" i="1" s="1"/>
  <c r="O412" i="1"/>
  <c r="P412" i="1" s="1"/>
  <c r="J412" i="1" s="1"/>
  <c r="O395" i="1"/>
  <c r="P395" i="1" s="1"/>
  <c r="J395" i="1" s="1"/>
  <c r="O378" i="1"/>
  <c r="P378" i="1" s="1"/>
  <c r="J378" i="1" s="1"/>
  <c r="O361" i="1"/>
  <c r="P361" i="1" s="1"/>
  <c r="J361" i="1" s="1"/>
  <c r="O357" i="1"/>
  <c r="P357" i="1" s="1"/>
  <c r="J357" i="1" s="1"/>
  <c r="O344" i="1"/>
  <c r="P344" i="1" s="1"/>
  <c r="J344" i="1" s="1"/>
  <c r="O340" i="1"/>
  <c r="P340" i="1" s="1"/>
  <c r="J340" i="1" s="1"/>
  <c r="O424" i="1"/>
  <c r="P424" i="1" s="1"/>
  <c r="J424" i="1" s="1"/>
  <c r="O408" i="1"/>
  <c r="P408" i="1" s="1"/>
  <c r="J408" i="1" s="1"/>
  <c r="O391" i="1"/>
  <c r="P391" i="1" s="1"/>
  <c r="J391" i="1" s="1"/>
  <c r="O387" i="1"/>
  <c r="P387" i="1" s="1"/>
  <c r="J387" i="1" s="1"/>
  <c r="O374" i="1"/>
  <c r="P374" i="1" s="1"/>
  <c r="J374" i="1" s="1"/>
  <c r="O370" i="1"/>
  <c r="P370" i="1" s="1"/>
  <c r="J370" i="1" s="1"/>
  <c r="O353" i="1"/>
  <c r="P353" i="1" s="1"/>
  <c r="J353" i="1" s="1"/>
  <c r="O336" i="1"/>
  <c r="P336" i="1" s="1"/>
  <c r="J336" i="1" s="1"/>
  <c r="O327" i="1"/>
  <c r="P327" i="1" s="1"/>
  <c r="J327" i="1" s="1"/>
  <c r="O262" i="1"/>
  <c r="P262" i="1" s="1"/>
  <c r="J262" i="1" s="1"/>
  <c r="O249" i="1"/>
  <c r="P249" i="1" s="1"/>
  <c r="J249" i="1" s="1"/>
  <c r="O238" i="1"/>
  <c r="P238" i="1" s="1"/>
  <c r="J238" i="1" s="1"/>
  <c r="O421" i="1"/>
  <c r="P421" i="1" s="1"/>
  <c r="J421" i="1" s="1"/>
  <c r="O417" i="1"/>
  <c r="P417" i="1" s="1"/>
  <c r="J417" i="1" s="1"/>
  <c r="O404" i="1"/>
  <c r="P404" i="1" s="1"/>
  <c r="J404" i="1" s="1"/>
  <c r="O400" i="1"/>
  <c r="P400" i="1" s="1"/>
  <c r="J400" i="1" s="1"/>
  <c r="O383" i="1"/>
  <c r="P383" i="1" s="1"/>
  <c r="J383" i="1" s="1"/>
  <c r="O366" i="1"/>
  <c r="P366" i="1" s="1"/>
  <c r="J366" i="1" s="1"/>
  <c r="O349" i="1"/>
  <c r="P349" i="1" s="1"/>
  <c r="J349" i="1" s="1"/>
  <c r="O345" i="1"/>
  <c r="P345" i="1" s="1"/>
  <c r="J345" i="1" s="1"/>
  <c r="O275" i="1"/>
  <c r="P275" i="1" s="1"/>
  <c r="J275" i="1" s="1"/>
  <c r="O271" i="1"/>
  <c r="P271" i="1" s="1"/>
  <c r="J271" i="1" s="1"/>
  <c r="O258" i="1"/>
  <c r="P258" i="1" s="1"/>
  <c r="J258" i="1" s="1"/>
  <c r="O234" i="1"/>
  <c r="P234" i="1" s="1"/>
  <c r="J234" i="1" s="1"/>
  <c r="O266" i="1"/>
  <c r="P266" i="1" s="1"/>
  <c r="J266" i="1" s="1"/>
  <c r="O246" i="1"/>
  <c r="P246" i="1" s="1"/>
  <c r="J246" i="1" s="1"/>
  <c r="O300" i="1"/>
  <c r="P300" i="1" s="1"/>
  <c r="J300" i="1" s="1"/>
  <c r="O296" i="1"/>
  <c r="P296" i="1" s="1"/>
  <c r="J296" i="1" s="1"/>
  <c r="O286" i="1"/>
  <c r="P286" i="1" s="1"/>
  <c r="J286" i="1" s="1"/>
  <c r="O413" i="1"/>
  <c r="P413" i="1" s="1"/>
  <c r="J413" i="1" s="1"/>
  <c r="O396" i="1"/>
  <c r="P396" i="1" s="1"/>
  <c r="J396" i="1" s="1"/>
  <c r="O379" i="1"/>
  <c r="P379" i="1" s="1"/>
  <c r="J379" i="1" s="1"/>
  <c r="O375" i="1"/>
  <c r="P375" i="1" s="1"/>
  <c r="J375" i="1" s="1"/>
  <c r="O362" i="1"/>
  <c r="P362" i="1" s="1"/>
  <c r="J362" i="1" s="1"/>
  <c r="O358" i="1"/>
  <c r="P358" i="1" s="1"/>
  <c r="J358" i="1" s="1"/>
  <c r="O341" i="1"/>
  <c r="P341" i="1" s="1"/>
  <c r="J341" i="1" s="1"/>
  <c r="O332" i="1"/>
  <c r="P332" i="1" s="1"/>
  <c r="J332" i="1" s="1"/>
  <c r="O425" i="1"/>
  <c r="P425" i="1" s="1"/>
  <c r="J425" i="1" s="1"/>
  <c r="O409" i="1"/>
  <c r="P409" i="1" s="1"/>
  <c r="J409" i="1" s="1"/>
  <c r="O405" i="1"/>
  <c r="P405" i="1" s="1"/>
  <c r="J405" i="1" s="1"/>
  <c r="O392" i="1"/>
  <c r="P392" i="1" s="1"/>
  <c r="J392" i="1" s="1"/>
  <c r="O388" i="1"/>
  <c r="P388" i="1" s="1"/>
  <c r="J388" i="1" s="1"/>
  <c r="O371" i="1"/>
  <c r="P371" i="1" s="1"/>
  <c r="J371" i="1" s="1"/>
  <c r="O354" i="1"/>
  <c r="P354" i="1" s="1"/>
  <c r="J354" i="1" s="1"/>
  <c r="O337" i="1"/>
  <c r="P337" i="1" s="1"/>
  <c r="J337" i="1" s="1"/>
  <c r="O276" i="1"/>
  <c r="P276" i="1" s="1"/>
  <c r="J276" i="1" s="1"/>
  <c r="O328" i="1"/>
  <c r="P328" i="1" s="1"/>
  <c r="J328" i="1" s="1"/>
  <c r="O263" i="1"/>
  <c r="P263" i="1" s="1"/>
  <c r="J263" i="1" s="1"/>
  <c r="O239" i="1"/>
  <c r="P239" i="1" s="1"/>
  <c r="J239" i="1" s="1"/>
  <c r="O314" i="1"/>
  <c r="P314" i="1" s="1"/>
  <c r="J314" i="1" s="1"/>
  <c r="O305" i="1"/>
  <c r="P305" i="1" s="1"/>
  <c r="J305" i="1" s="1"/>
  <c r="O301" i="1"/>
  <c r="P301" i="1" s="1"/>
  <c r="J301" i="1" s="1"/>
  <c r="O291" i="1"/>
  <c r="P291" i="1" s="1"/>
  <c r="J291" i="1" s="1"/>
  <c r="O418" i="1"/>
  <c r="P418" i="1" s="1"/>
  <c r="J418" i="1" s="1"/>
  <c r="O401" i="1"/>
  <c r="P401" i="1" s="1"/>
  <c r="J401" i="1" s="1"/>
  <c r="O384" i="1"/>
  <c r="P384" i="1" s="1"/>
  <c r="J384" i="1" s="1"/>
  <c r="O367" i="1"/>
  <c r="P367" i="1" s="1"/>
  <c r="J367" i="1" s="1"/>
  <c r="O363" i="1"/>
  <c r="P363" i="1" s="1"/>
  <c r="J363" i="1" s="1"/>
  <c r="O350" i="1"/>
  <c r="P350" i="1" s="1"/>
  <c r="J350" i="1" s="1"/>
  <c r="O346" i="1"/>
  <c r="P346" i="1" s="1"/>
  <c r="J346" i="1" s="1"/>
  <c r="O272" i="1"/>
  <c r="P272" i="1" s="1"/>
  <c r="J272" i="1" s="1"/>
  <c r="O259" i="1"/>
  <c r="P259" i="1" s="1"/>
  <c r="J259" i="1" s="1"/>
  <c r="O235" i="1"/>
  <c r="P235" i="1" s="1"/>
  <c r="J235" i="1" s="1"/>
  <c r="O323" i="1"/>
  <c r="P323" i="1" s="1"/>
  <c r="J323" i="1" s="1"/>
  <c r="O267" i="1"/>
  <c r="P267" i="1" s="1"/>
  <c r="J267" i="1" s="1"/>
  <c r="O247" i="1"/>
  <c r="P247" i="1" s="1"/>
  <c r="J247" i="1" s="1"/>
  <c r="O422" i="1"/>
  <c r="P422" i="1" s="1"/>
  <c r="J422" i="1" s="1"/>
  <c r="O414" i="1"/>
  <c r="P414" i="1" s="1"/>
  <c r="J414" i="1" s="1"/>
  <c r="O397" i="1"/>
  <c r="P397" i="1" s="1"/>
  <c r="J397" i="1" s="1"/>
  <c r="O393" i="1"/>
  <c r="P393" i="1" s="1"/>
  <c r="J393" i="1" s="1"/>
  <c r="O380" i="1"/>
  <c r="P380" i="1" s="1"/>
  <c r="J380" i="1" s="1"/>
  <c r="O376" i="1"/>
  <c r="P376" i="1" s="1"/>
  <c r="J376" i="1" s="1"/>
  <c r="O359" i="1"/>
  <c r="P359" i="1" s="1"/>
  <c r="J359" i="1" s="1"/>
  <c r="O342" i="1"/>
  <c r="P342" i="1" s="1"/>
  <c r="J342" i="1" s="1"/>
  <c r="O333" i="1"/>
  <c r="P333" i="1" s="1"/>
  <c r="J333" i="1" s="1"/>
  <c r="O410" i="1"/>
  <c r="P410" i="1" s="1"/>
  <c r="J410" i="1" s="1"/>
  <c r="O406" i="1"/>
  <c r="P406" i="1" s="1"/>
  <c r="J406" i="1" s="1"/>
  <c r="O389" i="1"/>
  <c r="P389" i="1" s="1"/>
  <c r="J389" i="1" s="1"/>
  <c r="O372" i="1"/>
  <c r="P372" i="1" s="1"/>
  <c r="J372" i="1" s="1"/>
  <c r="O355" i="1"/>
  <c r="P355" i="1" s="1"/>
  <c r="J355" i="1" s="1"/>
  <c r="O351" i="1"/>
  <c r="P351" i="1" s="1"/>
  <c r="J351" i="1" s="1"/>
  <c r="O338" i="1"/>
  <c r="P338" i="1" s="1"/>
  <c r="J338" i="1" s="1"/>
  <c r="O334" i="1"/>
  <c r="P334" i="1" s="1"/>
  <c r="J334" i="1" s="1"/>
  <c r="O264" i="1"/>
  <c r="P264" i="1" s="1"/>
  <c r="J264" i="1" s="1"/>
  <c r="O240" i="1"/>
  <c r="P240" i="1" s="1"/>
  <c r="J240" i="1" s="1"/>
  <c r="O315" i="1"/>
  <c r="P315" i="1" s="1"/>
  <c r="J315" i="1" s="1"/>
  <c r="O311" i="1"/>
  <c r="P311" i="1" s="1"/>
  <c r="J311" i="1" s="1"/>
  <c r="O306" i="1"/>
  <c r="P306" i="1" s="1"/>
  <c r="J306" i="1" s="1"/>
  <c r="O302" i="1"/>
  <c r="P302" i="1" s="1"/>
  <c r="J302" i="1" s="1"/>
  <c r="O288" i="1"/>
  <c r="P288" i="1" s="1"/>
  <c r="J288" i="1" s="1"/>
  <c r="O426" i="1"/>
  <c r="P426" i="1" s="1"/>
  <c r="J426" i="1" s="1"/>
  <c r="O419" i="1"/>
  <c r="P419" i="1" s="1"/>
  <c r="J419" i="1" s="1"/>
  <c r="O402" i="1"/>
  <c r="P402" i="1" s="1"/>
  <c r="J402" i="1" s="1"/>
  <c r="O385" i="1"/>
  <c r="P385" i="1" s="1"/>
  <c r="J385" i="1" s="1"/>
  <c r="O381" i="1"/>
  <c r="P381" i="1" s="1"/>
  <c r="J381" i="1" s="1"/>
  <c r="O368" i="1"/>
  <c r="P368" i="1" s="1"/>
  <c r="J368" i="1" s="1"/>
  <c r="O364" i="1"/>
  <c r="P364" i="1" s="1"/>
  <c r="J364" i="1" s="1"/>
  <c r="O347" i="1"/>
  <c r="P347" i="1" s="1"/>
  <c r="J347" i="1" s="1"/>
  <c r="O273" i="1"/>
  <c r="P273" i="1" s="1"/>
  <c r="J273" i="1" s="1"/>
  <c r="O423" i="1"/>
  <c r="P423" i="1" s="1"/>
  <c r="J423" i="1" s="1"/>
  <c r="O415" i="1"/>
  <c r="P415" i="1" s="1"/>
  <c r="J415" i="1" s="1"/>
  <c r="O411" i="1"/>
  <c r="P411" i="1" s="1"/>
  <c r="J411" i="1" s="1"/>
  <c r="O398" i="1"/>
  <c r="P398" i="1" s="1"/>
  <c r="J398" i="1" s="1"/>
  <c r="O394" i="1"/>
  <c r="P394" i="1" s="1"/>
  <c r="J394" i="1" s="1"/>
  <c r="O377" i="1"/>
  <c r="P377" i="1" s="1"/>
  <c r="J377" i="1" s="1"/>
  <c r="O360" i="1"/>
  <c r="P360" i="1" s="1"/>
  <c r="J360" i="1" s="1"/>
  <c r="O343" i="1"/>
  <c r="P343" i="1" s="1"/>
  <c r="J343" i="1" s="1"/>
  <c r="O339" i="1"/>
  <c r="P339" i="1" s="1"/>
  <c r="J339" i="1" s="1"/>
  <c r="O269" i="1"/>
  <c r="P269" i="1" s="1"/>
  <c r="J269" i="1" s="1"/>
  <c r="O330" i="1"/>
  <c r="P330" i="1" s="1"/>
  <c r="J330" i="1" s="1"/>
  <c r="O407" i="1"/>
  <c r="P407" i="1" s="1"/>
  <c r="J407" i="1" s="1"/>
  <c r="O390" i="1"/>
  <c r="P390" i="1" s="1"/>
  <c r="J390" i="1" s="1"/>
  <c r="O373" i="1"/>
  <c r="P373" i="1" s="1"/>
  <c r="J373" i="1" s="1"/>
  <c r="O369" i="1"/>
  <c r="P369" i="1" s="1"/>
  <c r="J369" i="1" s="1"/>
  <c r="O356" i="1"/>
  <c r="P356" i="1" s="1"/>
  <c r="J356" i="1" s="1"/>
  <c r="O352" i="1"/>
  <c r="P352" i="1" s="1"/>
  <c r="J352" i="1" s="1"/>
  <c r="O335" i="1"/>
  <c r="P335" i="1" s="1"/>
  <c r="J335" i="1" s="1"/>
  <c r="O326" i="1"/>
  <c r="P326" i="1" s="1"/>
  <c r="J326" i="1" s="1"/>
  <c r="O241" i="1"/>
  <c r="P241" i="1" s="1"/>
  <c r="J241" i="1" s="1"/>
  <c r="O237" i="1"/>
  <c r="P237" i="1" s="1"/>
  <c r="J237" i="1" s="1"/>
  <c r="O316" i="1"/>
  <c r="P316" i="1" s="1"/>
  <c r="J316" i="1" s="1"/>
  <c r="O312" i="1"/>
  <c r="P312" i="1" s="1"/>
  <c r="J312" i="1" s="1"/>
  <c r="O303" i="1"/>
  <c r="P303" i="1" s="1"/>
  <c r="J303" i="1" s="1"/>
  <c r="O331" i="1"/>
  <c r="P331" i="1" s="1"/>
  <c r="J331" i="1" s="1"/>
  <c r="O254" i="1"/>
  <c r="P254" i="1" s="1"/>
  <c r="J254" i="1" s="1"/>
  <c r="O304" i="1"/>
  <c r="P304" i="1" s="1"/>
  <c r="J304" i="1" s="1"/>
  <c r="O299" i="1"/>
  <c r="P299" i="1" s="1"/>
  <c r="J299" i="1" s="1"/>
  <c r="O294" i="1"/>
  <c r="P294" i="1" s="1"/>
  <c r="J294" i="1" s="1"/>
  <c r="O289" i="1"/>
  <c r="P289" i="1" s="1"/>
  <c r="J289" i="1" s="1"/>
  <c r="O309" i="1"/>
  <c r="P309" i="1" s="1"/>
  <c r="J309" i="1" s="1"/>
  <c r="O292" i="1"/>
  <c r="P292" i="1" s="1"/>
  <c r="J292" i="1" s="1"/>
  <c r="O282" i="1"/>
  <c r="P282" i="1" s="1"/>
  <c r="J282" i="1" s="1"/>
  <c r="O256" i="1"/>
  <c r="P256" i="1" s="1"/>
  <c r="J256" i="1" s="1"/>
  <c r="O251" i="1"/>
  <c r="P251" i="1" s="1"/>
  <c r="J251" i="1" s="1"/>
  <c r="O318" i="1"/>
  <c r="P318" i="1" s="1"/>
  <c r="J318" i="1" s="1"/>
  <c r="O320" i="1"/>
  <c r="P320" i="1" s="1"/>
  <c r="J320" i="1" s="1"/>
  <c r="O307" i="1"/>
  <c r="P307" i="1" s="1"/>
  <c r="J307" i="1" s="1"/>
  <c r="O297" i="1"/>
  <c r="P297" i="1" s="1"/>
  <c r="J297" i="1" s="1"/>
  <c r="O245" i="1"/>
  <c r="P245" i="1" s="1"/>
  <c r="J245" i="1" s="1"/>
  <c r="O283" i="1"/>
  <c r="P283" i="1" s="1"/>
  <c r="J283" i="1" s="1"/>
  <c r="O253" i="1"/>
  <c r="P253" i="1" s="1"/>
  <c r="J253" i="1" s="1"/>
  <c r="O265" i="1"/>
  <c r="P265" i="1" s="1"/>
  <c r="J265" i="1" s="1"/>
  <c r="O287" i="1"/>
  <c r="P287" i="1" s="1"/>
  <c r="J287" i="1" s="1"/>
  <c r="O279" i="1"/>
  <c r="P279" i="1" s="1"/>
  <c r="O324" i="1"/>
  <c r="P324" i="1" s="1"/>
  <c r="J324" i="1" s="1"/>
  <c r="O322" i="1"/>
  <c r="P322" i="1" s="1"/>
  <c r="J322" i="1" s="1"/>
  <c r="O244" i="1"/>
  <c r="P244" i="1" s="1"/>
  <c r="J244" i="1" s="1"/>
  <c r="O295" i="1"/>
  <c r="P295" i="1" s="1"/>
  <c r="J295" i="1" s="1"/>
  <c r="O290" i="1"/>
  <c r="P290" i="1" s="1"/>
  <c r="J290" i="1" s="1"/>
  <c r="O310" i="1"/>
  <c r="P310" i="1" s="1"/>
  <c r="J310" i="1" s="1"/>
  <c r="O293" i="1"/>
  <c r="P293" i="1" s="1"/>
  <c r="J293" i="1" s="1"/>
  <c r="O284" i="1"/>
  <c r="P284" i="1" s="1"/>
  <c r="J284" i="1" s="1"/>
  <c r="O255" i="1"/>
  <c r="P255" i="1" s="1"/>
  <c r="J255" i="1" s="1"/>
  <c r="O250" i="1"/>
  <c r="P250" i="1" s="1"/>
  <c r="J250" i="1" s="1"/>
  <c r="O236" i="1"/>
  <c r="P236" i="1" s="1"/>
  <c r="J236" i="1" s="1"/>
  <c r="O317" i="1"/>
  <c r="P317" i="1" s="1"/>
  <c r="J317" i="1" s="1"/>
  <c r="O313" i="1"/>
  <c r="P313" i="1" s="1"/>
  <c r="J313" i="1" s="1"/>
  <c r="O280" i="1"/>
  <c r="P280" i="1" s="1"/>
  <c r="J280" i="1" s="1"/>
  <c r="O329" i="1"/>
  <c r="P329" i="1" s="1"/>
  <c r="J329" i="1" s="1"/>
  <c r="O319" i="1"/>
  <c r="P319" i="1" s="1"/>
  <c r="J319" i="1" s="1"/>
  <c r="O308" i="1"/>
  <c r="P308" i="1" s="1"/>
  <c r="J308" i="1" s="1"/>
  <c r="O298" i="1"/>
  <c r="P298" i="1" s="1"/>
  <c r="J298" i="1" s="1"/>
  <c r="O268" i="1"/>
  <c r="P268" i="1" s="1"/>
  <c r="J268" i="1" s="1"/>
  <c r="O260" i="1"/>
  <c r="P260" i="1" s="1"/>
  <c r="J260" i="1" s="1"/>
  <c r="O321" i="1"/>
  <c r="P321" i="1" s="1"/>
  <c r="J321" i="1" s="1"/>
  <c r="O285" i="1"/>
  <c r="P285" i="1" s="1"/>
  <c r="J285" i="1" s="1"/>
  <c r="O252" i="1"/>
  <c r="P252" i="1" s="1"/>
  <c r="J252" i="1" s="1"/>
  <c r="O248" i="1"/>
  <c r="P248" i="1" s="1"/>
  <c r="J248" i="1" s="1"/>
  <c r="O281" i="1"/>
  <c r="P281" i="1" s="1"/>
  <c r="J281" i="1" s="1"/>
  <c r="O243" i="1"/>
  <c r="P243" i="1" s="1"/>
  <c r="J243" i="1" s="1"/>
  <c r="O242" i="1"/>
  <c r="P242" i="1" s="1"/>
  <c r="J242" i="1" s="1"/>
  <c r="U10666" i="1"/>
  <c r="U10660" i="1"/>
  <c r="U10865" i="1"/>
  <c r="U10688" i="1"/>
  <c r="U10699" i="1"/>
  <c r="U10694" i="1"/>
  <c r="U10760" i="1"/>
  <c r="U10754" i="1"/>
  <c r="U10690" i="1"/>
  <c r="U10761" i="1"/>
  <c r="U10714" i="1"/>
  <c r="U10725" i="1"/>
  <c r="U10744" i="1"/>
  <c r="U10687" i="1"/>
  <c r="U10765" i="1"/>
  <c r="U10656" i="1"/>
  <c r="U10863" i="1"/>
  <c r="U10531" i="1"/>
  <c r="U10847" i="1"/>
  <c r="U10667" i="1"/>
  <c r="U10655" i="1"/>
  <c r="U10778" i="1"/>
  <c r="U10705" i="1"/>
  <c r="U10860" i="1"/>
  <c r="U10696" i="1"/>
  <c r="U10769" i="1"/>
  <c r="U10719" i="1"/>
  <c r="U10845" i="1"/>
  <c r="U10775" i="1"/>
  <c r="U10706" i="1"/>
  <c r="U10767" i="1"/>
  <c r="U10676" i="1"/>
  <c r="U10704" i="1"/>
  <c r="U10792" i="1"/>
  <c r="U10858" i="1"/>
  <c r="U10806" i="1"/>
  <c r="U10742" i="1"/>
  <c r="U10831" i="1"/>
  <c r="U10680" i="1"/>
  <c r="U10841" i="1"/>
  <c r="U10823" i="1"/>
  <c r="U10703" i="1"/>
  <c r="U10866" i="1"/>
  <c r="U10756" i="1"/>
  <c r="U10777" i="1"/>
  <c r="U10537" i="1"/>
  <c r="U10671" i="1"/>
  <c r="U10809" i="1"/>
  <c r="U10720" i="1"/>
  <c r="U10658" i="1"/>
  <c r="U10795" i="1"/>
  <c r="U10833" i="1"/>
  <c r="U10766" i="1"/>
  <c r="U10764" i="1"/>
  <c r="U10771" i="1"/>
  <c r="U10530" i="1"/>
  <c r="U10768" i="1"/>
  <c r="U10759" i="1"/>
  <c r="U10659" i="1"/>
  <c r="U10774" i="1"/>
  <c r="U10829" i="1"/>
  <c r="U10741" i="1"/>
  <c r="U10738" i="1"/>
  <c r="U10750" i="1"/>
  <c r="U10820" i="1"/>
  <c r="U10839" i="1"/>
  <c r="U10686" i="1"/>
  <c r="U10698" i="1"/>
  <c r="U10748" i="1"/>
  <c r="U10871" i="1"/>
  <c r="U10724" i="1"/>
  <c r="U10755" i="1"/>
  <c r="U10745" i="1"/>
  <c r="U10737" i="1"/>
  <c r="U10814" i="1"/>
  <c r="U10746" i="1"/>
  <c r="U10713" i="1"/>
  <c r="U10695" i="1"/>
  <c r="U10818" i="1"/>
  <c r="U10789" i="1"/>
  <c r="U10835" i="1"/>
  <c r="U10805" i="1"/>
  <c r="U10840" i="1"/>
  <c r="U10685" i="1"/>
  <c r="U10743" i="1"/>
  <c r="U10855" i="1"/>
  <c r="U10804" i="1"/>
  <c r="U10701" i="1"/>
  <c r="U10836" i="1"/>
  <c r="Q233" i="1" l="1"/>
  <c r="Q227" i="1"/>
  <c r="Q228" i="1"/>
  <c r="Q229" i="1"/>
  <c r="J226" i="1"/>
  <c r="Q226" i="1"/>
  <c r="Q230" i="1"/>
  <c r="Q231" i="1"/>
  <c r="Q232" i="1"/>
  <c r="Q421" i="1"/>
  <c r="Q424" i="1"/>
  <c r="Q408" i="1"/>
  <c r="Q391" i="1"/>
  <c r="Q374" i="1"/>
  <c r="Q370" i="1"/>
  <c r="Q357" i="1"/>
  <c r="Q353" i="1"/>
  <c r="Q336" i="1"/>
  <c r="Q327" i="1"/>
  <c r="Q249" i="1"/>
  <c r="Q238" i="1"/>
  <c r="Q317" i="1"/>
  <c r="Q404" i="1"/>
  <c r="Q400" i="1"/>
  <c r="Q387" i="1"/>
  <c r="Q383" i="1"/>
  <c r="Q366" i="1"/>
  <c r="Q349" i="1"/>
  <c r="Q275" i="1"/>
  <c r="Q417" i="1"/>
  <c r="Q413" i="1"/>
  <c r="Q396" i="1"/>
  <c r="Q379" i="1"/>
  <c r="Q362" i="1"/>
  <c r="Q358" i="1"/>
  <c r="Q345" i="1"/>
  <c r="Q341" i="1"/>
  <c r="Q332" i="1"/>
  <c r="Q254" i="1"/>
  <c r="Q428" i="1"/>
  <c r="Q409" i="1"/>
  <c r="Q392" i="1"/>
  <c r="Q388" i="1"/>
  <c r="Q375" i="1"/>
  <c r="Q371" i="1"/>
  <c r="Q354" i="1"/>
  <c r="Q337" i="1"/>
  <c r="Q328" i="1"/>
  <c r="Q263" i="1"/>
  <c r="Q250" i="1"/>
  <c r="Q239" i="1"/>
  <c r="Q314" i="1"/>
  <c r="Q305" i="1"/>
  <c r="Q291" i="1"/>
  <c r="Q287" i="1"/>
  <c r="Q425" i="1"/>
  <c r="Q418" i="1"/>
  <c r="Q405" i="1"/>
  <c r="Q401" i="1"/>
  <c r="Q384" i="1"/>
  <c r="Q367" i="1"/>
  <c r="Q350" i="1"/>
  <c r="Q346" i="1"/>
  <c r="Q276" i="1"/>
  <c r="Q272" i="1"/>
  <c r="Q422" i="1"/>
  <c r="Q414" i="1"/>
  <c r="Q397" i="1"/>
  <c r="Q380" i="1"/>
  <c r="Q376" i="1"/>
  <c r="Q363" i="1"/>
  <c r="Q359" i="1"/>
  <c r="Q342" i="1"/>
  <c r="Q333" i="1"/>
  <c r="Q255" i="1"/>
  <c r="Q251" i="1"/>
  <c r="Q323" i="1"/>
  <c r="Q319" i="1"/>
  <c r="Q310" i="1"/>
  <c r="Q268" i="1"/>
  <c r="Q410" i="1"/>
  <c r="Q406" i="1"/>
  <c r="Q393" i="1"/>
  <c r="Q389" i="1"/>
  <c r="Q372" i="1"/>
  <c r="Q355" i="1"/>
  <c r="Q338" i="1"/>
  <c r="Q334" i="1"/>
  <c r="Q329" i="1"/>
  <c r="Q264" i="1"/>
  <c r="Q240" i="1"/>
  <c r="Q315" i="1"/>
  <c r="Q429" i="1"/>
  <c r="Q426" i="1"/>
  <c r="Q419" i="1"/>
  <c r="Q402" i="1"/>
  <c r="Q385" i="1"/>
  <c r="Q368" i="1"/>
  <c r="Q364" i="1"/>
  <c r="Q351" i="1"/>
  <c r="Q347" i="1"/>
  <c r="Q273" i="1"/>
  <c r="Q415" i="1"/>
  <c r="Q398" i="1"/>
  <c r="Q394" i="1"/>
  <c r="Q381" i="1"/>
  <c r="Q377" i="1"/>
  <c r="Q360" i="1"/>
  <c r="Q343" i="1"/>
  <c r="Q269" i="1"/>
  <c r="Q330" i="1"/>
  <c r="Q256" i="1"/>
  <c r="Q252" i="1"/>
  <c r="Q320" i="1"/>
  <c r="Q243" i="1"/>
  <c r="Q294" i="1"/>
  <c r="Q293" i="1"/>
  <c r="Q423" i="1"/>
  <c r="Q411" i="1"/>
  <c r="Q407" i="1"/>
  <c r="Q390" i="1"/>
  <c r="Q373" i="1"/>
  <c r="Q356" i="1"/>
  <c r="Q352" i="1"/>
  <c r="Q339" i="1"/>
  <c r="Q335" i="1"/>
  <c r="Q427" i="1"/>
  <c r="Q420" i="1"/>
  <c r="Q403" i="1"/>
  <c r="Q386" i="1"/>
  <c r="Q382" i="1"/>
  <c r="Q369" i="1"/>
  <c r="Q365" i="1"/>
  <c r="Q348" i="1"/>
  <c r="Q274" i="1"/>
  <c r="Q261" i="1"/>
  <c r="Q257" i="1"/>
  <c r="Q416" i="1"/>
  <c r="Q412" i="1"/>
  <c r="Q399" i="1"/>
  <c r="Q395" i="1"/>
  <c r="Q378" i="1"/>
  <c r="Q361" i="1"/>
  <c r="Q344" i="1"/>
  <c r="Q340" i="1"/>
  <c r="Q270" i="1"/>
  <c r="Q331" i="1"/>
  <c r="Q253" i="1"/>
  <c r="Q321" i="1"/>
  <c r="Q244" i="1"/>
  <c r="Q308" i="1"/>
  <c r="Q235" i="1"/>
  <c r="Q316" i="1"/>
  <c r="Q312" i="1"/>
  <c r="Q309" i="1"/>
  <c r="Q302" i="1"/>
  <c r="Q292" i="1"/>
  <c r="Q259" i="1"/>
  <c r="Q237" i="1"/>
  <c r="Q318" i="1"/>
  <c r="Q267" i="1"/>
  <c r="Q307" i="1"/>
  <c r="Q297" i="1"/>
  <c r="Q245" i="1"/>
  <c r="Q283" i="1"/>
  <c r="Q279" i="1"/>
  <c r="Q265" i="1"/>
  <c r="Q300" i="1"/>
  <c r="Q290" i="1"/>
  <c r="Q241" i="1"/>
  <c r="Q324" i="1"/>
  <c r="Q322" i="1"/>
  <c r="Q247" i="1"/>
  <c r="Q303" i="1"/>
  <c r="Q295" i="1"/>
  <c r="Q284" i="1"/>
  <c r="Q234" i="1"/>
  <c r="Q313" i="1"/>
  <c r="Q280" i="1"/>
  <c r="Q258" i="1"/>
  <c r="Q236" i="1"/>
  <c r="Q298" i="1"/>
  <c r="Q288" i="1"/>
  <c r="Q285" i="1"/>
  <c r="Q271" i="1"/>
  <c r="Q260" i="1"/>
  <c r="Q311" i="1"/>
  <c r="Q266" i="1"/>
  <c r="Q306" i="1"/>
  <c r="Q301" i="1"/>
  <c r="Q281" i="1"/>
  <c r="Q326" i="1"/>
  <c r="Q248" i="1"/>
  <c r="Q296" i="1"/>
  <c r="Q242" i="1"/>
  <c r="J279" i="1"/>
  <c r="Q262" i="1"/>
  <c r="Q246" i="1"/>
  <c r="Q304" i="1"/>
  <c r="Q299" i="1"/>
  <c r="Q289" i="1"/>
  <c r="Q325" i="1"/>
  <c r="Q286" i="1"/>
  <c r="Q282" i="1"/>
  <c r="Q221" i="1"/>
  <c r="Q204" i="1"/>
  <c r="Q187" i="1"/>
  <c r="Q217" i="1"/>
  <c r="Q213" i="1"/>
  <c r="Q200" i="1"/>
  <c r="Q196" i="1"/>
  <c r="Q179" i="1"/>
  <c r="Q162" i="1"/>
  <c r="Q145" i="1"/>
  <c r="Q141" i="1"/>
  <c r="Q128" i="1"/>
  <c r="Q124" i="1"/>
  <c r="Q107" i="1"/>
  <c r="Q209" i="1"/>
  <c r="Q192" i="1"/>
  <c r="Q175" i="1"/>
  <c r="Q171" i="1"/>
  <c r="Q158" i="1"/>
  <c r="Q154" i="1"/>
  <c r="Q137" i="1"/>
  <c r="Q120" i="1"/>
  <c r="Q103" i="1"/>
  <c r="Q99" i="1"/>
  <c r="Q86" i="1"/>
  <c r="Q82" i="1"/>
  <c r="Q65" i="1"/>
  <c r="Q48" i="1"/>
  <c r="Q222" i="1"/>
  <c r="Q205" i="1"/>
  <c r="Q201" i="1"/>
  <c r="Q188" i="1"/>
  <c r="Q184" i="1"/>
  <c r="Q167" i="1"/>
  <c r="Q218" i="1"/>
  <c r="Q214" i="1"/>
  <c r="Q197" i="1"/>
  <c r="Q180" i="1"/>
  <c r="Q163" i="1"/>
  <c r="Q159" i="1"/>
  <c r="Q146" i="1"/>
  <c r="Q142" i="1"/>
  <c r="Q125" i="1"/>
  <c r="Q108" i="1"/>
  <c r="Q91" i="1"/>
  <c r="Q87" i="1"/>
  <c r="Q210" i="1"/>
  <c r="Q193" i="1"/>
  <c r="Q189" i="1"/>
  <c r="Q176" i="1"/>
  <c r="Q172" i="1"/>
  <c r="Q155" i="1"/>
  <c r="Q138" i="1"/>
  <c r="Q223" i="1"/>
  <c r="Q219" i="1"/>
  <c r="Q206" i="1"/>
  <c r="Q202" i="1"/>
  <c r="Q185" i="1"/>
  <c r="Q168" i="1"/>
  <c r="Q151" i="1"/>
  <c r="Q147" i="1"/>
  <c r="Q134" i="1"/>
  <c r="Q130" i="1"/>
  <c r="Q113" i="1"/>
  <c r="Q96" i="1"/>
  <c r="Q79" i="1"/>
  <c r="Q75" i="1"/>
  <c r="Q62" i="1"/>
  <c r="Q58" i="1"/>
  <c r="Q41" i="1"/>
  <c r="Q24" i="1"/>
  <c r="J10" i="1"/>
  <c r="Q215" i="1"/>
  <c r="Q198" i="1"/>
  <c r="Q181" i="1"/>
  <c r="Q177" i="1"/>
  <c r="Q164" i="1"/>
  <c r="Q160" i="1"/>
  <c r="Q143" i="1"/>
  <c r="Q211" i="1"/>
  <c r="Q207" i="1"/>
  <c r="Q194" i="1"/>
  <c r="Q190" i="1"/>
  <c r="Q173" i="1"/>
  <c r="Q156" i="1"/>
  <c r="Q139" i="1"/>
  <c r="Q135" i="1"/>
  <c r="Q122" i="1"/>
  <c r="Q118" i="1"/>
  <c r="Q101" i="1"/>
  <c r="Q224" i="1"/>
  <c r="Q220" i="1"/>
  <c r="Q203" i="1"/>
  <c r="Q186" i="1"/>
  <c r="Q169" i="1"/>
  <c r="Q165" i="1"/>
  <c r="Q152" i="1"/>
  <c r="Q216" i="1"/>
  <c r="Q199" i="1"/>
  <c r="Q195" i="1"/>
  <c r="Q182" i="1"/>
  <c r="Q178" i="1"/>
  <c r="Q161" i="1"/>
  <c r="Q144" i="1"/>
  <c r="Q127" i="1"/>
  <c r="Q123" i="1"/>
  <c r="Q110" i="1"/>
  <c r="Q106" i="1"/>
  <c r="Q89" i="1"/>
  <c r="Q72" i="1"/>
  <c r="Q55" i="1"/>
  <c r="Q225" i="1"/>
  <c r="Q212" i="1"/>
  <c r="Q208" i="1"/>
  <c r="Q191" i="1"/>
  <c r="Q174" i="1"/>
  <c r="Q157" i="1"/>
  <c r="Q153" i="1"/>
  <c r="Q140" i="1"/>
  <c r="Q136" i="1"/>
  <c r="Q119" i="1"/>
  <c r="Q102" i="1"/>
  <c r="Q131" i="1"/>
  <c r="Q126" i="1"/>
  <c r="Q114" i="1"/>
  <c r="Q76" i="1"/>
  <c r="Q71" i="1"/>
  <c r="Q43" i="1"/>
  <c r="Q36" i="1"/>
  <c r="Q29" i="1"/>
  <c r="Q18" i="1"/>
  <c r="Q14" i="1"/>
  <c r="Q121" i="1"/>
  <c r="Q109" i="1"/>
  <c r="Q47" i="1"/>
  <c r="Q40" i="1"/>
  <c r="Q33" i="1"/>
  <c r="Q10" i="1"/>
  <c r="Q133" i="1"/>
  <c r="Q116" i="1"/>
  <c r="Q104" i="1"/>
  <c r="Q97" i="1"/>
  <c r="Q95" i="1"/>
  <c r="Q66" i="1"/>
  <c r="Q61" i="1"/>
  <c r="Q53" i="1"/>
  <c r="Q50" i="1"/>
  <c r="Q148" i="1"/>
  <c r="Q111" i="1"/>
  <c r="Q93" i="1"/>
  <c r="Q84" i="1"/>
  <c r="Q74" i="1"/>
  <c r="Q56" i="1"/>
  <c r="Q77" i="1"/>
  <c r="Q69" i="1"/>
  <c r="Q64" i="1"/>
  <c r="Q44" i="1"/>
  <c r="Q34" i="1"/>
  <c r="Q11" i="1"/>
  <c r="Q59" i="1"/>
  <c r="Q54" i="1"/>
  <c r="Q51" i="1"/>
  <c r="Q27" i="1"/>
  <c r="Q166" i="1"/>
  <c r="Q80" i="1"/>
  <c r="Q170" i="1"/>
  <c r="Q150" i="1"/>
  <c r="Q85" i="1"/>
  <c r="Q67" i="1"/>
  <c r="Q57" i="1"/>
  <c r="Q45" i="1"/>
  <c r="Q38" i="1"/>
  <c r="Q31" i="1"/>
  <c r="Q132" i="1"/>
  <c r="Q117" i="1"/>
  <c r="Q115" i="1"/>
  <c r="Q94" i="1"/>
  <c r="Q78" i="1"/>
  <c r="Q70" i="1"/>
  <c r="Q183" i="1"/>
  <c r="Q129" i="1"/>
  <c r="Q105" i="1"/>
  <c r="Q100" i="1"/>
  <c r="Q98" i="1"/>
  <c r="Q92" i="1"/>
  <c r="Q83" i="1"/>
  <c r="Q39" i="1"/>
  <c r="Q28" i="1"/>
  <c r="Q17" i="1"/>
  <c r="Q112" i="1"/>
  <c r="Q90" i="1"/>
  <c r="Q81" i="1"/>
  <c r="Q73" i="1"/>
  <c r="Q60" i="1"/>
  <c r="Q149" i="1"/>
  <c r="Q88" i="1"/>
  <c r="Q68" i="1"/>
  <c r="Q26" i="1"/>
  <c r="Q35" i="1"/>
  <c r="Q21" i="1"/>
  <c r="Q12" i="1"/>
  <c r="Q46" i="1"/>
  <c r="Q30" i="1"/>
  <c r="Q23" i="1"/>
  <c r="Q19" i="1"/>
  <c r="Q37" i="1"/>
  <c r="Q25" i="1"/>
  <c r="Q49" i="1"/>
  <c r="Q32" i="1"/>
  <c r="Q15" i="1"/>
  <c r="Q52" i="1"/>
  <c r="Q42" i="1"/>
  <c r="Q22" i="1"/>
  <c r="Q20" i="1"/>
  <c r="Q63" i="1"/>
  <c r="Q16" i="1"/>
  <c r="Q13" i="1"/>
</calcChain>
</file>

<file path=xl/sharedStrings.xml><?xml version="1.0" encoding="utf-8"?>
<sst xmlns="http://schemas.openxmlformats.org/spreadsheetml/2006/main" count="5470" uniqueCount="4602">
  <si>
    <t>id</t>
  </si>
  <si>
    <t>groupId</t>
    <phoneticPr fontId="5" type="noConversion"/>
  </si>
  <si>
    <t>rewardElem["Type"]</t>
    <phoneticPr fontId="5" type="noConversion"/>
  </si>
  <si>
    <t>rewardElem["Id"]</t>
    <phoneticPr fontId="5" type="noConversion"/>
  </si>
  <si>
    <t>rewardElem["MinQuantity"]</t>
    <phoneticPr fontId="5" type="noConversion"/>
  </si>
  <si>
    <t>rewardElem["MaxQuantity"]</t>
    <phoneticPr fontId="5" type="noConversion"/>
  </si>
  <si>
    <t>rewardWeight</t>
    <phoneticPr fontId="5" type="noConversion"/>
  </si>
  <si>
    <t>key:91000000~91999999</t>
    <phoneticPr fontId="5" type="noConversion"/>
  </si>
  <si>
    <t>number</t>
    <phoneticPr fontId="5" type="noConversion"/>
  </si>
  <si>
    <t>:required</t>
  </si>
  <si>
    <t>-</t>
    <phoneticPr fontId="5" type="noConversion"/>
  </si>
  <si>
    <t>:min</t>
  </si>
  <si>
    <t>-</t>
  </si>
  <si>
    <t>:max</t>
  </si>
  <si>
    <t>:enum</t>
  </si>
  <si>
    <t>:links</t>
  </si>
  <si>
    <t>rewardType</t>
  </si>
  <si>
    <t>"Point","Item","DepartSupply","TradeGoods","CEquip","Ship","Mate","ShipBlueprint","ShipSlot","Shield","ShipSlot"</t>
  </si>
  <si>
    <t>테스트용</t>
  </si>
  <si>
    <t>포인트</t>
  </si>
  <si>
    <t>두카트</t>
  </si>
  <si>
    <t>타렛테 도면</t>
  </si>
  <si>
    <t>바르카 도면</t>
  </si>
  <si>
    <t>한자 코그 도면</t>
  </si>
  <si>
    <t>브리간틴 도면</t>
  </si>
  <si>
    <t>코그 레돈다 도면</t>
  </si>
  <si>
    <t>코그 라티나 도면</t>
  </si>
  <si>
    <t>경량형 프로아 도면</t>
  </si>
  <si>
    <t>삼판 도면</t>
  </si>
  <si>
    <t>맹선 도면</t>
  </si>
  <si>
    <t>주가 도면</t>
  </si>
  <si>
    <t>캐러벨 라티나 도면</t>
  </si>
  <si>
    <t>캐러벨 레돈다 도면</t>
  </si>
  <si>
    <t>슬루프 도면</t>
  </si>
  <si>
    <t>커터 도면</t>
  </si>
  <si>
    <t>경량형 갤리 도면</t>
  </si>
  <si>
    <t>펠러커 도면</t>
  </si>
  <si>
    <t>라 핀타 도면</t>
  </si>
  <si>
    <t>프로아 도면</t>
  </si>
  <si>
    <t>탄작 도면</t>
  </si>
  <si>
    <t>경량형 사선 도면</t>
  </si>
  <si>
    <t>다우 도면</t>
  </si>
  <si>
    <t>소조선 도면</t>
  </si>
  <si>
    <t>몽충 도면</t>
  </si>
  <si>
    <t>나오 도면</t>
  </si>
  <si>
    <t>갤리 도면</t>
  </si>
  <si>
    <t>핀네스 도면</t>
  </si>
  <si>
    <t>스쿠너 도면</t>
  </si>
  <si>
    <t>프류트 도면</t>
  </si>
  <si>
    <t>삼부크 도면</t>
  </si>
  <si>
    <t>사선 도면</t>
  </si>
  <si>
    <t>복선 도면</t>
  </si>
  <si>
    <t>조운선 도면</t>
  </si>
  <si>
    <t>관선 도면</t>
  </si>
  <si>
    <t>카라코아 도면</t>
  </si>
  <si>
    <t>누전선 도면</t>
  </si>
  <si>
    <t>카락 도면</t>
  </si>
  <si>
    <t>중 갤리 도면</t>
  </si>
  <si>
    <t>바스 도면</t>
  </si>
  <si>
    <t>지벡 도면</t>
  </si>
  <si>
    <t>프리깃 도면</t>
  </si>
  <si>
    <t>갤리온 도면</t>
  </si>
  <si>
    <t>중 캐러벨 도면</t>
  </si>
  <si>
    <t>빅토리아 도면</t>
  </si>
  <si>
    <t>주인선 도면</t>
  </si>
  <si>
    <t>해남선 도면</t>
  </si>
  <si>
    <t>라레알 도면</t>
  </si>
  <si>
    <t>대형 스쿠너 도면</t>
  </si>
  <si>
    <t>플레미시 갤리온 도면</t>
  </si>
  <si>
    <t>레이지드 프리깃 도면</t>
  </si>
  <si>
    <t>노르딕 갤리온 도면</t>
  </si>
  <si>
    <t>바운티 도면</t>
  </si>
  <si>
    <t>로르샤 도면</t>
  </si>
  <si>
    <t>대형 사선 도면</t>
  </si>
  <si>
    <t>대형 조운선 도면</t>
  </si>
  <si>
    <t>대형 관선 도면</t>
  </si>
  <si>
    <t>광선 도면</t>
  </si>
  <si>
    <t>능원회선 도면</t>
  </si>
  <si>
    <t>만선 도면</t>
  </si>
  <si>
    <t>갤리스 도면</t>
  </si>
  <si>
    <t>대형 프리깃 도면</t>
  </si>
  <si>
    <t>중 카락 도면</t>
  </si>
  <si>
    <t>케벡 도면</t>
  </si>
  <si>
    <t>대형 갤리온 도면</t>
  </si>
  <si>
    <t>마닐라 갤리온 도면</t>
  </si>
  <si>
    <t>버뮤다 슬루프 도면</t>
  </si>
  <si>
    <t>인데버 도면</t>
  </si>
  <si>
    <t>프린스 빌럼 도면</t>
  </si>
  <si>
    <t>간자 다우 도면</t>
  </si>
  <si>
    <t>거북선 도면</t>
  </si>
  <si>
    <t>산 후안 도면</t>
  </si>
  <si>
    <t>베네치안 갤리스 도면</t>
  </si>
  <si>
    <t>전열함 도면</t>
  </si>
  <si>
    <t>크로난 도면</t>
  </si>
  <si>
    <t>철갑선 도면</t>
  </si>
  <si>
    <t>누선 도면</t>
  </si>
  <si>
    <t>아라키선 도면</t>
  </si>
  <si>
    <t>라모르 도면</t>
  </si>
  <si>
    <t>오세앙 도면</t>
  </si>
  <si>
    <t>롱 스쿠너 도면</t>
  </si>
  <si>
    <t>클리퍼 도면</t>
  </si>
  <si>
    <t>솔레이유 로열 도면</t>
  </si>
  <si>
    <t>빅토리 도면</t>
  </si>
  <si>
    <t>대복선 도면</t>
  </si>
  <si>
    <t>판옥선 도면</t>
  </si>
  <si>
    <t>천지환 도면</t>
  </si>
  <si>
    <t>진공선 도면</t>
  </si>
  <si>
    <t>소형 용골</t>
  </si>
  <si>
    <t>중형 용골</t>
  </si>
  <si>
    <t>대형 용골</t>
  </si>
  <si>
    <t>초대형 용골</t>
  </si>
  <si>
    <t>삼나무</t>
  </si>
  <si>
    <t>삼나무 돛대</t>
  </si>
  <si>
    <t>훈련용 포문</t>
  </si>
  <si>
    <t>가문비나무</t>
  </si>
  <si>
    <t>가문비나무 돛대</t>
  </si>
  <si>
    <t>소형 포문</t>
  </si>
  <si>
    <t>적송</t>
  </si>
  <si>
    <t>적송 돛대</t>
  </si>
  <si>
    <t>중형 포문</t>
  </si>
  <si>
    <t>오리나무</t>
  </si>
  <si>
    <t>오리나무 돛대</t>
  </si>
  <si>
    <t>개량형 중형 포문</t>
  </si>
  <si>
    <t>너도밤나무</t>
  </si>
  <si>
    <t>너도밤나무 돛대</t>
  </si>
  <si>
    <t>강화 중형 포문</t>
  </si>
  <si>
    <t>청동 아스트롤라베</t>
  </si>
  <si>
    <t>백은 아스트롤라베</t>
  </si>
  <si>
    <t>C등급 공용 계약서</t>
  </si>
  <si>
    <t>B등급 공용 계약서</t>
  </si>
  <si>
    <t>A등급 공용 계약서</t>
  </si>
  <si>
    <t>S등급 공용 계약서</t>
  </si>
  <si>
    <t>이즈모 오쿠니 계약서</t>
  </si>
  <si>
    <t>테쿠이치포츠 이시카쇼치친 계약서</t>
  </si>
  <si>
    <t>루이스 부르주아 계약서</t>
  </si>
  <si>
    <t>이사벨라 코르테세 계약서</t>
  </si>
  <si>
    <t>로레다나 마르첼로 계약서</t>
  </si>
  <si>
    <t>잉엘라 가텐히엘름 계약서</t>
  </si>
  <si>
    <t>담윤현 계약서</t>
  </si>
  <si>
    <t>레베카 롤프 계약서</t>
  </si>
  <si>
    <t>타즐루 하눔 계약서</t>
  </si>
  <si>
    <t>아바카 초우타 계약서</t>
  </si>
  <si>
    <t>가이타나 계약서</t>
  </si>
  <si>
    <t>이네스 데수아레스 계약서</t>
  </si>
  <si>
    <t>뭄타즈 마할 계약서</t>
  </si>
  <si>
    <t>말린체 계약서</t>
  </si>
  <si>
    <t>크리스티나 알렉산드라 계약서</t>
  </si>
  <si>
    <t>샤를로트 코르데 계약서</t>
  </si>
  <si>
    <t>노라 에켈멘디트 계약서</t>
  </si>
  <si>
    <t>심운영 계약서</t>
  </si>
  <si>
    <t>마리 앤 계약서</t>
  </si>
  <si>
    <t>레이첼 월 계약서</t>
  </si>
  <si>
    <t>이자벨 드로렌 계약서</t>
  </si>
  <si>
    <t>앤 불린 계약서</t>
  </si>
  <si>
    <t>아나 데멘도사 계약서</t>
  </si>
  <si>
    <t>카탈리나 데에라우소 계약서</t>
  </si>
  <si>
    <t>안 도트리슈 계약서</t>
  </si>
  <si>
    <t>아흐메트 무히딘 계약서</t>
  </si>
  <si>
    <t>하프메트 그라니에 계약서</t>
  </si>
  <si>
    <t>레오 아프리카누스 계약서</t>
  </si>
  <si>
    <t>아폰수 안드라드 계약서</t>
  </si>
  <si>
    <t>알로이지 조반니 계약서</t>
  </si>
  <si>
    <t>알렉산드로 바조 계약서</t>
  </si>
  <si>
    <t>안드레아 기지 계약서</t>
  </si>
  <si>
    <t>안토니오 칸 계약서</t>
  </si>
  <si>
    <t>디에고 데쿠에야르 계약서</t>
  </si>
  <si>
    <t>카미로 스테파노 계약서</t>
  </si>
  <si>
    <t>디오구 파군드스 계약서</t>
  </si>
  <si>
    <t>도밍고 마냐나 계약서</t>
  </si>
  <si>
    <t>에드먼드 길버트 계약서</t>
  </si>
  <si>
    <t>프랑코 사누드 계약서</t>
  </si>
  <si>
    <t>엔리코 마리오네 계약서</t>
  </si>
  <si>
    <t>에스테반 오르테가 계약서</t>
  </si>
  <si>
    <t>페르낭 멘드스 핀투 계약서</t>
  </si>
  <si>
    <t>케빈 피셔 계약서</t>
  </si>
  <si>
    <t>로이드 스탓텐 계약서</t>
  </si>
  <si>
    <t>존 래컴 계약서</t>
  </si>
  <si>
    <t>존 데이비스 계약서</t>
  </si>
  <si>
    <t>로렌주 핀투 계약서</t>
  </si>
  <si>
    <t>루이스 스콧 계약서</t>
  </si>
  <si>
    <t>후안 데라 코사 계약서</t>
  </si>
  <si>
    <t>이스칼 야사르 계약서</t>
  </si>
  <si>
    <t>크리스티안 글로리아 계약서</t>
  </si>
  <si>
    <t>마슈 로이 계약서</t>
  </si>
  <si>
    <t>미겔 코르트 헤알 계약서</t>
  </si>
  <si>
    <t>니콜로 스테파노 계약서</t>
  </si>
  <si>
    <t>하파엘 세하누 계약서</t>
  </si>
  <si>
    <t>시난 파샤 계약서</t>
  </si>
  <si>
    <t>페론소 아기레 계약서</t>
  </si>
  <si>
    <t>로버트 로우 계약서</t>
  </si>
  <si>
    <t>마르틴 발보아 계약서</t>
  </si>
  <si>
    <t>자한 사림 계약서</t>
  </si>
  <si>
    <t>다니엘 미르자 계약서</t>
  </si>
  <si>
    <t>시몬 세게이라 계약서</t>
  </si>
  <si>
    <t>울루치 알리 계약서</t>
  </si>
  <si>
    <t>서굉조 계약서</t>
  </si>
  <si>
    <t>비센테 야녜스 핀손 계약서</t>
  </si>
  <si>
    <t>니콜라우 코엘류 계약서</t>
  </si>
  <si>
    <t>프란시스쿠 드알메이다 계약서</t>
  </si>
  <si>
    <t>후안 디아스 데솔리스 계약서</t>
  </si>
  <si>
    <t>알론소 데오헤다 계약서</t>
  </si>
  <si>
    <t>로드리고 데바스티다스 계약서</t>
  </si>
  <si>
    <t>안토니오 데베리오 계약서</t>
  </si>
  <si>
    <t>정지룡 계약서</t>
  </si>
  <si>
    <t>리차드 월리 계약서</t>
  </si>
  <si>
    <t>찰스 베인 계약서</t>
  </si>
  <si>
    <t>왕경홍 계약서</t>
  </si>
  <si>
    <t>알바로 데멘다냐 계약서</t>
  </si>
  <si>
    <t>루이스 바에스 데토레스 계약서</t>
  </si>
  <si>
    <t>빌럼 얀손 계약서</t>
  </si>
  <si>
    <t>아벌 얀손 타스만 계약서</t>
  </si>
  <si>
    <t>와키자카 야스하루 계약서</t>
  </si>
  <si>
    <t>도도 다카토라 계약서</t>
  </si>
  <si>
    <t>도고 구르마니 계약서</t>
  </si>
  <si>
    <t>고스 다카드 계약서</t>
  </si>
  <si>
    <t>월터 롤리 계약서</t>
  </si>
  <si>
    <t>베르날 델카스티요 계약서</t>
  </si>
  <si>
    <t>디오구 드세케이라 계약서</t>
  </si>
  <si>
    <t>토메 피르스 계약서</t>
  </si>
  <si>
    <t>미켈란젤로 부오나로티 계약서</t>
  </si>
  <si>
    <t>다나카 쇼스케 계약서</t>
  </si>
  <si>
    <t>하세쿠라 쓰네나가 계약서</t>
  </si>
  <si>
    <t>페르낭 드안드라드 계약서</t>
  </si>
  <si>
    <t>시마즈 요시히로 계약서</t>
  </si>
  <si>
    <t>니콜라스 데오반도 계약서</t>
  </si>
  <si>
    <t>안토니오 피가페타 계약서</t>
  </si>
  <si>
    <t>곤살로 피사로 계약서</t>
  </si>
  <si>
    <t>얀 피터손 쿤 계약서</t>
  </si>
  <si>
    <t>가스파르 코르트 헤알 계약서</t>
  </si>
  <si>
    <t>페르난데스 데엔시소 계약서</t>
  </si>
  <si>
    <t>새뮤얼 버지스 계약서</t>
  </si>
  <si>
    <t>로푸 드알베르가리아 계약서</t>
  </si>
  <si>
    <t>문순득 계약서</t>
  </si>
  <si>
    <t>우즈 로저스 계약서</t>
  </si>
  <si>
    <t>페루 다코빌량 계약서</t>
  </si>
  <si>
    <t>조르조 바사리 계약서</t>
  </si>
  <si>
    <t>두아르테 바르보사 계약서</t>
  </si>
  <si>
    <t>주앙 세항 계약서</t>
  </si>
  <si>
    <t>윌리엄 윈터 계약서</t>
  </si>
  <si>
    <t>얀 얀스 벨테브레이 계약서</t>
  </si>
  <si>
    <t>조르즈 드메네즈스 계약서</t>
  </si>
  <si>
    <t>프란시스코 알보 계약서</t>
  </si>
  <si>
    <t>프랑수아 르클레르 계약서</t>
  </si>
  <si>
    <t>니콜라우스 페데르만 계약서</t>
  </si>
  <si>
    <t>가스파르 데케사다 계약서</t>
  </si>
  <si>
    <t>요하네스 구텐베르크 계약서</t>
  </si>
  <si>
    <t>페드로 데멘도사 계약서</t>
  </si>
  <si>
    <t>문익점 계약서</t>
  </si>
  <si>
    <t>알리 알 만드리 계약서</t>
  </si>
  <si>
    <t>아흐메드 알 와타시 계약서</t>
  </si>
  <si>
    <t>윌리엄 셰익스피어 계약서</t>
  </si>
  <si>
    <t>카베사 데바카 계약서</t>
  </si>
  <si>
    <t>미겔 로페스 데레가스피 계약서</t>
  </si>
  <si>
    <t>바스케스 데코로나도 계약서</t>
  </si>
  <si>
    <t>권근 계약서</t>
  </si>
  <si>
    <t>엔히크 드말라카 계약서</t>
  </si>
  <si>
    <t>프란시스코 데오레야나 계약서</t>
  </si>
  <si>
    <t>파올로 토스카넬리 계약서</t>
  </si>
  <si>
    <t>셰르 샤 계약서</t>
  </si>
  <si>
    <t>악셀 욱센헤나 계약서</t>
  </si>
  <si>
    <t>알렉산더 해밀턴 계약서</t>
  </si>
  <si>
    <t>마르틴 베하임 계약서</t>
  </si>
  <si>
    <t>장 프랑수아 드갈로 계약서</t>
  </si>
  <si>
    <t>필리베르 코메르송 계약서</t>
  </si>
  <si>
    <t>자크 카르티에 계약서</t>
  </si>
  <si>
    <t>허초희 계약서</t>
  </si>
  <si>
    <t>정운 계약서</t>
  </si>
  <si>
    <t>나대용 계약서</t>
  </si>
  <si>
    <t>마르틴 루터 계약서</t>
  </si>
  <si>
    <t>야콥 푸거 계약서</t>
  </si>
  <si>
    <t>마테오 리치 계약서</t>
  </si>
  <si>
    <t>토니오 롯시 계약서</t>
  </si>
  <si>
    <t>리오노 아반츄라 계약서</t>
  </si>
  <si>
    <t>하산 파샤 계약서</t>
  </si>
  <si>
    <t>이운룡 계약서</t>
  </si>
  <si>
    <t>이억기 계약서</t>
  </si>
  <si>
    <t>살리흐 레이스 계약서</t>
  </si>
  <si>
    <t>페트뤼스 플란시우스 계약서</t>
  </si>
  <si>
    <t>프란시스쿠 세항 계약서</t>
  </si>
  <si>
    <t>아메리고 베스푸치 계약서</t>
  </si>
  <si>
    <t>루이스 프로이스 계약서</t>
  </si>
  <si>
    <t>조반니 안드레아 도리아 계약서</t>
  </si>
  <si>
    <t>두아르트 드메네즈스 계약서</t>
  </si>
  <si>
    <t>니콜라스 쿠크베커 계약서</t>
  </si>
  <si>
    <t>석양 계약서</t>
  </si>
  <si>
    <t>에드워드 로우 계약서</t>
  </si>
  <si>
    <t>주앙 곤살베스 자르쿠 계약서</t>
  </si>
  <si>
    <t>존 롤프 계약서</t>
  </si>
  <si>
    <t>알렉산더 셀커크 계약서</t>
  </si>
  <si>
    <t>알비세 카다모스토 계약서</t>
  </si>
  <si>
    <t>쿠르톨루 무슬리딘 계약서</t>
  </si>
  <si>
    <t>미겔 데세르반테스 계약서</t>
  </si>
  <si>
    <t>야스케 계약서</t>
  </si>
  <si>
    <t>기린아 계약서</t>
  </si>
  <si>
    <t>이몽룡 계약서</t>
  </si>
  <si>
    <t>진조의 계약서</t>
  </si>
  <si>
    <t>노국공주 계약서</t>
  </si>
  <si>
    <t>카시드 계약서</t>
  </si>
  <si>
    <t>비라 알라케스바라 계약서</t>
  </si>
  <si>
    <t>리차드 빙엄 계약서</t>
  </si>
  <si>
    <t>피터르 제라뒤스 계약서</t>
  </si>
  <si>
    <t>호종헌 계약서</t>
  </si>
  <si>
    <t>알탄 칸 계약서</t>
  </si>
  <si>
    <t>알렉산드르 멘시코프 계약서</t>
  </si>
  <si>
    <t>트실라카트신 계약서</t>
  </si>
  <si>
    <t>김광택 계약서</t>
  </si>
  <si>
    <t>유대유 계약서</t>
  </si>
  <si>
    <t>이초 계약서</t>
  </si>
  <si>
    <t>호수인 계약서</t>
  </si>
  <si>
    <t>왕직 계약서</t>
  </si>
  <si>
    <t>바실리 골리친 계약서</t>
  </si>
  <si>
    <t>시랑 계약서</t>
  </si>
  <si>
    <t>라 이카이카 계약서</t>
  </si>
  <si>
    <t>나니 마히나 계약서</t>
  </si>
  <si>
    <t>로드리고 데콜메나레스 계약서</t>
  </si>
  <si>
    <t>아즈비케 계약서</t>
  </si>
  <si>
    <t>파우라 계약서</t>
  </si>
  <si>
    <t>카츄아파 계약서</t>
  </si>
  <si>
    <t>에드워드 잉글랜드 계약서</t>
  </si>
  <si>
    <t>타치바나 긴치요 계약서</t>
  </si>
  <si>
    <t>루크레치아 보르자 계약서</t>
  </si>
  <si>
    <t>카테리나 스포르차 계약서</t>
  </si>
  <si>
    <t>이사벨라 데스테 계약서</t>
  </si>
  <si>
    <t>마르거리트 드발루아 계약서</t>
  </si>
  <si>
    <t>카테리나 데메디치 계약서</t>
  </si>
  <si>
    <t>잔 바레 계약서</t>
  </si>
  <si>
    <t>메리 스튜어트 계약서</t>
  </si>
  <si>
    <t>예카테리나 1세 계약서</t>
  </si>
  <si>
    <t>쿠말라하야티 계약서</t>
  </si>
  <si>
    <t>메리 리드 계약서</t>
  </si>
  <si>
    <t>아미나 계약서</t>
  </si>
  <si>
    <t>샬롯 드베리 계약서</t>
  </si>
  <si>
    <t>안드레아 그리마니 계약서</t>
  </si>
  <si>
    <t>가르시아 알바레스 계약서</t>
  </si>
  <si>
    <t>루이 코스타 계약서</t>
  </si>
  <si>
    <t>다라 쉰 계약서</t>
  </si>
  <si>
    <t>하코보 포르툰데 계약서</t>
  </si>
  <si>
    <t>필럼 헤인 계약서</t>
  </si>
  <si>
    <t>안드레아 도리아 계약서</t>
  </si>
  <si>
    <t>후안 폰세 데레온 계약서</t>
  </si>
  <si>
    <t>시모네타 베스푸치 계약서</t>
  </si>
  <si>
    <t>아폰수 드알부케르크 계약서</t>
  </si>
  <si>
    <t>가스팔 신트라 계약서</t>
  </si>
  <si>
    <t>임상옥 계약서</t>
  </si>
  <si>
    <t>바바라 팔머 계약서</t>
  </si>
  <si>
    <t>존 호킨스 계약서</t>
  </si>
  <si>
    <t>구키 요시타카 계약서</t>
  </si>
  <si>
    <t>돈 후안 데아우스트리아 계약서</t>
  </si>
  <si>
    <t>리슐리외 계약서</t>
  </si>
  <si>
    <t>엔히크 드아비스 계약서</t>
  </si>
  <si>
    <t>주앙 다노바 계약서</t>
  </si>
  <si>
    <t>바스코 누녜스 데발보아 계약서</t>
  </si>
  <si>
    <t>스티드 보닛 계약서</t>
  </si>
  <si>
    <t>마리아 지빌라 메리안 계약서</t>
  </si>
  <si>
    <t>헨드릭 하멜 계약서</t>
  </si>
  <si>
    <t>조지 앤슨 계약서</t>
  </si>
  <si>
    <t>존 바이런 계약서</t>
  </si>
  <si>
    <t>가토 기요마사 계약서</t>
  </si>
  <si>
    <t>루프마티 계약서</t>
  </si>
  <si>
    <t>필리푸스 파라켈수스 계약서</t>
  </si>
  <si>
    <t>아흐메트 케말레딘 계약서</t>
  </si>
  <si>
    <t>휴 윌로비 계약서</t>
  </si>
  <si>
    <t>알브레히트 발렌슈타인 계약서</t>
  </si>
  <si>
    <t>구스타브 2세 아돌프 계약서</t>
  </si>
  <si>
    <t>샤를 달타냥 계약서</t>
  </si>
  <si>
    <t>윌리엄 키드 계약서</t>
  </si>
  <si>
    <t>디에고 데아라나 계약서</t>
  </si>
  <si>
    <t>디안 드푸아티에 계약서</t>
  </si>
  <si>
    <t>루이 앙투안 드부갱빌 계약서</t>
  </si>
  <si>
    <t>후아나 이녜스 계약서</t>
  </si>
  <si>
    <t>요하네스 케플러 계약서</t>
  </si>
  <si>
    <t>최무선 계약서</t>
  </si>
  <si>
    <t>이븐 바투타 계약서</t>
  </si>
  <si>
    <t>권준 계약서</t>
  </si>
  <si>
    <t>트레볼 에스티브라 계약서</t>
  </si>
  <si>
    <t>투르구트 레이스 계약서</t>
  </si>
  <si>
    <t>휘렘 술탄 계약서</t>
  </si>
  <si>
    <t>김홍도 계약서</t>
  </si>
  <si>
    <t>주여화 계약서</t>
  </si>
  <si>
    <t>알론소 데카르데나스 계약서</t>
  </si>
  <si>
    <t>임꺽정 계약서</t>
  </si>
  <si>
    <t>잔 다르크 계약서</t>
  </si>
  <si>
    <t>사피예 술탄 계약서</t>
  </si>
  <si>
    <t>마리 앙투아네트 계약서</t>
  </si>
  <si>
    <t>알프레드 로우 계약서</t>
  </si>
  <si>
    <t>하이레딘 레이스 계약서</t>
  </si>
  <si>
    <t>메흐메트 슐루크 계약서</t>
  </si>
  <si>
    <t>카라 룸루 계약서</t>
  </si>
  <si>
    <t>로코 알렘켈 계약서</t>
  </si>
  <si>
    <t>오다 노부나가 계약서</t>
  </si>
  <si>
    <t>크리스토발 콜론 계약서</t>
  </si>
  <si>
    <t>줄리 도비니 계약서</t>
  </si>
  <si>
    <t>페르난도 데마가야네스 계약서</t>
  </si>
  <si>
    <t>쿠아우테목 계약서</t>
  </si>
  <si>
    <t>소피아 알렉세예브나 계약서</t>
  </si>
  <si>
    <t>호레스 디스탈디 계약서</t>
  </si>
  <si>
    <t>레오나르도 다빈치 계약서</t>
  </si>
  <si>
    <t>우르지 바르바로사 계약서</t>
  </si>
  <si>
    <t>체사레 보르자 계약서</t>
  </si>
  <si>
    <t>마리아 에스트라다 계약서</t>
  </si>
  <si>
    <t>프랜시스 드레이크 계약서</t>
  </si>
  <si>
    <t>갈릴레오 갈릴레이 계약서</t>
  </si>
  <si>
    <t>아이작 뉴턴 계약서</t>
  </si>
  <si>
    <t>에드워드 티치 계약서</t>
  </si>
  <si>
    <t>바솔로뮤 로버츠 계약서</t>
  </si>
  <si>
    <t>호레이쇼 넬슨 계약서</t>
  </si>
  <si>
    <t>토마스 튜 계약서</t>
  </si>
  <si>
    <t>장 플뢰리 계약서</t>
  </si>
  <si>
    <t>도쿠가와 이에야스 계약서</t>
  </si>
  <si>
    <t>마히데브란 계약서</t>
  </si>
  <si>
    <t>황진 계약서</t>
  </si>
  <si>
    <t>마리아 마가레타 빙켈만 계약서</t>
  </si>
  <si>
    <t>장금 계약서</t>
  </si>
  <si>
    <t>진양옥 계약서</t>
  </si>
  <si>
    <t>에르난 베리오 계약서</t>
  </si>
  <si>
    <t>아이든 레이스 계약서</t>
  </si>
  <si>
    <t>아고스티노 바르바리고 계약서</t>
  </si>
  <si>
    <t>뮈에진자데 알리 파샤 계약서</t>
  </si>
  <si>
    <t>바스쿠 다가마 계약서</t>
  </si>
  <si>
    <t>제임스 쿡 계약서</t>
  </si>
  <si>
    <t>안드레스 데우르다네타 계약서</t>
  </si>
  <si>
    <t>하웰 데이비스 계약서</t>
  </si>
  <si>
    <t>오즈월드 레밍톤 계약서</t>
  </si>
  <si>
    <t>입부 계약서</t>
  </si>
  <si>
    <t>전우치 계약서</t>
  </si>
  <si>
    <t>플란더스 갤리 도면</t>
  </si>
  <si>
    <t>오스만 갤리 도면</t>
  </si>
  <si>
    <t>코르벳 도면</t>
  </si>
  <si>
    <t>산타 마리아 도면</t>
  </si>
  <si>
    <t>스페르베르 도면</t>
  </si>
  <si>
    <t>에스메랄다 도면</t>
  </si>
  <si>
    <t>로만 갤리 도면</t>
  </si>
  <si>
    <t>메이플라워 도면</t>
  </si>
  <si>
    <t>라르와이얄 도면</t>
  </si>
  <si>
    <t>오스만 갤리온 도면</t>
  </si>
  <si>
    <t>테메레르 도면</t>
  </si>
  <si>
    <t>안택선 도면</t>
  </si>
  <si>
    <t>골든 하인드 도면</t>
  </si>
  <si>
    <t>나폴리탄 갤리스 도면</t>
  </si>
  <si>
    <t>성 가브리엘 도면</t>
  </si>
  <si>
    <t>산타 카타리나 도면</t>
  </si>
  <si>
    <t>용수선 도면</t>
  </si>
  <si>
    <t>아이언 사이즈 도면</t>
  </si>
  <si>
    <t>바사 도면</t>
  </si>
  <si>
    <t>노르스케 뢰베 도면</t>
  </si>
  <si>
    <t>사견선 도면</t>
  </si>
  <si>
    <t>할버 만 도면</t>
  </si>
  <si>
    <t>플라잉 클라우드 도면</t>
  </si>
  <si>
    <t>테르모필레 도면</t>
  </si>
  <si>
    <t>서프라이즈 도면</t>
  </si>
  <si>
    <t>비글 도면</t>
  </si>
  <si>
    <t>산티시마 트리니다드 도면</t>
  </si>
  <si>
    <t>어드벤처 갤리 도면</t>
  </si>
  <si>
    <t>보선 도면</t>
  </si>
  <si>
    <t>몽동 도면</t>
  </si>
  <si>
    <t>산 펠리페 도면</t>
  </si>
  <si>
    <t>로열 소버린 도면</t>
  </si>
  <si>
    <t>애들러 도면</t>
  </si>
  <si>
    <t>라 쿠론 도면</t>
  </si>
  <si>
    <t>정조의 거북선 도면</t>
  </si>
  <si>
    <t>노부나가의 철갑선 도면</t>
  </si>
  <si>
    <t>정화의 보선 도면</t>
  </si>
  <si>
    <t>세인트 로런스 도면</t>
  </si>
  <si>
    <t>도팽 로열 도면</t>
  </si>
  <si>
    <t>부첸타우르 도면</t>
  </si>
  <si>
    <t>더제번 도면</t>
  </si>
  <si>
    <t>인게르마늘란트 도면</t>
  </si>
  <si>
    <t>그랑 안 프류트 도면</t>
  </si>
  <si>
    <t>정성공의 해남선 도면</t>
  </si>
  <si>
    <t>위더 도면</t>
  </si>
  <si>
    <t>벨로나 도면</t>
  </si>
  <si>
    <t>대판옥선 도면</t>
  </si>
  <si>
    <t>양선 도면</t>
  </si>
  <si>
    <t>황금 바르카 도면</t>
  </si>
  <si>
    <t>황금 삼판 도면</t>
  </si>
  <si>
    <t>칼라 케이프</t>
  </si>
  <si>
    <t>망토</t>
  </si>
  <si>
    <t>키파</t>
  </si>
  <si>
    <t>레더 헬름</t>
  </si>
  <si>
    <t>갬비슨 코이프</t>
  </si>
  <si>
    <t>진립</t>
  </si>
  <si>
    <t>선원복_남성용</t>
  </si>
  <si>
    <t>에이프런 드레스_여성용</t>
  </si>
  <si>
    <t>자크_남성용</t>
  </si>
  <si>
    <t>로브 타블리에_여성용</t>
  </si>
  <si>
    <t>작무복_여성용</t>
  </si>
  <si>
    <t>누더기 저고리_여성용</t>
  </si>
  <si>
    <t>튜닉</t>
  </si>
  <si>
    <t>갬비슨_남성용</t>
  </si>
  <si>
    <t>레더 에이프런_여성용</t>
  </si>
  <si>
    <t>병사의 창</t>
  </si>
  <si>
    <t>롱보우</t>
  </si>
  <si>
    <t>배틀 액스</t>
  </si>
  <si>
    <t>아쿼버스</t>
  </si>
  <si>
    <t>에페</t>
  </si>
  <si>
    <t>캄피란</t>
  </si>
  <si>
    <t>크로스보우</t>
  </si>
  <si>
    <t>밧줄 머리띠</t>
  </si>
  <si>
    <t>코걸이</t>
  </si>
  <si>
    <t>나뭇가지</t>
  </si>
  <si>
    <t>머리붕대</t>
  </si>
  <si>
    <t>에그토스트</t>
  </si>
  <si>
    <t>붉은 장미</t>
  </si>
  <si>
    <t>연지곤지</t>
  </si>
  <si>
    <t>트럼펫</t>
  </si>
  <si>
    <t>차복</t>
  </si>
  <si>
    <t>탱커드</t>
  </si>
  <si>
    <t>염장육 자루</t>
  </si>
  <si>
    <t>오거</t>
  </si>
  <si>
    <t>바스트렌</t>
  </si>
  <si>
    <t>나자르 본주우</t>
  </si>
  <si>
    <t>사블리에</t>
  </si>
  <si>
    <t>카잔</t>
  </si>
  <si>
    <t>루비 귀걸이</t>
  </si>
  <si>
    <t>곡옥 부적</t>
  </si>
  <si>
    <t>셀레니티스 귀걸이</t>
  </si>
  <si>
    <t>산호이환</t>
  </si>
  <si>
    <t>사파이어 귀걸이</t>
  </si>
  <si>
    <t>가닛 귀걸이</t>
  </si>
  <si>
    <t>에메랄드 귀걸이</t>
  </si>
  <si>
    <t>크리스탈 귀걸이</t>
  </si>
  <si>
    <t>오팔 귀걸이</t>
  </si>
  <si>
    <t>진주 귀걸이</t>
  </si>
  <si>
    <t>다이아몬드 귀걸이</t>
  </si>
  <si>
    <t>자수정 귀걸이</t>
  </si>
  <si>
    <t>알렉산드라이트 세리가</t>
  </si>
  <si>
    <t>금패 귀걸이</t>
  </si>
  <si>
    <t>마노 귀걸이</t>
  </si>
  <si>
    <t>토파즈 귀걸이</t>
  </si>
  <si>
    <t>블랙펄 귀걸이</t>
  </si>
  <si>
    <t>브로치 케이프</t>
  </si>
  <si>
    <t>패랭이_남성용</t>
  </si>
  <si>
    <t>배씨댕기_여성용</t>
  </si>
  <si>
    <t>텡콜록_남성용</t>
  </si>
  <si>
    <t>메이드 캡_여성용</t>
  </si>
  <si>
    <t>빈티지 베일_여성용</t>
  </si>
  <si>
    <t>의사 모자</t>
  </si>
  <si>
    <t>찰갑두회</t>
  </si>
  <si>
    <t>옴</t>
  </si>
  <si>
    <t>바지저고리_남성용</t>
  </si>
  <si>
    <t>치마저고리_여성용</t>
  </si>
  <si>
    <t>사롱_남성용</t>
  </si>
  <si>
    <t>크바야_여성용</t>
  </si>
  <si>
    <t>파자마_남성용</t>
  </si>
  <si>
    <t>코르사주_여성용</t>
  </si>
  <si>
    <t>유군_여성용</t>
  </si>
  <si>
    <t>쿠르타_남성용</t>
  </si>
  <si>
    <t>히사카지마의 의복_남성용</t>
  </si>
  <si>
    <t>이마이의 의복_남성용</t>
  </si>
  <si>
    <t>피우피우</t>
  </si>
  <si>
    <t>서코트</t>
  </si>
  <si>
    <t>장창</t>
  </si>
  <si>
    <t>휠락 피스톨</t>
  </si>
  <si>
    <t>샴쉬르</t>
  </si>
  <si>
    <t>각궁</t>
  </si>
  <si>
    <t>모닝스타</t>
  </si>
  <si>
    <t>매치락 머스킷</t>
  </si>
  <si>
    <t>레이피어</t>
  </si>
  <si>
    <t>고양이 발자국</t>
  </si>
  <si>
    <t>사랑의 편지</t>
  </si>
  <si>
    <t>붕대 복면</t>
  </si>
  <si>
    <t>붕대 안대</t>
  </si>
  <si>
    <t>괴물의 흉터</t>
  </si>
  <si>
    <t>크루제바 안대</t>
  </si>
  <si>
    <t>루주 자국</t>
  </si>
  <si>
    <t>하트 안경</t>
  </si>
  <si>
    <t>수면 안대</t>
  </si>
  <si>
    <t>미라 붕대</t>
  </si>
  <si>
    <t>강아지 코 장식</t>
  </si>
  <si>
    <t>피노키오 코 장식</t>
  </si>
  <si>
    <t>고대 그리스 화장</t>
  </si>
  <si>
    <t>루돌프 코 장식</t>
  </si>
  <si>
    <t>바톤</t>
  </si>
  <si>
    <t>맬릿</t>
  </si>
  <si>
    <t>내릴톱</t>
  </si>
  <si>
    <t>칼루멧</t>
  </si>
  <si>
    <t>산호 반지</t>
  </si>
  <si>
    <t>사파이어 반지</t>
  </si>
  <si>
    <t>가닛 반지</t>
  </si>
  <si>
    <t>크리스탈 반지</t>
  </si>
  <si>
    <t>오팔 반지</t>
  </si>
  <si>
    <t>알렉산드라이트 반지</t>
  </si>
  <si>
    <t>호박 가락지</t>
  </si>
  <si>
    <t>토파즈 반지</t>
  </si>
  <si>
    <t>가스팔의 망토</t>
  </si>
  <si>
    <t>에스메랄다의 망토</t>
  </si>
  <si>
    <t>정자관_남성용</t>
  </si>
  <si>
    <t>여어잠_여성용</t>
  </si>
  <si>
    <t>콰리의 야우투_남성용</t>
  </si>
  <si>
    <t>와르미 몬테라_여성용</t>
  </si>
  <si>
    <t>카울_남성용</t>
  </si>
  <si>
    <t>윔플_여성용</t>
  </si>
  <si>
    <t>사략 해적의 모자</t>
  </si>
  <si>
    <t>페즈_남성용</t>
  </si>
  <si>
    <t>수녀의 베일_여성용</t>
  </si>
  <si>
    <t>샤포 아 베크</t>
  </si>
  <si>
    <t>항해사의 햇</t>
  </si>
  <si>
    <t>바이코켓</t>
  </si>
  <si>
    <t>잉카 야우투_남성용</t>
  </si>
  <si>
    <t>잉카 몬테라_여성용</t>
  </si>
  <si>
    <t>훈장모_남성용</t>
  </si>
  <si>
    <t>금제발잠_여성용</t>
  </si>
  <si>
    <t>파수꾼의 트라이콘</t>
  </si>
  <si>
    <t>제마아트의 뵈르크</t>
  </si>
  <si>
    <t>군용 베레</t>
  </si>
  <si>
    <t>탑 햇</t>
  </si>
  <si>
    <t>전모_여성용</t>
  </si>
  <si>
    <t>이츠나코치틀리</t>
  </si>
  <si>
    <t>샤무아 레더 햇</t>
  </si>
  <si>
    <t>와치맨의 헤드밴드</t>
  </si>
  <si>
    <t>스컬캡</t>
  </si>
  <si>
    <t>트라이콘</t>
  </si>
  <si>
    <t>가디언 헬름</t>
  </si>
  <si>
    <t>마세우알틴의 툭틀리</t>
  </si>
  <si>
    <t>펠트 베레</t>
  </si>
  <si>
    <t>헌터 헤드밴드</t>
  </si>
  <si>
    <t>용병의 헬름</t>
  </si>
  <si>
    <t>장인의 레더 헬멧</t>
  </si>
  <si>
    <t>다리우스 3세의 투구</t>
  </si>
  <si>
    <t>비르카 라멜라 헬름</t>
  </si>
  <si>
    <t>호병포면주</t>
  </si>
  <si>
    <t>세르블리에르</t>
  </si>
  <si>
    <t>철기면갑</t>
  </si>
  <si>
    <t>청색포면주</t>
  </si>
  <si>
    <t>켄투리 갈레아</t>
  </si>
  <si>
    <t>가드맨 헬름</t>
  </si>
  <si>
    <t>슬라빅 헬름</t>
  </si>
  <si>
    <t>콩키스타도르의 모리온</t>
  </si>
  <si>
    <t>레기오나리우스의 갈레아</t>
  </si>
  <si>
    <t>아벤테일</t>
  </si>
  <si>
    <t>쿨라 쿠드</t>
  </si>
  <si>
    <t>플레이트 아멧</t>
  </si>
  <si>
    <t>드라군 헬름</t>
  </si>
  <si>
    <t>야칸 다밋_여성용</t>
  </si>
  <si>
    <t>바르바리 해적복_남성용</t>
  </si>
  <si>
    <t>바르바리 해적 조끼_여성용</t>
  </si>
  <si>
    <t>삼군_여성용</t>
  </si>
  <si>
    <t>에스메랄다의 의복_여성용</t>
  </si>
  <si>
    <t>카리브족의 의복_남성용</t>
  </si>
  <si>
    <t>카리브족의 사냥복_남성용</t>
  </si>
  <si>
    <t>장포_남성용</t>
  </si>
  <si>
    <t>자마_남성용</t>
  </si>
  <si>
    <t>부카니에의 질레_남성용</t>
  </si>
  <si>
    <t>모로 다밋_여성용</t>
  </si>
  <si>
    <t>더블릿_남성용</t>
  </si>
  <si>
    <t>카리브 드레스_여성용</t>
  </si>
  <si>
    <t>연거복_남성용</t>
  </si>
  <si>
    <t>궁녀복_여성용</t>
  </si>
  <si>
    <t>쿼리 운쿠_남성용</t>
  </si>
  <si>
    <t>와르미 악수_여성용</t>
  </si>
  <si>
    <t>수도복_남성용</t>
  </si>
  <si>
    <t>수녀복_여성용</t>
  </si>
  <si>
    <t>사략 해적의 조끼_남성용</t>
  </si>
  <si>
    <t>사략 해적복_여성용</t>
  </si>
  <si>
    <t>제라흐 바스히의 옐레크_남성용</t>
  </si>
  <si>
    <t>가사_남성용</t>
  </si>
  <si>
    <t>엔리코의 하빗_남성용</t>
  </si>
  <si>
    <t>로이드의 항해사복_남성용</t>
  </si>
  <si>
    <t>진수_여성용</t>
  </si>
  <si>
    <t>옐레크_남성용</t>
  </si>
  <si>
    <t>엔타리_여성용</t>
  </si>
  <si>
    <t>광대의 우플랑드_남성용</t>
  </si>
  <si>
    <t>귀부인의 우플랑드_여성용</t>
  </si>
  <si>
    <t>항해사의 조끼_남성용</t>
  </si>
  <si>
    <t>항해사복_여성용</t>
  </si>
  <si>
    <t>코트아르디_남성용</t>
  </si>
  <si>
    <t>커틀_여성용</t>
  </si>
  <si>
    <t>운쿠_남성용</t>
  </si>
  <si>
    <t>악수_여성용</t>
  </si>
  <si>
    <t>학창의_남성용</t>
  </si>
  <si>
    <t>매화문유군_여성용</t>
  </si>
  <si>
    <t>바 메이드 드레스_여성용</t>
  </si>
  <si>
    <t>카발리에 재킷_남성용</t>
  </si>
  <si>
    <t>카리브 셔츠_남성용</t>
  </si>
  <si>
    <t>판디크 칼라 더블릿_남성용</t>
  </si>
  <si>
    <t>명조 철릭_남성용</t>
  </si>
  <si>
    <t>노국공주의 의복_여성용</t>
  </si>
  <si>
    <t>왕수신의 의복_남성용</t>
  </si>
  <si>
    <t>밀항자의 저킨_남성용</t>
  </si>
  <si>
    <t>선단 포수복_남성용</t>
  </si>
  <si>
    <t>가죽 포수복_여성용</t>
  </si>
  <si>
    <t>제마아트의 히르카</t>
  </si>
  <si>
    <t>안드레아의 코트_남성용</t>
  </si>
  <si>
    <t>칼라리파야투 카파다_여성용</t>
  </si>
  <si>
    <t>퀴르 부이 재킷_남성용</t>
  </si>
  <si>
    <t>퀴르 부이 저킨_여성용</t>
  </si>
  <si>
    <t>막스틀라틀_남성용</t>
  </si>
  <si>
    <t>우이필_여성용</t>
  </si>
  <si>
    <t>버프 코트</t>
  </si>
  <si>
    <t>와치맨의 튜닉_남성용</t>
  </si>
  <si>
    <t>와치맨의 튜닉 드레스_여성용</t>
  </si>
  <si>
    <t>탐험가복_남성용</t>
  </si>
  <si>
    <t>보물 사냥꾼복_여성용</t>
  </si>
  <si>
    <t>갑판장복_남성용</t>
  </si>
  <si>
    <t>조타장복_여성용</t>
  </si>
  <si>
    <t>가디언의 저킨_남성용</t>
  </si>
  <si>
    <t>가디언의 재킷_여성용</t>
  </si>
  <si>
    <t>가스팔의 제복_남성용</t>
  </si>
  <si>
    <t>자마단_남성용</t>
  </si>
  <si>
    <t>프레트의 갑옷_남성용</t>
  </si>
  <si>
    <t>마세우알틴의 로파_남성용</t>
  </si>
  <si>
    <t>마세우알틴의 우이필_여성용</t>
  </si>
  <si>
    <t>줄루족의 의복_남성용</t>
  </si>
  <si>
    <t>포샤크_여성용</t>
  </si>
  <si>
    <t>사냥꾼의 튜닉_남성용</t>
  </si>
  <si>
    <t>사냥꾼의 튜닉 드레스_여성용</t>
  </si>
  <si>
    <t>용병의 저킨_남성용</t>
  </si>
  <si>
    <t>용병의 재킷_여성용</t>
  </si>
  <si>
    <t>베르날의 의복_남성용</t>
  </si>
  <si>
    <t>메리의 의복_여성용</t>
  </si>
  <si>
    <t>페르낭의 항해사복_남성용</t>
  </si>
  <si>
    <t>유괴성의 해적복_남성용</t>
  </si>
  <si>
    <t>비르카 스케일 아머</t>
  </si>
  <si>
    <t>호병포면갑</t>
  </si>
  <si>
    <t>브리간딘</t>
  </si>
  <si>
    <t>철기찰갑</t>
  </si>
  <si>
    <t>명조포면갑</t>
  </si>
  <si>
    <t>켄투리 로리카</t>
  </si>
  <si>
    <t>가드맨 아머</t>
  </si>
  <si>
    <t>바크테르츠</t>
  </si>
  <si>
    <t>콩키스타도르의 갑옷</t>
  </si>
  <si>
    <t>로리카 하마타</t>
  </si>
  <si>
    <t>호버크</t>
  </si>
  <si>
    <t>지라흐 박타르</t>
  </si>
  <si>
    <t>플레이트 아머</t>
  </si>
  <si>
    <t>드라군 퀴래스</t>
  </si>
  <si>
    <t>협차</t>
  </si>
  <si>
    <t>와치맨의 토마호크</t>
  </si>
  <si>
    <t>아세가이</t>
  </si>
  <si>
    <t>카만</t>
  </si>
  <si>
    <t>타바르 쉬시파르</t>
  </si>
  <si>
    <t>소드 메이스</t>
  </si>
  <si>
    <t>다</t>
  </si>
  <si>
    <t>킬리지</t>
  </si>
  <si>
    <t>우타</t>
  </si>
  <si>
    <t>퀴리앙 안 완</t>
  </si>
  <si>
    <t>워 해머</t>
  </si>
  <si>
    <t>웅수</t>
  </si>
  <si>
    <t>마쿠아후이틀</t>
  </si>
  <si>
    <t>야유</t>
  </si>
  <si>
    <t>타도</t>
  </si>
  <si>
    <t>스틸 배틀 액스</t>
  </si>
  <si>
    <t>페르나치</t>
  </si>
  <si>
    <t>워 보우</t>
  </si>
  <si>
    <t>시미터</t>
  </si>
  <si>
    <t>차스카 추키</t>
  </si>
  <si>
    <t>파나바스</t>
  </si>
  <si>
    <t>셀프 보우</t>
  </si>
  <si>
    <t>플린트락 머스킷</t>
  </si>
  <si>
    <t>에스톡</t>
  </si>
  <si>
    <t>용병의 츠바이헨더</t>
  </si>
  <si>
    <t>대태도</t>
  </si>
  <si>
    <t>카친 다오</t>
  </si>
  <si>
    <t>브딜</t>
  </si>
  <si>
    <t>글라디우스</t>
  </si>
  <si>
    <t>환도</t>
  </si>
  <si>
    <t>브로드소드</t>
  </si>
  <si>
    <t>코트 소드</t>
  </si>
  <si>
    <t>휠락 머스킷</t>
  </si>
  <si>
    <t>다오</t>
  </si>
  <si>
    <t>철포</t>
  </si>
  <si>
    <t>테붓제</t>
  </si>
  <si>
    <t>스틸 크로스보우</t>
  </si>
  <si>
    <t>강노</t>
  </si>
  <si>
    <t>애착거미</t>
  </si>
  <si>
    <t>각진 색안경</t>
  </si>
  <si>
    <t>저팔계 장식</t>
  </si>
  <si>
    <t>오데투의 가면</t>
  </si>
  <si>
    <t>검은 베일</t>
  </si>
  <si>
    <t>나스</t>
  </si>
  <si>
    <t>광대 가면</t>
  </si>
  <si>
    <t>괴도의 가면</t>
  </si>
  <si>
    <t>격자무늬 가면</t>
  </si>
  <si>
    <t>함진아비 가면</t>
  </si>
  <si>
    <t>무희의 머리장식</t>
  </si>
  <si>
    <t>고글</t>
  </si>
  <si>
    <t>점술가의 별 머리장식</t>
  </si>
  <si>
    <t>판금 가면</t>
  </si>
  <si>
    <t>프릴 하트 안대</t>
  </si>
  <si>
    <t>유리 가면</t>
  </si>
  <si>
    <t>관심법의 안대</t>
  </si>
  <si>
    <t>파피용 가면</t>
  </si>
  <si>
    <t>촙</t>
  </si>
  <si>
    <t>계영배</t>
  </si>
  <si>
    <t>병량환낭</t>
  </si>
  <si>
    <t>몰</t>
  </si>
  <si>
    <t>코핑 쏘우</t>
  </si>
  <si>
    <t>본초강목</t>
  </si>
  <si>
    <t>루비 목걸이</t>
  </si>
  <si>
    <t>벽옥항연</t>
  </si>
  <si>
    <t>셀레니티스 팔찌</t>
  </si>
  <si>
    <t>산호 팔찌</t>
  </si>
  <si>
    <t>사파이어 목걸이</t>
  </si>
  <si>
    <t>줌루트 빌레직</t>
  </si>
  <si>
    <t>크리스탈 팔찌</t>
  </si>
  <si>
    <t>다이아몬드 목걸이</t>
  </si>
  <si>
    <t>자수정 목걸이</t>
  </si>
  <si>
    <t>묘안석 팔찌</t>
  </si>
  <si>
    <t>페니키아 팔찌</t>
  </si>
  <si>
    <t>마노 팔찌</t>
  </si>
  <si>
    <t>블랙펄 팔찌</t>
  </si>
  <si>
    <t>펠리스</t>
  </si>
  <si>
    <t>메호바야 나킷카</t>
  </si>
  <si>
    <t>마르티네스의 망토</t>
  </si>
  <si>
    <t>레겐트 나킷카</t>
  </si>
  <si>
    <t>검은 남작의 트라이콘</t>
  </si>
  <si>
    <t>해적 부선장의 반다나</t>
  </si>
  <si>
    <t>캐벌리어의 모자</t>
  </si>
  <si>
    <t>쥬케토</t>
  </si>
  <si>
    <t>나르시스의 서클릿</t>
  </si>
  <si>
    <t>롤프가의 보닛_남성용</t>
  </si>
  <si>
    <t>마토아카의 머리 장식_여성용</t>
  </si>
  <si>
    <t>명조 사모_남성용</t>
  </si>
  <si>
    <t>엔데룬 터번_여성용</t>
  </si>
  <si>
    <t>파그리_남성용</t>
  </si>
  <si>
    <t>사파비 터번_여성용</t>
  </si>
  <si>
    <t>토마스의 탑 햇_남성용</t>
  </si>
  <si>
    <t>미트라_여성용</t>
  </si>
  <si>
    <t>아라비안 터번_남성용</t>
  </si>
  <si>
    <t>아라비아 비단 베일_여성용</t>
  </si>
  <si>
    <t>앙상블 햇</t>
  </si>
  <si>
    <t>페타_남성용</t>
  </si>
  <si>
    <t>마앙 티카_여성용</t>
  </si>
  <si>
    <t>거상의 흑립_남성용</t>
  </si>
  <si>
    <t>명월 전모_여성용</t>
  </si>
  <si>
    <t>세크반의 터번_남성용</t>
  </si>
  <si>
    <t>아미나의 알라쇼_여성용</t>
  </si>
  <si>
    <t>장관의 트라이콘</t>
  </si>
  <si>
    <t>무스케테르의 샤포_남성용</t>
  </si>
  <si>
    <t>라 포맹의 샤포_여성용</t>
  </si>
  <si>
    <t>듀얼리스트의 모자</t>
  </si>
  <si>
    <t>부카니에의 샤포</t>
  </si>
  <si>
    <t>조커의 투구</t>
  </si>
  <si>
    <t>페리위그 햇</t>
  </si>
  <si>
    <t>왕실 탐험가의 모자</t>
  </si>
  <si>
    <t>터번 카스크_남성용</t>
  </si>
  <si>
    <t>추축 상굴_여성용</t>
  </si>
  <si>
    <t>카르산의 트라이콘</t>
  </si>
  <si>
    <t>우단전립</t>
  </si>
  <si>
    <t>페르난도의 모자</t>
  </si>
  <si>
    <t>주항자의 후드</t>
  </si>
  <si>
    <t>샤프롱_남성용</t>
  </si>
  <si>
    <t>레겐트 코로나_여성용</t>
  </si>
  <si>
    <t>젠틀맨 바이콘</t>
  </si>
  <si>
    <t>브림 햇</t>
  </si>
  <si>
    <t>영사의 바이콘</t>
  </si>
  <si>
    <t>시샤크 후사르자</t>
  </si>
  <si>
    <t>아유타야 무어끼어</t>
  </si>
  <si>
    <t>배서닛</t>
  </si>
  <si>
    <t>그리니치 헬름</t>
  </si>
  <si>
    <t>카이사르의 투구</t>
  </si>
  <si>
    <t>아슬란 쿠드_남성용</t>
  </si>
  <si>
    <t>프리마 돈나 칠라타_여성용</t>
  </si>
  <si>
    <t>근두</t>
  </si>
  <si>
    <t>첨주</t>
  </si>
  <si>
    <t>어린주</t>
  </si>
  <si>
    <t>호국두무</t>
  </si>
  <si>
    <t>익스큐셔너 헬름</t>
  </si>
  <si>
    <t>요정의 투구</t>
  </si>
  <si>
    <t>킵차크 투구</t>
  </si>
  <si>
    <t>알렉산더 대왕의 투구</t>
  </si>
  <si>
    <t>에롤즈 헬름</t>
  </si>
  <si>
    <t>알튼 미페르</t>
  </si>
  <si>
    <t>골드 플레이트 아멧</t>
  </si>
  <si>
    <t>로키의 투구</t>
  </si>
  <si>
    <t>제사장의 드레스_여성용</t>
  </si>
  <si>
    <t>마르케스의 더블릿_남성용</t>
  </si>
  <si>
    <t>마르케자의 더블릿_여성용</t>
  </si>
  <si>
    <t>바솔로뮤의 코트_남성용</t>
  </si>
  <si>
    <t>검은 남작의 드레스_여성용</t>
  </si>
  <si>
    <t>호레스의 의복_남성용</t>
  </si>
  <si>
    <t>해적 부선장의 코트_여성용</t>
  </si>
  <si>
    <t>오블리제 쥐스토코르_남성용</t>
  </si>
  <si>
    <t>오블리제 드레스_여성용</t>
  </si>
  <si>
    <t>로리타 드레스_여성용</t>
  </si>
  <si>
    <t>러프 칼라 드레스_여성용</t>
  </si>
  <si>
    <t>윙 칼라 더블릿_남성용</t>
  </si>
  <si>
    <t>이탈리안 드레스_여성용</t>
  </si>
  <si>
    <t>알브</t>
  </si>
  <si>
    <t>나르시스 베스트_남성용</t>
  </si>
  <si>
    <t>베들라 드레스_여성용</t>
  </si>
  <si>
    <t>롤프가의 코트_남성용</t>
  </si>
  <si>
    <t>롤프가의 드레스_여성용</t>
  </si>
  <si>
    <t>명조 관복_남성용</t>
  </si>
  <si>
    <t>엔데룬 엔타리_여성용</t>
  </si>
  <si>
    <t>야무르의 옐레크_남성용</t>
  </si>
  <si>
    <t>해군 대신의 튜닉_남성용</t>
  </si>
  <si>
    <t>프릴 드레스_여성용</t>
  </si>
  <si>
    <t>랏바우트의 재킷_남성용</t>
  </si>
  <si>
    <t>아치칸_남성용</t>
  </si>
  <si>
    <t>사파비 히르카_여성용</t>
  </si>
  <si>
    <t>로드 아일랜드산 코트_남성용</t>
  </si>
  <si>
    <t>달마티카_여성용</t>
  </si>
  <si>
    <t>아라비아 교역상복_남성용</t>
  </si>
  <si>
    <t>색문부고_여성용</t>
  </si>
  <si>
    <t>앙상블 코트_남성용</t>
  </si>
  <si>
    <t>앙상블 드레스_여성용</t>
  </si>
  <si>
    <t>셰르와니_남성용</t>
  </si>
  <si>
    <t>촐리_여성용</t>
  </si>
  <si>
    <t>거상의 쾌자_남성용</t>
  </si>
  <si>
    <t>명월 무복_여성용</t>
  </si>
  <si>
    <t>세크반의 히르카_남성용</t>
  </si>
  <si>
    <t>아미나의 로브_여성용</t>
  </si>
  <si>
    <t>해군 장관복</t>
  </si>
  <si>
    <t>무스케테르의 베트멍_남성용</t>
  </si>
  <si>
    <t>라 포맹의 베트멍_여성용</t>
  </si>
  <si>
    <t>듀얼리스트의 저킨_남성용</t>
  </si>
  <si>
    <t>현상금 사냥꾼의 저킨_여성용</t>
  </si>
  <si>
    <t>부카니에의 코트</t>
  </si>
  <si>
    <t>미사그리아</t>
  </si>
  <si>
    <t>질의 갑옷_남성용</t>
  </si>
  <si>
    <t>루돌프의 갑옷_남성용</t>
  </si>
  <si>
    <t>프레드릭의 코트_남성용</t>
  </si>
  <si>
    <t>프록코트</t>
  </si>
  <si>
    <t>왕실 탐험가복_남성용</t>
  </si>
  <si>
    <t>마리아의 탐험복_여성용</t>
  </si>
  <si>
    <t>칩칸_남성용</t>
  </si>
  <si>
    <t>크바야 순다_여성용</t>
  </si>
  <si>
    <t>카르산의 코트</t>
  </si>
  <si>
    <t>구군복</t>
  </si>
  <si>
    <t>페르난도의 더블릿_남성용</t>
  </si>
  <si>
    <t>이농 발리 지휘관복_여성용</t>
  </si>
  <si>
    <t>나이트 배철러 코트_남성용</t>
  </si>
  <si>
    <t>주항자의 가죽 갑옷_여성용</t>
  </si>
  <si>
    <t>아르뮈르 드 샹슬리에_남성용</t>
  </si>
  <si>
    <t>레겐트 브로냐_여성용</t>
  </si>
  <si>
    <t>명품 해적 코트_남성용</t>
  </si>
  <si>
    <t>명품 해적 드레스_여성용</t>
  </si>
  <si>
    <t>나사우 해적복_남성용</t>
  </si>
  <si>
    <t>석양의 해적복_여성용</t>
  </si>
  <si>
    <t>영사의 코트_남성용</t>
  </si>
  <si>
    <t>영사의 쇼트코트_여성용</t>
  </si>
  <si>
    <t>트가리누_남성용</t>
  </si>
  <si>
    <t>에르난의 제복_남성용</t>
  </si>
  <si>
    <t>프랑코의 갑옷_남성용</t>
  </si>
  <si>
    <t>판처시 후사르자_여성용</t>
  </si>
  <si>
    <t>아유타야 그라</t>
  </si>
  <si>
    <t>앤슨 남작의 갑옷_남성용</t>
  </si>
  <si>
    <t>쥐퐁 아머_여성용</t>
  </si>
  <si>
    <t>알브레히트의 갑옷_남성용</t>
  </si>
  <si>
    <t>그리니치 아머_여성용</t>
  </si>
  <si>
    <t>아슬란 크루그_남성용</t>
  </si>
  <si>
    <t>프리마 돈나 아머_여성용</t>
  </si>
  <si>
    <t>구키의 갑옷_남성용</t>
  </si>
  <si>
    <t>타치바나의 갑옷_여성용</t>
  </si>
  <si>
    <t>경번갑</t>
  </si>
  <si>
    <t>어린갑</t>
  </si>
  <si>
    <t>호국영갑_남성용</t>
  </si>
  <si>
    <t>일품부인갑_여성용</t>
  </si>
  <si>
    <t>스컬 아머</t>
  </si>
  <si>
    <t>요정의 갑옷</t>
  </si>
  <si>
    <t>킵차크 갑옷</t>
  </si>
  <si>
    <t>에롤즈 플레이트</t>
  </si>
  <si>
    <t>귀뮈슈 즈르흐_남성용</t>
  </si>
  <si>
    <t>알튼 즈르흐_여성용</t>
  </si>
  <si>
    <t>골드 플레이트 아머</t>
  </si>
  <si>
    <t>로키의 갑옷</t>
  </si>
  <si>
    <t>보삭</t>
  </si>
  <si>
    <t>휠락 피스톨 소드</t>
  </si>
  <si>
    <t>트라이던트</t>
  </si>
  <si>
    <t>하이와타의 토마호크</t>
  </si>
  <si>
    <t>음봄반</t>
  </si>
  <si>
    <t>할버드</t>
  </si>
  <si>
    <t>호레스의 도끼</t>
  </si>
  <si>
    <t>금강월도</t>
  </si>
  <si>
    <t>철태궁</t>
  </si>
  <si>
    <t>베르디슈</t>
  </si>
  <si>
    <t>장인의 쉬시파르</t>
  </si>
  <si>
    <t>은입사귀면문철퇴</t>
  </si>
  <si>
    <t>장인의 다</t>
  </si>
  <si>
    <t>태아도</t>
  </si>
  <si>
    <t>사냥꾼의 우타</t>
  </si>
  <si>
    <t>테파테파</t>
  </si>
  <si>
    <t>장인의 모닝스타</t>
  </si>
  <si>
    <t>백호반월도</t>
  </si>
  <si>
    <t>오셀로틀 마쿠아후이틀</t>
  </si>
  <si>
    <t>제마아트의 야유</t>
  </si>
  <si>
    <t>다마스쿠스</t>
  </si>
  <si>
    <t>타바르진</t>
  </si>
  <si>
    <t>스파이크드 클럽</t>
  </si>
  <si>
    <t>간디바</t>
  </si>
  <si>
    <t>펄션</t>
  </si>
  <si>
    <t>마카나</t>
  </si>
  <si>
    <t>칼링가</t>
  </si>
  <si>
    <t>정예병의 롱보우</t>
  </si>
  <si>
    <t>토마스의 검</t>
  </si>
  <si>
    <t>핸드 모탈</t>
  </si>
  <si>
    <t>미클렛락 머스킷</t>
  </si>
  <si>
    <t>총사의 레이피어</t>
  </si>
  <si>
    <t>클레이모어</t>
  </si>
  <si>
    <t>그람</t>
  </si>
  <si>
    <t>램 다오</t>
  </si>
  <si>
    <t>플랑베르주</t>
  </si>
  <si>
    <t>스트렐치의 무시케트</t>
  </si>
  <si>
    <t>라니스타 글라디우스</t>
  </si>
  <si>
    <t>플로베르거</t>
  </si>
  <si>
    <t>하켄뷕세</t>
  </si>
  <si>
    <t>카스카라</t>
  </si>
  <si>
    <t>왕족의 크리스</t>
  </si>
  <si>
    <t>예니체리의 튀펙</t>
  </si>
  <si>
    <t>피쉬 스파인 소드</t>
  </si>
  <si>
    <t>다네가시마산 철포</t>
  </si>
  <si>
    <t>골리앗의 검</t>
  </si>
  <si>
    <t>로베르토의 검</t>
  </si>
  <si>
    <t>대왕의 크로스보우</t>
  </si>
  <si>
    <t>아바레스트</t>
  </si>
  <si>
    <t>바로크 크로스보우</t>
  </si>
  <si>
    <t>선주민 수호자의 가면</t>
  </si>
  <si>
    <t>도하신의 가면</t>
  </si>
  <si>
    <t>돌사자 가면</t>
  </si>
  <si>
    <t>검무사의 안대</t>
  </si>
  <si>
    <t>무도회 가면</t>
  </si>
  <si>
    <t>무법자의 가죽 가면</t>
  </si>
  <si>
    <t>베들라 가면</t>
  </si>
  <si>
    <t>사안의 안대</t>
  </si>
  <si>
    <t>거울 안대</t>
  </si>
  <si>
    <t>모략꾼의 안대</t>
  </si>
  <si>
    <t>드래곤 안대</t>
  </si>
  <si>
    <t>장미 가면</t>
  </si>
  <si>
    <t>증녀 가면</t>
  </si>
  <si>
    <t>긴고아</t>
  </si>
  <si>
    <t>음폼폰수오</t>
  </si>
  <si>
    <t>리톤</t>
  </si>
  <si>
    <t>광병낭</t>
  </si>
  <si>
    <t>코킹 말렛</t>
  </si>
  <si>
    <t>장인의 보우 쏘우</t>
  </si>
  <si>
    <t>아사바이키신</t>
  </si>
  <si>
    <t>피전 블러드 링</t>
  </si>
  <si>
    <t>포우나무 헤이 티키</t>
  </si>
  <si>
    <t>마카라 칸간</t>
  </si>
  <si>
    <t>산호호부</t>
  </si>
  <si>
    <t>카롤루스의 탈리스만</t>
  </si>
  <si>
    <t>미낙시 프라티마</t>
  </si>
  <si>
    <t>크리스탈 피스트</t>
  </si>
  <si>
    <t>루이 드로앙의 선물</t>
  </si>
  <si>
    <t>왐펌</t>
  </si>
  <si>
    <t>호안석 목걸이</t>
  </si>
  <si>
    <t>대삼작노리개</t>
  </si>
  <si>
    <t>오닉스 목걸이</t>
  </si>
  <si>
    <t>왕비의 목걸이</t>
  </si>
  <si>
    <t>쥐약</t>
  </si>
  <si>
    <t>청소 도구</t>
  </si>
  <si>
    <t>소화 모래</t>
  </si>
  <si>
    <t>통</t>
  </si>
  <si>
    <t>라임 주스</t>
  </si>
  <si>
    <t>술통</t>
  </si>
  <si>
    <t>전염병 치료제</t>
  </si>
  <si>
    <t>귀마개</t>
  </si>
  <si>
    <t>예비 돛</t>
  </si>
  <si>
    <t>예비 키</t>
  </si>
  <si>
    <t>징벌의 밧줄</t>
  </si>
  <si>
    <t>해먹</t>
  </si>
  <si>
    <t>망향의 카리욘벨</t>
  </si>
  <si>
    <t>뱃노래 악보</t>
  </si>
  <si>
    <t>성스러운 향유</t>
  </si>
  <si>
    <t>해신의 부적</t>
  </si>
  <si>
    <t>풍신의 콩</t>
  </si>
  <si>
    <t>간이 나침반</t>
  </si>
  <si>
    <t>허수아비</t>
  </si>
  <si>
    <t>간이 공구</t>
  </si>
  <si>
    <t>초급 공구</t>
  </si>
  <si>
    <t>고급 공구</t>
  </si>
  <si>
    <t>간이 구급함</t>
  </si>
  <si>
    <t>초급 구급함</t>
  </si>
  <si>
    <t>일기도</t>
  </si>
  <si>
    <t>천청 일기도</t>
  </si>
  <si>
    <t>강우 일기도</t>
  </si>
  <si>
    <t>폭우 일기도</t>
  </si>
  <si>
    <t>강설 일기도</t>
  </si>
  <si>
    <t>폭설 일기도</t>
  </si>
  <si>
    <t>풍속도</t>
  </si>
  <si>
    <t>정북 풍속도</t>
  </si>
  <si>
    <t>북동 풍속도</t>
  </si>
  <si>
    <t>남동 풍속도</t>
  </si>
  <si>
    <t>정남 풍속도</t>
  </si>
  <si>
    <t>남서 풍속도</t>
  </si>
  <si>
    <t>북서 풍속도</t>
  </si>
  <si>
    <t>파고도</t>
  </si>
  <si>
    <t>해류도</t>
  </si>
  <si>
    <t>마황액</t>
  </si>
  <si>
    <t>마황탕</t>
  </si>
  <si>
    <t>마행감석탕</t>
  </si>
  <si>
    <t>선원권리장서</t>
  </si>
  <si>
    <t>선상권리장서</t>
  </si>
  <si>
    <t>함대권리장서</t>
  </si>
  <si>
    <t>제연탄약</t>
  </si>
  <si>
    <t>제연탄</t>
  </si>
  <si>
    <t>대형 제연탄</t>
  </si>
  <si>
    <t>소형 인양 공구</t>
  </si>
  <si>
    <t>중형 인양 공구</t>
  </si>
  <si>
    <t>대형 인양 공구</t>
  </si>
  <si>
    <t>초대형 인양 공구</t>
  </si>
  <si>
    <t>저렴한 낚싯대</t>
  </si>
  <si>
    <t>중급 낚싯대</t>
  </si>
  <si>
    <t>고급 낚싯대</t>
  </si>
  <si>
    <t>특별한 낚싯대</t>
  </si>
  <si>
    <t>전설의 낚싯대</t>
  </si>
  <si>
    <t>저렴한 떡밥</t>
  </si>
  <si>
    <t>중급 떡밥</t>
  </si>
  <si>
    <t>고급 떡밥</t>
  </si>
  <si>
    <t>특별한 떡밥</t>
  </si>
  <si>
    <t>전설의 떡밥</t>
  </si>
  <si>
    <t>소형 발주서</t>
  </si>
  <si>
    <t>중형 발주서</t>
  </si>
  <si>
    <t>대형 발주서</t>
  </si>
  <si>
    <t>황금 아스트롤라베</t>
  </si>
  <si>
    <t>다이아몬드 아스트롤라베</t>
  </si>
  <si>
    <t>카모마일차</t>
  </si>
  <si>
    <t>히비스커스차</t>
  </si>
  <si>
    <t>라벤더차</t>
  </si>
  <si>
    <t>장미차</t>
  </si>
  <si>
    <t>도자기 술잔</t>
  </si>
  <si>
    <t>도자기 접시</t>
  </si>
  <si>
    <t>도자기 꽃병</t>
  </si>
  <si>
    <t>도자기 주전자</t>
  </si>
  <si>
    <t>리넨 손수건</t>
  </si>
  <si>
    <t>자수 손수건</t>
  </si>
  <si>
    <t>비단 손수건</t>
  </si>
  <si>
    <t>금나비 손수건</t>
  </si>
  <si>
    <t>양갱</t>
  </si>
  <si>
    <t>셈라</t>
  </si>
  <si>
    <t>슈네발</t>
  </si>
  <si>
    <t>딸기 타르트</t>
  </si>
  <si>
    <t>난초 그림 부채</t>
  </si>
  <si>
    <t>파초선</t>
  </si>
  <si>
    <t>비단 부채</t>
  </si>
  <si>
    <t>깃털 부채</t>
  </si>
  <si>
    <t>지중해의 모험</t>
  </si>
  <si>
    <t>인도의 신비를 찾아서</t>
  </si>
  <si>
    <t>북극에서 살아남기</t>
  </si>
  <si>
    <t>세계를 유랑하다</t>
  </si>
  <si>
    <t>에메랄드 브로치</t>
  </si>
  <si>
    <t>루비 브로치</t>
  </si>
  <si>
    <t>사파이어 브로치</t>
  </si>
  <si>
    <t>다이아몬드 브로치</t>
  </si>
  <si>
    <t>마호가니 파이프</t>
  </si>
  <si>
    <t>해포석 파이프</t>
  </si>
  <si>
    <t>몰타 파이프</t>
  </si>
  <si>
    <t>도자기 파이프</t>
  </si>
  <si>
    <t>산수경석</t>
  </si>
  <si>
    <t>옥 거북이</t>
  </si>
  <si>
    <t>황금 라마</t>
  </si>
  <si>
    <t>칠보 향로</t>
  </si>
  <si>
    <t>일기장</t>
  </si>
  <si>
    <t>고급 일기장</t>
  </si>
  <si>
    <t>문구 세트</t>
  </si>
  <si>
    <t>고급 문구 세트</t>
  </si>
  <si>
    <t>공용 RewardDropPool : S급 대포</t>
  </si>
  <si>
    <t>홍이포</t>
  </si>
  <si>
    <t>세이커</t>
  </si>
  <si>
    <t>현자총통</t>
  </si>
  <si>
    <t>컬버린</t>
  </si>
  <si>
    <t>호준포</t>
  </si>
  <si>
    <t>가죽포</t>
  </si>
  <si>
    <t>대완구</t>
  </si>
  <si>
    <t>코호른</t>
  </si>
  <si>
    <t>자모포</t>
  </si>
  <si>
    <t>공용 RewardDropPool : S급 돛</t>
  </si>
  <si>
    <t>공용 RewardDropPool : S급 장갑</t>
  </si>
  <si>
    <t>자작나무판</t>
  </si>
  <si>
    <t>물푸레나무판</t>
  </si>
  <si>
    <t>참나무판</t>
  </si>
  <si>
    <t>철판</t>
  </si>
  <si>
    <t>공용 RewardDropPool : S급 충각</t>
  </si>
  <si>
    <t>공용 RewardDropPool : S급 선수상</t>
  </si>
  <si>
    <t>브리트라상</t>
  </si>
  <si>
    <t>성페테로상</t>
  </si>
  <si>
    <t>플라톤상</t>
  </si>
  <si>
    <t>마우상</t>
  </si>
  <si>
    <t>한니발상</t>
  </si>
  <si>
    <t>성브렌던상</t>
  </si>
  <si>
    <t>다누상</t>
  </si>
  <si>
    <t>파프니르상</t>
  </si>
  <si>
    <t>쿠크르칸상</t>
  </si>
  <si>
    <t>소크라테스상</t>
  </si>
  <si>
    <t>성커스버트상</t>
  </si>
  <si>
    <t>알라시드상</t>
  </si>
  <si>
    <t>그리폰상</t>
  </si>
  <si>
    <t>요르문간드상</t>
  </si>
  <si>
    <t>이슈타르상</t>
  </si>
  <si>
    <t>아나히타상</t>
  </si>
  <si>
    <t>프레이아상</t>
  </si>
  <si>
    <t>포세이돈상</t>
  </si>
  <si>
    <t>성마르코상</t>
  </si>
  <si>
    <t>성크리스토퍼상</t>
  </si>
  <si>
    <t>아쇼카왕상</t>
  </si>
  <si>
    <t>잉어상</t>
  </si>
  <si>
    <t>해골상</t>
  </si>
  <si>
    <t>코끼리상</t>
  </si>
  <si>
    <t>넵투누스상</t>
  </si>
  <si>
    <t>문어상</t>
  </si>
  <si>
    <t>곰상</t>
  </si>
  <si>
    <t>성마그달레나상</t>
  </si>
  <si>
    <t>헤라상</t>
  </si>
  <si>
    <t>펜리르상</t>
  </si>
  <si>
    <t>비너스상</t>
  </si>
  <si>
    <t>용상</t>
  </si>
  <si>
    <t>성아가타상</t>
  </si>
  <si>
    <t>가루다상</t>
  </si>
  <si>
    <t>아프로디테상</t>
  </si>
  <si>
    <t>동자승상</t>
  </si>
  <si>
    <t>공용 RewardDropPool : S급 닻</t>
  </si>
  <si>
    <t>석정</t>
  </si>
  <si>
    <t>사조철묘</t>
  </si>
  <si>
    <t>공용 RewardDropPool : D급 대포</t>
  </si>
  <si>
    <t>백자총통</t>
  </si>
  <si>
    <t>공용 RewardDropPool : D급 돛</t>
  </si>
  <si>
    <t>공용 RewardDropPool : D급 장갑</t>
  </si>
  <si>
    <t>가문비나무판</t>
  </si>
  <si>
    <t>삼나무판</t>
  </si>
  <si>
    <t>공용 RewardDropPool : D급 충각</t>
  </si>
  <si>
    <t>공용 RewardDropPool : D급 선수상</t>
  </si>
  <si>
    <t>호랑이상</t>
  </si>
  <si>
    <t>푸른솔개상</t>
  </si>
  <si>
    <t>고래상</t>
  </si>
  <si>
    <t>공용 RewardDropPool : D급 닻</t>
  </si>
  <si>
    <t>공용 RewardDropPool : C급 대포</t>
  </si>
  <si>
    <t>이시비야</t>
  </si>
  <si>
    <t>란타카</t>
  </si>
  <si>
    <t>공용 RewardDropPool : C급 돛</t>
  </si>
  <si>
    <t>공용 RewardDropPool : C급 장갑</t>
  </si>
  <si>
    <t>오리나무판</t>
  </si>
  <si>
    <t>공용 RewardDropPool : C급 충각</t>
  </si>
  <si>
    <t>공용 RewardDropPool : C급 선수상</t>
  </si>
  <si>
    <t>라나팰콘상</t>
  </si>
  <si>
    <t>화이트사이드의상</t>
  </si>
  <si>
    <t>독수리상</t>
  </si>
  <si>
    <t>쥐돌고래상</t>
  </si>
  <si>
    <t>흰돌고래상</t>
  </si>
  <si>
    <t>나고래상</t>
  </si>
  <si>
    <t>공용 RewardDropPool : C급 닻</t>
  </si>
  <si>
    <t>공용 RewardDropPool : B급 대포</t>
  </si>
  <si>
    <t>팔코넷</t>
  </si>
  <si>
    <t>연대포</t>
  </si>
  <si>
    <t>에스메릴</t>
  </si>
  <si>
    <t>오르간포</t>
  </si>
  <si>
    <t>공용 RewardDropPool : B급 돛</t>
  </si>
  <si>
    <t>보닛</t>
  </si>
  <si>
    <t>공용 RewardDropPool : B급 장갑</t>
  </si>
  <si>
    <t>공용 RewardDropPool : B급 충각</t>
  </si>
  <si>
    <t>공용 RewardDropPool : B급 선수상</t>
  </si>
  <si>
    <t>긴수염고래상</t>
  </si>
  <si>
    <t>케스트랄상</t>
  </si>
  <si>
    <t>벌쳐상</t>
  </si>
  <si>
    <t>세이렌상</t>
  </si>
  <si>
    <t>불사조상</t>
  </si>
  <si>
    <t>흰긴수염고래상</t>
  </si>
  <si>
    <t>바위새상</t>
  </si>
  <si>
    <t>공용 RewardDropPool : B급 닻</t>
  </si>
  <si>
    <t>공용 RewardDropPool : A급 대포</t>
  </si>
  <si>
    <t>황자총통</t>
  </si>
  <si>
    <t>팔콘</t>
  </si>
  <si>
    <t>완구</t>
  </si>
  <si>
    <t>위원포</t>
  </si>
  <si>
    <t>미니온</t>
  </si>
  <si>
    <t>보글러</t>
  </si>
  <si>
    <t>공용 RewardDropPool : A급 돛</t>
  </si>
  <si>
    <t>공용 RewardDropPool : A급 장갑</t>
  </si>
  <si>
    <t>너도밤나무판</t>
  </si>
  <si>
    <t>동판</t>
  </si>
  <si>
    <t>공용 RewardDropPool : A급 충각</t>
  </si>
  <si>
    <t>공용 RewardDropPool : A급 선수상</t>
  </si>
  <si>
    <t>듀공상</t>
  </si>
  <si>
    <t>금독수리상</t>
  </si>
  <si>
    <t>해신상</t>
  </si>
  <si>
    <t>성모상</t>
  </si>
  <si>
    <t>왕자상</t>
  </si>
  <si>
    <t>용사상</t>
  </si>
  <si>
    <t>에우로페상</t>
  </si>
  <si>
    <t>백상어상</t>
  </si>
  <si>
    <t>위인상</t>
  </si>
  <si>
    <t>톱상어상</t>
  </si>
  <si>
    <t>안드로메다상</t>
  </si>
  <si>
    <t>샌드타이거상</t>
  </si>
  <si>
    <t>해수상</t>
  </si>
  <si>
    <t>에로스상</t>
  </si>
  <si>
    <t>파리스상</t>
  </si>
  <si>
    <t>아가멤논상</t>
  </si>
  <si>
    <t>큐피트상</t>
  </si>
  <si>
    <t>아르키메데스상</t>
  </si>
  <si>
    <t>천룡상</t>
  </si>
  <si>
    <t>판도라상</t>
  </si>
  <si>
    <t>벤누의상</t>
  </si>
  <si>
    <t>와이번상</t>
  </si>
  <si>
    <t>성인상</t>
  </si>
  <si>
    <t>티아마트상</t>
  </si>
  <si>
    <t>양쯔강돌고래상</t>
  </si>
  <si>
    <t>리바이어던상</t>
  </si>
  <si>
    <t>케살코아틀상</t>
  </si>
  <si>
    <t>아르테미스상</t>
  </si>
  <si>
    <t>가고일상</t>
  </si>
  <si>
    <t>아이네이아스상</t>
  </si>
  <si>
    <t>익스타브상</t>
  </si>
  <si>
    <t>디아나상</t>
  </si>
  <si>
    <t>성안드레상</t>
  </si>
  <si>
    <t>시서펜트상</t>
  </si>
  <si>
    <t>아난타상</t>
  </si>
  <si>
    <t>공용 RewardDropPool : A급 닻</t>
  </si>
  <si>
    <t>목묘</t>
  </si>
  <si>
    <t>목제 아스트롤라베</t>
  </si>
  <si>
    <t>초급 포격술 교본</t>
  </si>
  <si>
    <t>초급 백병술 교본</t>
  </si>
  <si>
    <t>초급 충파술 교본</t>
  </si>
  <si>
    <t>초급 지원술 교본</t>
  </si>
  <si>
    <t>초급 보급법 교본</t>
  </si>
  <si>
    <t>초급 척후법 교본</t>
  </si>
  <si>
    <t>초급 박물학 교본</t>
  </si>
  <si>
    <t>초급 심미학 교본</t>
  </si>
  <si>
    <t>초급 구매 전략 교본</t>
  </si>
  <si>
    <t>초급 판매 전략 교본</t>
  </si>
  <si>
    <t>초급 협상 전략 교본</t>
  </si>
  <si>
    <t>초급 교환 전략 교본</t>
  </si>
  <si>
    <t>중급 포격술 교본</t>
  </si>
  <si>
    <t>중급 백병술 교본</t>
  </si>
  <si>
    <t>중급 충파술 교본</t>
  </si>
  <si>
    <t>중급 지원술 교본</t>
  </si>
  <si>
    <t>중급 보급법 교본</t>
  </si>
  <si>
    <t>중급 척후법 교본</t>
  </si>
  <si>
    <t>중급 박물학 교본</t>
  </si>
  <si>
    <t>중급 심미학 교본</t>
  </si>
  <si>
    <t>중급 구매 전략 교본</t>
  </si>
  <si>
    <t>중급 판매 전략 교본</t>
  </si>
  <si>
    <t>중급 협상 전략 교본</t>
  </si>
  <si>
    <t>중급 교환 전략 교본</t>
  </si>
  <si>
    <t>고급 포격술 교본</t>
  </si>
  <si>
    <t>고급 백병술 교본</t>
  </si>
  <si>
    <t>고급 충파술 교본</t>
  </si>
  <si>
    <t>고급 지원술 교본</t>
  </si>
  <si>
    <t>고급 보급법 교본</t>
  </si>
  <si>
    <t>고급 척후법 교본</t>
  </si>
  <si>
    <t>고급 박물학 교본</t>
  </si>
  <si>
    <t>고급 심미학 교본</t>
  </si>
  <si>
    <t>고급 구매 전략 교본</t>
  </si>
  <si>
    <t>고급 판매 전략 교본</t>
  </si>
  <si>
    <t>고급 협상 전략 교본</t>
  </si>
  <si>
    <t>고급 교환 전략 교본</t>
  </si>
  <si>
    <t>최고급 포격술 교본</t>
  </si>
  <si>
    <t>최고급 백병술 교본</t>
  </si>
  <si>
    <t>최고급 충파술 교본</t>
  </si>
  <si>
    <t>최고급 지원술 교본</t>
  </si>
  <si>
    <t>최고급 보급법 교본</t>
  </si>
  <si>
    <t>최고급 척후법 교본</t>
  </si>
  <si>
    <t>최고급 박물학 교본</t>
  </si>
  <si>
    <t>최고급 심미학 교본</t>
  </si>
  <si>
    <t>최고급 구매 전략 교본</t>
  </si>
  <si>
    <t>최고급 판매 전략 교본</t>
  </si>
  <si>
    <t>최고급 협상 전략 교본</t>
  </si>
  <si>
    <t>최고급 교환 전략 교본</t>
  </si>
  <si>
    <t>파충류 비늘</t>
  </si>
  <si>
    <t>지느러미</t>
  </si>
  <si>
    <t>어묵</t>
  </si>
  <si>
    <t>바닷가재</t>
  </si>
  <si>
    <t>조개껍질</t>
  </si>
  <si>
    <t>불가사리</t>
  </si>
  <si>
    <t>작가 미상 그림</t>
  </si>
  <si>
    <t>작가 미상 조각</t>
  </si>
  <si>
    <t>부서진 성물</t>
  </si>
  <si>
    <t>항구 견문록</t>
  </si>
  <si>
    <t>마을 견문록</t>
  </si>
  <si>
    <t>기상도</t>
  </si>
  <si>
    <t>평면도</t>
  </si>
  <si>
    <t>도시 지형도</t>
  </si>
  <si>
    <t>마을 지도</t>
  </si>
  <si>
    <t>위험한 독니</t>
  </si>
  <si>
    <t>편마암</t>
  </si>
  <si>
    <t>사암</t>
  </si>
  <si>
    <t>석회암</t>
  </si>
  <si>
    <t>대리암</t>
  </si>
  <si>
    <t>깨끗한 허물</t>
  </si>
  <si>
    <t>화석 조각</t>
  </si>
  <si>
    <t>물형석</t>
  </si>
  <si>
    <t>무늬석</t>
  </si>
  <si>
    <t>색채석</t>
  </si>
  <si>
    <t>반귀석</t>
  </si>
  <si>
    <t>낡은 상자</t>
  </si>
  <si>
    <t>초보자의 편지</t>
  </si>
  <si>
    <t>중급자의 편지</t>
  </si>
  <si>
    <t>상급자의 편지</t>
  </si>
  <si>
    <t>특수한 편지</t>
  </si>
  <si>
    <t>전설적인 편지</t>
  </si>
  <si>
    <t>최하급 모험 임명장</t>
  </si>
  <si>
    <t>최하급 교역 임명장</t>
  </si>
  <si>
    <t>최하급 전투 임명장</t>
  </si>
  <si>
    <t>하급 모험 임명장</t>
  </si>
  <si>
    <t>하급 교역 임명장</t>
  </si>
  <si>
    <t>하급 전투 임명장</t>
  </si>
  <si>
    <t>중급 모험 임명장</t>
  </si>
  <si>
    <t>중급 교역 임명장</t>
  </si>
  <si>
    <t>중급 전투 임명장</t>
  </si>
  <si>
    <t>상급 모험 임명장</t>
  </si>
  <si>
    <t>상급 교역 임명장</t>
  </si>
  <si>
    <t>상급 전투 임명장</t>
  </si>
  <si>
    <t>최상급 모험 임명장</t>
  </si>
  <si>
    <t>최상급 교역 임명장</t>
  </si>
  <si>
    <t>최상급 전투 임명장</t>
  </si>
  <si>
    <t>자단나무</t>
  </si>
  <si>
    <t>자단나무 돛대</t>
  </si>
  <si>
    <t>특수 강화 중형 포문</t>
  </si>
  <si>
    <t>황마</t>
  </si>
  <si>
    <t>양모</t>
  </si>
  <si>
    <t>도면_서양_모험_티어1</t>
  </si>
  <si>
    <t>도면_서양_모험_티어2</t>
  </si>
  <si>
    <t>황금 한자 코그 도면</t>
  </si>
  <si>
    <t>도면_서양_모험_티어3</t>
  </si>
  <si>
    <t>도면_서양_모험_티어4</t>
  </si>
  <si>
    <t>도면_서양_모험_티어5</t>
  </si>
  <si>
    <t>도면_서양_모험_티어6</t>
  </si>
  <si>
    <t>도면_서양_모험_티어7</t>
  </si>
  <si>
    <t>도면_서양_모험_티어8</t>
  </si>
  <si>
    <t>도면_서양_모험_티어9</t>
  </si>
  <si>
    <t>도면_서양_모험_티어10</t>
  </si>
  <si>
    <t>도면_서양_교역_티어1</t>
  </si>
  <si>
    <t>도면_서양_교역_티어2</t>
  </si>
  <si>
    <t>도면_서양_교역_티어3</t>
  </si>
  <si>
    <t>도면_서양_교역_티어4</t>
  </si>
  <si>
    <t>도면_서양_교역_티어5</t>
  </si>
  <si>
    <t>도면_서양_교역_티어6</t>
  </si>
  <si>
    <t>도면_서양_교역_티어7</t>
  </si>
  <si>
    <t>도면_서양_교역_티어8</t>
  </si>
  <si>
    <t>도면_서양_교역_티어9</t>
  </si>
  <si>
    <t>도면_서양_교역_티어10</t>
  </si>
  <si>
    <t>도면_서양_전투_티어1</t>
  </si>
  <si>
    <t>도면_서양_전투_티어2</t>
  </si>
  <si>
    <t>도면_서양_전투_티어3</t>
  </si>
  <si>
    <t>도면_서양_전투_티어4</t>
  </si>
  <si>
    <t>도면_서양_전투_티어5</t>
  </si>
  <si>
    <t>도면_서양_전투_티어6</t>
  </si>
  <si>
    <t>도면_서양_전투_티어7</t>
  </si>
  <si>
    <t>도면_서양_전투_티어8</t>
  </si>
  <si>
    <t>도면_서양_전투_티어9</t>
  </si>
  <si>
    <t>도면_서양_전투_티어10</t>
  </si>
  <si>
    <t>도면_동양_모험_티어1</t>
  </si>
  <si>
    <t>버저로 도면</t>
  </si>
  <si>
    <t>도면_동양_모험_티어2</t>
  </si>
  <si>
    <t>도면_동양_모험_티어3</t>
  </si>
  <si>
    <t>도면_동양_모험_티어4</t>
  </si>
  <si>
    <t>도면_동양_모험_티어5</t>
  </si>
  <si>
    <t>도면_동양_모험_티어6</t>
  </si>
  <si>
    <t>도면_동양_모험_티어7</t>
  </si>
  <si>
    <t>도면_동양_모험_티어8</t>
  </si>
  <si>
    <t>도면_동양_모험_티어9</t>
  </si>
  <si>
    <t>도면_동양_모험_티어10</t>
  </si>
  <si>
    <t>도면_동양_교역_티어1</t>
  </si>
  <si>
    <t>도면_동양_교역_티어2</t>
  </si>
  <si>
    <t>도면_동양_교역_티어3</t>
  </si>
  <si>
    <t>도면_동양_교역_티어4</t>
  </si>
  <si>
    <t>도면_동양_교역_티어5</t>
  </si>
  <si>
    <t>도면_동양_교역_티어6</t>
  </si>
  <si>
    <t>도면_동양_교역_티어7</t>
  </si>
  <si>
    <t>도면_동양_교역_티어8</t>
  </si>
  <si>
    <t>도면_동양_교역_티어9</t>
  </si>
  <si>
    <t>도면_동양_교역_티어10</t>
  </si>
  <si>
    <t>도면_동양_전투_티어1</t>
  </si>
  <si>
    <t>도면_동양_전투_티어2</t>
  </si>
  <si>
    <t>도면_동양_전투_티어3</t>
  </si>
  <si>
    <t>도면_동양_전투_티어4</t>
  </si>
  <si>
    <t>도면_동양_전투_티어5</t>
  </si>
  <si>
    <t>도면_동양_전투_티어6</t>
  </si>
  <si>
    <t>도면_동양_전투_티어7</t>
  </si>
  <si>
    <t>도면_동양_전투_티어8</t>
  </si>
  <si>
    <t>도면_동양_전투_티어9</t>
  </si>
  <si>
    <t>도면_동양_전투_티어10</t>
  </si>
  <si>
    <t>도면_조선_모험_티어1</t>
  </si>
  <si>
    <t>도면_조선_모험_티어2</t>
  </si>
  <si>
    <t>황금 타렛테 도면</t>
  </si>
  <si>
    <t>도면_조선_모험_티어3</t>
  </si>
  <si>
    <t>도면_조선_모험_티어4</t>
  </si>
  <si>
    <t>도면_조선_모험_티어5</t>
  </si>
  <si>
    <t>도면_조선_모험_티어6</t>
  </si>
  <si>
    <t>도면_조선_모험_티어7</t>
  </si>
  <si>
    <t>도면_조선_모험_티어8</t>
  </si>
  <si>
    <t>도면_조선_모험_티어9</t>
  </si>
  <si>
    <t>도면_조선_모험_티어10</t>
  </si>
  <si>
    <t>도면_조선_교역_티어1</t>
  </si>
  <si>
    <t>도면_조선_교역_티어2</t>
  </si>
  <si>
    <t>도면_조선_교역_티어3</t>
  </si>
  <si>
    <t>도면_조선_교역_티어4</t>
  </si>
  <si>
    <t>도면_조선_교역_티어5</t>
  </si>
  <si>
    <t>도면_조선_교역_티어6</t>
  </si>
  <si>
    <t>도면_조선_교역_티어7</t>
  </si>
  <si>
    <t>도면_조선_교역_티어8</t>
  </si>
  <si>
    <t>도면_조선_교역_티어9</t>
  </si>
  <si>
    <t>도면_조선_교역_티어10</t>
  </si>
  <si>
    <t>도면_조선_전투_티어1</t>
  </si>
  <si>
    <t>도면_조선_전투_티어2</t>
  </si>
  <si>
    <t>도면_조선_전투_티어3</t>
  </si>
  <si>
    <t>도면_조선_전투_티어4</t>
  </si>
  <si>
    <t>도면_조선_전투_티어5</t>
  </si>
  <si>
    <t>도면_조선_전투_티어6</t>
  </si>
  <si>
    <t>도면_조선_전투_티어7</t>
  </si>
  <si>
    <t>도면_조선_전투_티어8</t>
  </si>
  <si>
    <t>도면_조선_전투_티어9</t>
  </si>
  <si>
    <t>도면_조선_전투_티어10</t>
  </si>
  <si>
    <t>도면_명_모험_티어1</t>
  </si>
  <si>
    <t>도면_명_모험_티어2</t>
  </si>
  <si>
    <t>도면_명_모험_티어3</t>
  </si>
  <si>
    <t>도면_명_모험_티어4</t>
  </si>
  <si>
    <t>도면_명_모험_티어5</t>
  </si>
  <si>
    <t>도면_명_모험_티어6</t>
  </si>
  <si>
    <t>도면_명_모험_티어7</t>
  </si>
  <si>
    <t>도면_명_모험_티어8</t>
  </si>
  <si>
    <t>도면_명_모험_티어9</t>
  </si>
  <si>
    <t>도면_명_모험_티어10</t>
  </si>
  <si>
    <t>도면_명_교역_티어1</t>
  </si>
  <si>
    <t>도면_명_교역_티어2</t>
  </si>
  <si>
    <t>도면_명_교역_티어3</t>
  </si>
  <si>
    <t>도면_명_교역_티어4</t>
  </si>
  <si>
    <t>도면_명_교역_티어5</t>
  </si>
  <si>
    <t>도면_명_교역_티어6</t>
  </si>
  <si>
    <t>도면_명_교역_티어7</t>
  </si>
  <si>
    <t>도면_명_교역_티어8</t>
  </si>
  <si>
    <t>도면_명_교역_티어9</t>
  </si>
  <si>
    <t>도면_명_교역_티어10</t>
  </si>
  <si>
    <t>도면_명_전투_티어1</t>
  </si>
  <si>
    <t>도면_명_전투_티어2</t>
  </si>
  <si>
    <t>도면_명_전투_티어3</t>
  </si>
  <si>
    <t>도면_명_전투_티어4</t>
  </si>
  <si>
    <t>도면_명_전투_티어5</t>
  </si>
  <si>
    <t>도면_명_전투_티어6</t>
  </si>
  <si>
    <t>도면_명_전투_티어7</t>
  </si>
  <si>
    <t>도면_명_전투_티어8</t>
  </si>
  <si>
    <t>도면_명_전투_티어9</t>
  </si>
  <si>
    <t>도면_명_전투_티어10</t>
  </si>
  <si>
    <t>도면_일본_모험_티어1</t>
  </si>
  <si>
    <t>도면_일본_모험_티어2</t>
  </si>
  <si>
    <t>도면_일본_모험_티어3</t>
  </si>
  <si>
    <t>도면_일본_모험_티어4</t>
  </si>
  <si>
    <t>도면_일본_모험_티어5</t>
  </si>
  <si>
    <t>도면_일본_모험_티어6</t>
  </si>
  <si>
    <t>도면_일본_모험_티어7</t>
  </si>
  <si>
    <t>도면_일본_모험_티어8</t>
  </si>
  <si>
    <t>도면_일본_모험_티어9</t>
  </si>
  <si>
    <t>도면_일본_모험_티어10</t>
  </si>
  <si>
    <t>도면_일본_교역_티어1</t>
  </si>
  <si>
    <t>도면_일본_교역_티어2</t>
  </si>
  <si>
    <t>도면_일본_교역_티어3</t>
  </si>
  <si>
    <t>도면_일본_교역_티어4</t>
  </si>
  <si>
    <t>도면_일본_교역_티어5</t>
  </si>
  <si>
    <t>도면_일본_교역_티어6</t>
  </si>
  <si>
    <t>도면_일본_교역_티어7</t>
  </si>
  <si>
    <t>도면_일본_교역_티어8</t>
  </si>
  <si>
    <t>도면_일본_교역_티어9</t>
  </si>
  <si>
    <t>도면_일본_교역_티어10</t>
  </si>
  <si>
    <t>도면_일본_전투_티어1</t>
  </si>
  <si>
    <t>도면_일본_전투_티어2</t>
  </si>
  <si>
    <t>도면_일본_전투_티어3</t>
  </si>
  <si>
    <t>도면_일본_전투_티어4</t>
  </si>
  <si>
    <t>도면_일본_전투_티어5</t>
  </si>
  <si>
    <t>도면_일본_전투_티어6</t>
  </si>
  <si>
    <t>도면_일본_전투_티어7</t>
  </si>
  <si>
    <t>도면_일본_전투_티어8</t>
  </si>
  <si>
    <t>도면_일본_전투_티어9</t>
  </si>
  <si>
    <t>도면_일본_전투_티어10</t>
  </si>
  <si>
    <t>대형 포문</t>
  </si>
  <si>
    <r>
      <rPr>
        <sz val="10"/>
        <color rgb="FF000000"/>
        <rFont val="돋움"/>
        <family val="3"/>
        <charset val="129"/>
      </rPr>
      <t>목재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비용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오류로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생기는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문제</t>
    </r>
    <phoneticPr fontId="5" type="noConversion"/>
  </si>
  <si>
    <t>선박 건조 재료 : 목재_LV10</t>
  </si>
  <si>
    <t>선박 건조 재료 : 목재_LV20</t>
  </si>
  <si>
    <t>선박 건조 재료 : 목재_LV30</t>
  </si>
  <si>
    <t>선박 건조 재료 : 목재_LV35</t>
  </si>
  <si>
    <t>선박 건조 재료 : 목재_LV40</t>
  </si>
  <si>
    <t>선박 건조 재료 : 목재_LV45</t>
  </si>
  <si>
    <t>선박 건조 재료 : 목재_LV50</t>
  </si>
  <si>
    <t>선박 건조 재료 : 목재_LV55</t>
  </si>
  <si>
    <t>선박 건조 재료 : 목재_LV60</t>
  </si>
  <si>
    <t>선박 건조 재료 : 돛대_LV10</t>
  </si>
  <si>
    <t>선박 건조 재료 : 돛대_LV20</t>
  </si>
  <si>
    <t>선박 건조 재료 : 돛대_LV30</t>
  </si>
  <si>
    <t>선박 건조 재료 : 돛대_LV35</t>
  </si>
  <si>
    <t>선박 건조 재료 : 돛대_LV40</t>
  </si>
  <si>
    <t>선박 건조 재료 : 돛대_LV45</t>
  </si>
  <si>
    <t>선박 건조 재료 : 돛대_LV50</t>
  </si>
  <si>
    <t>선박 건조 재료 : 돛대_LV55</t>
  </si>
  <si>
    <t>선박 건조 재료 : 돛대_LV60</t>
  </si>
  <si>
    <t>선박 건조 재료 : 포문_LV10</t>
  </si>
  <si>
    <t>선박 건조 재료 : 포문_LV20</t>
  </si>
  <si>
    <t>선박 건조 재료 : 포문_LV30</t>
  </si>
  <si>
    <t>선박 건조 재료 : 포문_LV35</t>
  </si>
  <si>
    <t>선박 건조 재료 : 포문_LV40</t>
  </si>
  <si>
    <t>선박 건조 재료 : 포문_LV45</t>
  </si>
  <si>
    <t>선박 건조 재료 : 포문_LV50</t>
  </si>
  <si>
    <t>선박 건조 재료 : 포문_LV55</t>
  </si>
  <si>
    <t>선박 건조 재료 : 포문_LV60</t>
  </si>
  <si>
    <t>선박 건조 재료 : 용골_LV10</t>
  </si>
  <si>
    <t>선박 건조 재료 : 용골_LV20</t>
  </si>
  <si>
    <t>선박 건조 재료 : 용골_LV30</t>
  </si>
  <si>
    <t>선박 건조 재료 : 용골_LV35</t>
  </si>
  <si>
    <t>선박 건조 재료 : 용골_LV40</t>
  </si>
  <si>
    <t>선박 건조 재료 : 용골_LV45</t>
  </si>
  <si>
    <t>선박 건조 재료 : 용골_LV50</t>
  </si>
  <si>
    <t>선박 건조 재료 : 용골_LV55</t>
  </si>
  <si>
    <t>선박 건조 재료 : 용골_LV60</t>
  </si>
  <si>
    <t>도면_서양_LV10</t>
  </si>
  <si>
    <t>도면_서양_LV20</t>
  </si>
  <si>
    <t>도면_서양_LV30</t>
  </si>
  <si>
    <t>도면_서양_LV35</t>
  </si>
  <si>
    <t>도면_서양_LV40</t>
  </si>
  <si>
    <t>도면_서양_LV45</t>
  </si>
  <si>
    <t>도면_서양_LV50</t>
  </si>
  <si>
    <t>도면_서양_LV55</t>
  </si>
  <si>
    <t>도면_서양_LV60</t>
  </si>
  <si>
    <t>도면_동양_LV10</t>
  </si>
  <si>
    <t>도면_동양_LV20</t>
  </si>
  <si>
    <t>도면_동양_LV30</t>
  </si>
  <si>
    <t>도면_동양_LV35</t>
  </si>
  <si>
    <t>도면_동양_LV40</t>
  </si>
  <si>
    <t>도면_동양_LV45</t>
  </si>
  <si>
    <t>도면_동양_LV50</t>
  </si>
  <si>
    <t>도면_동양_LV55</t>
  </si>
  <si>
    <t>도면_동양_LV60</t>
  </si>
  <si>
    <t>병선 도면</t>
  </si>
  <si>
    <t>투함 도면</t>
  </si>
  <si>
    <t>평전선 도면</t>
  </si>
  <si>
    <r>
      <rPr>
        <sz val="10"/>
        <color rgb="FF000000"/>
        <rFont val="돋움"/>
        <family val="3"/>
        <charset val="129"/>
      </rPr>
      <t>공용</t>
    </r>
    <r>
      <rPr>
        <sz val="10"/>
        <color rgb="FF000000"/>
        <rFont val="Arial"/>
        <family val="2"/>
      </rPr>
      <t xml:space="preserve"> RewardDropPool : </t>
    </r>
    <r>
      <rPr>
        <sz val="10"/>
        <color rgb="FF000000"/>
        <rFont val="돋움"/>
        <family val="3"/>
        <charset val="129"/>
      </rPr>
      <t>계약서</t>
    </r>
    <phoneticPr fontId="5" type="noConversion"/>
  </si>
  <si>
    <t>엘리트 픽업 도면_리처드 헉슬리</t>
    <phoneticPr fontId="5" type="noConversion"/>
  </si>
  <si>
    <t>엘리트 픽업 도면_헨리 만스펠</t>
    <phoneticPr fontId="5" type="noConversion"/>
  </si>
  <si>
    <t>엘리트 픽업 계약서_리처드 헉슬리</t>
    <phoneticPr fontId="5" type="noConversion"/>
  </si>
  <si>
    <t>엘리트 픽업 계약서_헨리 만스펠</t>
    <phoneticPr fontId="5" type="noConversion"/>
  </si>
  <si>
    <t>엘리트 부품_헨리 만스펠</t>
    <phoneticPr fontId="5" type="noConversion"/>
  </si>
  <si>
    <t>엘리트 부품_리처드 헉슬리</t>
    <phoneticPr fontId="5" type="noConversion"/>
  </si>
  <si>
    <t>엘리트 장비_헨리 만스펠</t>
    <phoneticPr fontId="5" type="noConversion"/>
  </si>
  <si>
    <t>엘리트 장비_리처드 헉슬리</t>
    <phoneticPr fontId="5" type="noConversion"/>
  </si>
  <si>
    <t>10레벨 승급 재료</t>
  </si>
  <si>
    <t>20레벨 승급 재료</t>
  </si>
  <si>
    <t>30레벨 승급 재료</t>
  </si>
  <si>
    <t>40레벨 승급 재료</t>
  </si>
  <si>
    <t>50레벨 승급 재료</t>
  </si>
  <si>
    <t>60레벨 승급 재료</t>
  </si>
  <si>
    <t>70레벨 승급 재료</t>
  </si>
  <si>
    <t>80레벨 승급 재료</t>
  </si>
  <si>
    <t>90레벨 승급 재료</t>
  </si>
  <si>
    <t>10레벨 학습 재료</t>
  </si>
  <si>
    <t>20레벨 학습 재료</t>
  </si>
  <si>
    <t>30레벨 학습 재료</t>
  </si>
  <si>
    <t>40레벨 학습 재료</t>
  </si>
  <si>
    <t>50레벨 학습 재료</t>
  </si>
  <si>
    <t>60레벨 학습 재료</t>
  </si>
  <si>
    <t>70레벨 학습 재료</t>
  </si>
  <si>
    <t>80레벨 학습 재료</t>
  </si>
  <si>
    <t>90레벨 학습 재료</t>
  </si>
  <si>
    <t>도면_서양_모험_티어11</t>
  </si>
  <si>
    <t>도면_서양_교역_티어11</t>
  </si>
  <si>
    <t>도면_서양_전투_티어11</t>
  </si>
  <si>
    <t>도면_동양_모험_티어11</t>
  </si>
  <si>
    <t>도면_동양_교역_티어11</t>
  </si>
  <si>
    <t>도면_동양_전투_티어11</t>
  </si>
  <si>
    <t>도면_조선_모험_티어11</t>
  </si>
  <si>
    <t>도면_조선_교역_티어11</t>
  </si>
  <si>
    <t>도면_조선_전투_티어11</t>
  </si>
  <si>
    <t>도면_명_모험_티어11</t>
  </si>
  <si>
    <t>도면_명_교역_티어11</t>
  </si>
  <si>
    <t>도면_명_전투_티어11</t>
  </si>
  <si>
    <t>도면_일본_모험_티어11</t>
  </si>
  <si>
    <t>도면_일본_교역_티어11</t>
  </si>
  <si>
    <t>도면_일본_전투_티어11</t>
  </si>
  <si>
    <t>로푸 페레이라</t>
  </si>
  <si>
    <t>C</t>
  </si>
  <si>
    <t>판필로 오리드</t>
  </si>
  <si>
    <t>우준 카이프</t>
  </si>
  <si>
    <t>모리스 레이든</t>
  </si>
  <si>
    <t>에스테반 페론</t>
  </si>
  <si>
    <t>장 플뢰리</t>
  </si>
  <si>
    <t>S</t>
  </si>
  <si>
    <t>후안 바스케스</t>
  </si>
  <si>
    <t>알베르트1</t>
  </si>
  <si>
    <t>로베르토 에제키엘1</t>
  </si>
  <si>
    <t>오즈월드 레밍톤</t>
  </si>
  <si>
    <t>프랜시스 드레이크</t>
  </si>
  <si>
    <t>제임스 쿡</t>
  </si>
  <si>
    <t>조안 페레로</t>
  </si>
  <si>
    <t>로코 알렘켈</t>
  </si>
  <si>
    <t>엔리코 마리오네</t>
  </si>
  <si>
    <t>B</t>
  </si>
  <si>
    <t>카탈리나 에란초</t>
  </si>
  <si>
    <t>프랑코 사누드</t>
  </si>
  <si>
    <t>안드레아 기지</t>
  </si>
  <si>
    <t>알 베자스</t>
  </si>
  <si>
    <t>자한 사림</t>
  </si>
  <si>
    <t>옷토 스피노라</t>
  </si>
  <si>
    <t>마슈 로이</t>
  </si>
  <si>
    <t>에르네스트 로페스</t>
  </si>
  <si>
    <t>로이드 스탓텐</t>
  </si>
  <si>
    <t>파우라</t>
  </si>
  <si>
    <t>사파1</t>
  </si>
  <si>
    <t>후안 세바스티안 엘카노</t>
  </si>
  <si>
    <t>얀 요스턴 판로덴스테인</t>
  </si>
  <si>
    <t>스미노쿠라 료이</t>
  </si>
  <si>
    <t>안토니우 드살다냐</t>
  </si>
  <si>
    <t>앤서니 셜리</t>
  </si>
  <si>
    <t>하바 카툰</t>
  </si>
  <si>
    <t>마누엘 페레스트렐루</t>
  </si>
  <si>
    <t>디오구 캉</t>
  </si>
  <si>
    <t>세바스찬 캐벗</t>
  </si>
  <si>
    <t>헨리 미들턴</t>
  </si>
  <si>
    <t>루도비코 데바르테마</t>
  </si>
  <si>
    <t>타라바이</t>
  </si>
  <si>
    <t>아나 마리아 데소토</t>
  </si>
  <si>
    <t>디에고 데니쿠에사</t>
  </si>
  <si>
    <t>페드로 데키로스</t>
  </si>
  <si>
    <t>마리아 바르톨라</t>
  </si>
  <si>
    <t>곤살로 데케사다</t>
  </si>
  <si>
    <t>게오르크 폰슈파이어</t>
  </si>
  <si>
    <t>알론소 데멘도사</t>
  </si>
  <si>
    <t>에르난도 데소토</t>
  </si>
  <si>
    <t>프란시스코 데헤레스</t>
  </si>
  <si>
    <t>암브로지우스 에힝어</t>
  </si>
  <si>
    <t>그레고리오 세스페데스</t>
  </si>
  <si>
    <t>타네커 스코닝스</t>
  </si>
  <si>
    <t>시도니아 폰보르크</t>
  </si>
  <si>
    <t>카타리나 헤노트</t>
  </si>
  <si>
    <t>기도 데라베사리스</t>
  </si>
  <si>
    <t>베니토 고메스</t>
  </si>
  <si>
    <t>프란시스쿠 알바레스</t>
  </si>
  <si>
    <t>디에구 소사</t>
  </si>
  <si>
    <t>곤잘루 실베이라</t>
  </si>
  <si>
    <t>조반니 베세리스</t>
  </si>
  <si>
    <t>귀도 벤조</t>
  </si>
  <si>
    <t>앤서니 존슨</t>
  </si>
  <si>
    <t>휘호 올잭</t>
  </si>
  <si>
    <t>발보아 오리드</t>
  </si>
  <si>
    <t>로런스 에드워드</t>
  </si>
  <si>
    <t>피터르 벤후크</t>
  </si>
  <si>
    <t>로버트 와일드</t>
  </si>
  <si>
    <t>카밀로 사보나롤라</t>
  </si>
  <si>
    <t>빅터 러셀</t>
  </si>
  <si>
    <t>귀친 케말</t>
  </si>
  <si>
    <t>윌리엄 클라이브</t>
  </si>
  <si>
    <t>자가노스 베이</t>
  </si>
  <si>
    <t>장안순</t>
  </si>
  <si>
    <t>알베로 스킬라치</t>
  </si>
  <si>
    <t>콘라드</t>
  </si>
  <si>
    <t>아나 얀선스</t>
  </si>
  <si>
    <t>발푸리 인나마</t>
  </si>
  <si>
    <t>카리나 물티알라</t>
  </si>
  <si>
    <t>엘리자베스 바튼</t>
  </si>
  <si>
    <t>잔 드샹탈</t>
  </si>
  <si>
    <t>아사르파이</t>
  </si>
  <si>
    <t>이사벨라 휘트니</t>
  </si>
  <si>
    <t>케나우 하셀라르</t>
  </si>
  <si>
    <t>조반니 라무시오</t>
  </si>
  <si>
    <t>주앙 드카스트루</t>
  </si>
  <si>
    <t>프란시스코 하비에르</t>
  </si>
  <si>
    <t>세바스티안 비스카이노</t>
  </si>
  <si>
    <t>페르낭 고메스 다미나</t>
  </si>
  <si>
    <t>조르즈 알바르스</t>
  </si>
  <si>
    <t>미르자 아지즈 코카</t>
  </si>
  <si>
    <t>판필로 데나르바에스</t>
  </si>
  <si>
    <t>알론소 알바레스 데피네다</t>
  </si>
  <si>
    <t>쿠스라우 미르자</t>
  </si>
  <si>
    <t>후안 데그리할바</t>
  </si>
  <si>
    <t>마르코스 데니사</t>
  </si>
  <si>
    <t>토다르 말</t>
  </si>
  <si>
    <t>이스테방 고메스</t>
  </si>
  <si>
    <t>디에고 카바예로</t>
  </si>
  <si>
    <t>페드로 데감보아</t>
  </si>
  <si>
    <t>요한 할레르</t>
  </si>
  <si>
    <t>트리폰 코로베이니코프</t>
  </si>
  <si>
    <t>마르팅 아폰수 드소자</t>
  </si>
  <si>
    <t>예르마크 티모페예비치</t>
  </si>
  <si>
    <t>세묜 스트로가노프</t>
  </si>
  <si>
    <t>로버트 아마다스</t>
  </si>
  <si>
    <t>야코프 판넥</t>
  </si>
  <si>
    <t>카타리나 코르네르</t>
  </si>
  <si>
    <t>슈무엘 베일라시</t>
  </si>
  <si>
    <t>히사카지마 야스케</t>
  </si>
  <si>
    <t>안나 오커히엘름</t>
  </si>
  <si>
    <t>구루시마 미치후사</t>
  </si>
  <si>
    <t>마쓰라 다카노부</t>
  </si>
  <si>
    <t>한스 슈타덴</t>
  </si>
  <si>
    <t>프란시스코 알보</t>
  </si>
  <si>
    <t>프란시스쿠 세항</t>
  </si>
  <si>
    <t>주앙 세항</t>
  </si>
  <si>
    <t>엔히크 드말라카</t>
  </si>
  <si>
    <t>가스파르 데케사다</t>
  </si>
  <si>
    <t>두아르테 바르보사</t>
  </si>
  <si>
    <t>프란시스쿠 드알메이다</t>
  </si>
  <si>
    <t>페르낭 멘드스 핀투</t>
  </si>
  <si>
    <t>뭄타즈 마할</t>
  </si>
  <si>
    <t>페루 다코빌량</t>
  </si>
  <si>
    <t>주앙 곤살베스 자르쿠</t>
  </si>
  <si>
    <t>장 프랑수아 드갈로</t>
  </si>
  <si>
    <t>알렉산더 해밀턴</t>
  </si>
  <si>
    <t>조르즈 드메네즈스</t>
  </si>
  <si>
    <t>두아르트 드메네즈스</t>
  </si>
  <si>
    <t>마테오 리치</t>
  </si>
  <si>
    <t>크리스티나 알렉산드라</t>
  </si>
  <si>
    <t>악셀 욱센헤나</t>
  </si>
  <si>
    <t>타즐루 하눔</t>
  </si>
  <si>
    <t>심운영</t>
  </si>
  <si>
    <t>가스파르 코르트 헤알</t>
  </si>
  <si>
    <t>미겔 코르트 헤알</t>
  </si>
  <si>
    <t>니콜라스 데오반도</t>
  </si>
  <si>
    <t>알바로 데멘다냐</t>
  </si>
  <si>
    <t>루이스 바에스 데토레스</t>
  </si>
  <si>
    <t>레이첼 월</t>
  </si>
  <si>
    <t>마리 앤</t>
  </si>
  <si>
    <t>테쿠이치포츠 이시카쇼치친</t>
  </si>
  <si>
    <t>트실라카트신</t>
  </si>
  <si>
    <t>아메리고 베스푸치</t>
  </si>
  <si>
    <t>알론소 데오헤다</t>
  </si>
  <si>
    <t>월터 롤리</t>
  </si>
  <si>
    <t>안토니오 데베리오</t>
  </si>
  <si>
    <t>프란시스코 데오레야나</t>
  </si>
  <si>
    <t>곤살로 피사로</t>
  </si>
  <si>
    <t>얀 피터손 쿤</t>
  </si>
  <si>
    <t>피터르 제라뒤스</t>
  </si>
  <si>
    <t>니콜라스 쿠크베커</t>
  </si>
  <si>
    <t>카베사 데바카</t>
  </si>
  <si>
    <t>바스케스 데코로나도</t>
  </si>
  <si>
    <t>얀 얀스 벨테브레이</t>
  </si>
  <si>
    <t>필리베르 코메르송</t>
  </si>
  <si>
    <t>존 롤프</t>
  </si>
  <si>
    <t>에드먼드 길버트</t>
  </si>
  <si>
    <t>로렌주 핀투</t>
  </si>
  <si>
    <t>크리스티안 글로리아</t>
  </si>
  <si>
    <t>니콜로 스테파노</t>
  </si>
  <si>
    <t>하파엘 세하누</t>
  </si>
  <si>
    <t>페론소 아기레</t>
  </si>
  <si>
    <t>마르틴 발보아</t>
  </si>
  <si>
    <t>시몬 세게이라</t>
  </si>
  <si>
    <t>잉엘라 가텐히엘름</t>
  </si>
  <si>
    <t>샤를로트 코르데</t>
  </si>
  <si>
    <t>카탈리나 데에라우소</t>
  </si>
  <si>
    <t>루이스 스콧</t>
  </si>
  <si>
    <t>서굉조</t>
  </si>
  <si>
    <t>니콜라우 코엘류</t>
  </si>
  <si>
    <t>후안 디아스 데솔리스</t>
  </si>
  <si>
    <t>로드리고 데바스티다스</t>
  </si>
  <si>
    <t>정지룡</t>
  </si>
  <si>
    <t>디오구 드세케이라</t>
  </si>
  <si>
    <t>페르난데스 데엔시소</t>
  </si>
  <si>
    <t>로푸 드알베르가리아</t>
  </si>
  <si>
    <t>우즈 로저스</t>
  </si>
  <si>
    <t>윌리엄 윈터</t>
  </si>
  <si>
    <t>니콜라우스 페데르만</t>
  </si>
  <si>
    <t>요하네스 구텐베르크</t>
  </si>
  <si>
    <t>페드로 데멘도사</t>
  </si>
  <si>
    <t>알리 알 만드리</t>
  </si>
  <si>
    <t>윌리엄 셰익스피어</t>
  </si>
  <si>
    <t>마르틴 베하임</t>
  </si>
  <si>
    <t>자크 카르티에</t>
  </si>
  <si>
    <t>정운</t>
  </si>
  <si>
    <t>야콥 푸거</t>
  </si>
  <si>
    <t>이억기</t>
  </si>
  <si>
    <t>알렉산더 셀커크</t>
  </si>
  <si>
    <t>미겔 데세르반테스</t>
  </si>
  <si>
    <t>진조의</t>
  </si>
  <si>
    <t>카시드</t>
  </si>
  <si>
    <t>비라 알라케스바라</t>
  </si>
  <si>
    <t>알탄 칸</t>
  </si>
  <si>
    <t>바실리 골리친</t>
  </si>
  <si>
    <t>와키자카 야스하루</t>
  </si>
  <si>
    <t>시마즈 요시히로</t>
  </si>
  <si>
    <t>리차드 빙엄</t>
  </si>
  <si>
    <t>아폰수 드알부케르크</t>
  </si>
  <si>
    <t>A</t>
  </si>
  <si>
    <t>이븐 바투타</t>
  </si>
  <si>
    <t>디안 드푸아티에</t>
  </si>
  <si>
    <t>주앙 다노바</t>
  </si>
  <si>
    <t>엔히크 드아비스</t>
  </si>
  <si>
    <t>휴 윌로비</t>
  </si>
  <si>
    <t>리슐리외</t>
  </si>
  <si>
    <t>바바라 팔머</t>
  </si>
  <si>
    <t>헨드릭 하멜</t>
  </si>
  <si>
    <t>구스타브 2세 아돌프</t>
  </si>
  <si>
    <t>쿠말라하야티</t>
  </si>
  <si>
    <t>바스코 누녜스 데발보아</t>
  </si>
  <si>
    <t>알론소 데카르데나스</t>
  </si>
  <si>
    <t>샤를 달타냥</t>
  </si>
  <si>
    <t>조지 앤슨</t>
  </si>
  <si>
    <t>존 바이런</t>
  </si>
  <si>
    <t>가토 기요마사</t>
  </si>
  <si>
    <t>구키 요시타카</t>
  </si>
  <si>
    <t>페르난도 데마가야네스</t>
  </si>
  <si>
    <t>도쿠가와 이에야스</t>
  </si>
  <si>
    <r>
      <rPr>
        <sz val="10"/>
        <color rgb="FF000000"/>
        <rFont val="돋움"/>
        <family val="3"/>
        <charset val="129"/>
      </rPr>
      <t>공용</t>
    </r>
    <r>
      <rPr>
        <sz val="10"/>
        <color rgb="FF000000"/>
        <rFont val="Arial"/>
        <family val="2"/>
      </rPr>
      <t xml:space="preserve"> RewardDropPool : </t>
    </r>
    <r>
      <rPr>
        <sz val="10"/>
        <color rgb="FF000000"/>
        <rFont val="돋움"/>
        <family val="3"/>
        <charset val="129"/>
      </rPr>
      <t>계약서</t>
    </r>
    <r>
      <rPr>
        <sz val="10"/>
        <color rgb="FF000000"/>
        <rFont val="Arial"/>
        <family val="2"/>
      </rPr>
      <t>2</t>
    </r>
    <phoneticPr fontId="5" type="noConversion"/>
  </si>
  <si>
    <t>아즈비케</t>
  </si>
  <si>
    <t>메리 리드</t>
  </si>
  <si>
    <t>잔 바레</t>
  </si>
  <si>
    <t>안드레아 그리마니</t>
  </si>
  <si>
    <t>아불 파즐</t>
  </si>
  <si>
    <t>안토니우 드아브레우</t>
  </si>
  <si>
    <t>미겔 로페스 데레가스피</t>
  </si>
  <si>
    <t>허초희</t>
  </si>
  <si>
    <t>담윤현</t>
  </si>
  <si>
    <t>이즈모 오쿠니</t>
  </si>
  <si>
    <t>레베카 롤프</t>
  </si>
  <si>
    <t>이마이 소쿤</t>
  </si>
  <si>
    <t>이마이 소큐</t>
  </si>
  <si>
    <t>야스케</t>
  </si>
  <si>
    <t>다나카 쇼스케</t>
  </si>
  <si>
    <t>바스쿠 다가마</t>
  </si>
  <si>
    <t>티노카틀1</t>
  </si>
  <si>
    <t>조커 다실버1</t>
  </si>
  <si>
    <t>크리스티나</t>
  </si>
  <si>
    <t>미령</t>
  </si>
  <si>
    <t>아고스티노 바르바리고</t>
  </si>
  <si>
    <t>죽음의 신 루돌프1</t>
  </si>
  <si>
    <t>에르난 베리오</t>
  </si>
  <si>
    <t>마리 앙투아네트</t>
  </si>
  <si>
    <t>전우치</t>
  </si>
  <si>
    <t>입부</t>
  </si>
  <si>
    <t>아르드비1</t>
  </si>
  <si>
    <t>오다 노부나가</t>
  </si>
  <si>
    <t>안드레스 데우르다네타</t>
  </si>
  <si>
    <t>바솔로뮤 로버츠</t>
  </si>
  <si>
    <t>소피아 알렉세예브나</t>
  </si>
  <si>
    <t>아이든 레이스</t>
  </si>
  <si>
    <t>쿠아우테목</t>
  </si>
  <si>
    <t>하웰 데이비스</t>
  </si>
  <si>
    <t>뮈에진자데 알리 파샤</t>
  </si>
  <si>
    <t>피에트로 콘티</t>
  </si>
  <si>
    <t>카미로 스테파노</t>
  </si>
  <si>
    <t>밀란다 베르테</t>
  </si>
  <si>
    <t>토니오 롯시</t>
  </si>
  <si>
    <t>카츄아파</t>
  </si>
  <si>
    <t>살바도르 레이스</t>
  </si>
  <si>
    <t>호레스 디스탈디</t>
  </si>
  <si>
    <t>리오노 아반츄라</t>
  </si>
  <si>
    <t>사이이다 알 후라</t>
  </si>
  <si>
    <t>안토니오 피가페타</t>
  </si>
  <si>
    <t>아흐메드 알 와타시</t>
  </si>
  <si>
    <t>셰르 샤</t>
  </si>
  <si>
    <t>크리스티나 닐스도테르</t>
  </si>
  <si>
    <t>앤 보니</t>
  </si>
  <si>
    <t>존 래컴</t>
  </si>
  <si>
    <t>사피예 술탄</t>
  </si>
  <si>
    <t>카테리나 데메디치</t>
  </si>
  <si>
    <t>메리 스튜어트</t>
  </si>
  <si>
    <t>앤 불린</t>
  </si>
  <si>
    <t>안 도트리슈</t>
  </si>
  <si>
    <t>이자벨 드로렌</t>
  </si>
  <si>
    <t>아녜스 소렐</t>
  </si>
  <si>
    <t>마리아 피타</t>
  </si>
  <si>
    <t>갈릴레오 갈릴레이</t>
  </si>
  <si>
    <t>필리푸스 파라켈수스</t>
  </si>
  <si>
    <t>이사벨라 코르테세</t>
  </si>
  <si>
    <t>루이스 부르주아</t>
  </si>
  <si>
    <t>파올로 토스카넬리</t>
  </si>
  <si>
    <t>니콜라스 플라멜</t>
  </si>
  <si>
    <t>카산드라 페델레</t>
  </si>
  <si>
    <t>두아르트 페레이라</t>
  </si>
  <si>
    <t>줄리 도비니</t>
  </si>
  <si>
    <t>카테리나 스포르차</t>
  </si>
  <si>
    <t>시모네타 베스푸치</t>
  </si>
  <si>
    <t>존 데이비스</t>
  </si>
  <si>
    <t>아나 데멘도사</t>
  </si>
  <si>
    <t>월터 로런스</t>
  </si>
  <si>
    <t>비올란테 도리아</t>
  </si>
  <si>
    <t>프란체스카 카치니</t>
  </si>
  <si>
    <t>카라 룸루</t>
  </si>
  <si>
    <t>가르시아 알바레스</t>
  </si>
  <si>
    <t>다라 쉰</t>
  </si>
  <si>
    <t>디오구 파군드스</t>
  </si>
  <si>
    <t>에스테반 오르테가</t>
  </si>
  <si>
    <t>에드먼드 하비</t>
  </si>
  <si>
    <t>자크 브룸</t>
  </si>
  <si>
    <t>조셉 이스트먼</t>
  </si>
  <si>
    <t>토마스 튜</t>
  </si>
  <si>
    <t>에드워드 잉글랜드</t>
  </si>
  <si>
    <t>윌리엄 키드</t>
  </si>
  <si>
    <t>새뮤얼 버지스</t>
  </si>
  <si>
    <t>찰스 베인</t>
  </si>
  <si>
    <t>프랑수아 르클레르</t>
  </si>
  <si>
    <t>조너선 바넷</t>
  </si>
  <si>
    <t>리처드 헉슬리</t>
  </si>
  <si>
    <t>마리아 마가레타 빙켈만</t>
  </si>
  <si>
    <t>요하네스 케플러</t>
  </si>
  <si>
    <t>마리아 지빌라 메리안</t>
  </si>
  <si>
    <t>페트뤼스 플란시우스</t>
  </si>
  <si>
    <t>마르틴 루터</t>
  </si>
  <si>
    <t>율리안 페르메이르</t>
  </si>
  <si>
    <t>야코프 로헤베인</t>
  </si>
  <si>
    <t>아그네스 베르나우어</t>
  </si>
  <si>
    <t>마히데브란</t>
  </si>
  <si>
    <t>휘렘 술탄</t>
  </si>
  <si>
    <t>투르구트 레이스</t>
  </si>
  <si>
    <t>쿠르톨루 무슬리딘</t>
  </si>
  <si>
    <t>시난 파샤</t>
  </si>
  <si>
    <t>살림 괴브데</t>
  </si>
  <si>
    <t>시난 레이스</t>
  </si>
  <si>
    <t>세페르 레이스</t>
  </si>
  <si>
    <t>체사레 보르자</t>
  </si>
  <si>
    <t>루크레치아 보르자</t>
  </si>
  <si>
    <t>안드레아 도리아</t>
  </si>
  <si>
    <t>알비세 카다모스토</t>
  </si>
  <si>
    <t>알로이지 조반니</t>
  </si>
  <si>
    <t>미켈레토 코렐라</t>
  </si>
  <si>
    <t>페드로 나바로</t>
  </si>
  <si>
    <t>루크레치아 토르나부오니</t>
  </si>
  <si>
    <t>장금</t>
  </si>
  <si>
    <t>타치바나 긴치요</t>
  </si>
  <si>
    <t>호종헌</t>
  </si>
  <si>
    <t>도도 다카토라</t>
  </si>
  <si>
    <t>혜희</t>
  </si>
  <si>
    <t>고계영</t>
  </si>
  <si>
    <t>진린</t>
  </si>
  <si>
    <t>엄영춘</t>
  </si>
  <si>
    <t>크리스토발 콜론</t>
  </si>
  <si>
    <t>후안 폰세 데레온</t>
  </si>
  <si>
    <t>디에고 데아라나</t>
  </si>
  <si>
    <t>후안 데라 코사</t>
  </si>
  <si>
    <t>비센테 야녜스 핀손</t>
  </si>
  <si>
    <t>프란시스코 데보바디야</t>
  </si>
  <si>
    <t>디에고 알바레스 창카</t>
  </si>
  <si>
    <t>루이스 데토레스</t>
  </si>
  <si>
    <t>호레이쇼 넬슨</t>
  </si>
  <si>
    <t>알브레히트 발렌슈타인</t>
  </si>
  <si>
    <t>돈 후안 데아우스트리아</t>
  </si>
  <si>
    <t>조반니 안드레아 도리아</t>
  </si>
  <si>
    <t>하산 파샤</t>
  </si>
  <si>
    <t>울루치 알리</t>
  </si>
  <si>
    <t>살리흐 레이스</t>
  </si>
  <si>
    <t>세이디 알리 레이스</t>
  </si>
  <si>
    <t>레오나르도 다빈치</t>
  </si>
  <si>
    <t>후아나 이녜스</t>
  </si>
  <si>
    <t>루프마티</t>
  </si>
  <si>
    <t>조르조 바사리</t>
  </si>
  <si>
    <t>미켈란젤로 부오나로티</t>
  </si>
  <si>
    <t>소포니스바 앙귀솔라</t>
  </si>
  <si>
    <t>툴리아 다라고나</t>
  </si>
  <si>
    <t>아나 루머르스 피스허르</t>
  </si>
  <si>
    <t>우르지 바르바로사</t>
  </si>
  <si>
    <t>아흐메트 케말레딘</t>
  </si>
  <si>
    <t>존 호킨스</t>
  </si>
  <si>
    <t>케빈 피셔</t>
  </si>
  <si>
    <t>안토니오 칸</t>
  </si>
  <si>
    <t>로버트 로우</t>
  </si>
  <si>
    <t>헨리 만스펠</t>
  </si>
  <si>
    <t>안토니오 핀데아도</t>
  </si>
  <si>
    <t>황진</t>
  </si>
  <si>
    <t>최무선</t>
  </si>
  <si>
    <t>노국공주</t>
  </si>
  <si>
    <t>문익점</t>
  </si>
  <si>
    <t>권근</t>
  </si>
  <si>
    <t>이종무</t>
  </si>
  <si>
    <t>이몽룡</t>
  </si>
  <si>
    <t>성춘향</t>
  </si>
  <si>
    <t>에드워드 티치</t>
  </si>
  <si>
    <t>스티드 보닛</t>
  </si>
  <si>
    <t>샬롯 드베리</t>
  </si>
  <si>
    <t>리차드 월리</t>
  </si>
  <si>
    <t>에드워드 로우</t>
  </si>
  <si>
    <t>에드워드 댐피어</t>
  </si>
  <si>
    <t>야코프 발바커</t>
  </si>
  <si>
    <t>주앙 아폰수</t>
  </si>
  <si>
    <t>알프레드 로우</t>
  </si>
  <si>
    <t>필럼 헤인</t>
  </si>
  <si>
    <t>하코보 포르툰데</t>
  </si>
  <si>
    <t>아폰수 안드라드</t>
  </si>
  <si>
    <t>알렉산드로 바조</t>
  </si>
  <si>
    <t>라울 핏치</t>
  </si>
  <si>
    <t>베르날 로욜라</t>
  </si>
  <si>
    <t>율리스 하위헌스</t>
  </si>
  <si>
    <t>잔 다르크</t>
  </si>
  <si>
    <t>이사벨라 데스테</t>
  </si>
  <si>
    <t>아미나</t>
  </si>
  <si>
    <t>가이타나</t>
  </si>
  <si>
    <t>노라 에켈멘디트</t>
  </si>
  <si>
    <t>운니야르카</t>
  </si>
  <si>
    <t>클라라 카마랑</t>
  </si>
  <si>
    <t>잔 아셰트</t>
  </si>
  <si>
    <t>하이레딘 레이스</t>
  </si>
  <si>
    <t>트레볼 에스티브라</t>
  </si>
  <si>
    <t>고스 다카드</t>
  </si>
  <si>
    <t>도고 구르마니</t>
  </si>
  <si>
    <t>이스칼 야사르</t>
  </si>
  <si>
    <t>아흐메트 무히딘</t>
  </si>
  <si>
    <t>하프메트 그라니에</t>
  </si>
  <si>
    <t>다니엘 미르자</t>
  </si>
  <si>
    <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평사포</t>
    </r>
  </si>
  <si>
    <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곡사포</t>
    </r>
  </si>
  <si>
    <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박격포</t>
    </r>
  </si>
  <si>
    <r>
      <t>정식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</si>
  <si>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프랑스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</si>
  <si>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황자총통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</si>
  <si>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팔콘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</si>
  <si>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홍이포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</si>
  <si>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세이커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</si>
  <si>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현자총통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</si>
  <si>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</si>
  <si>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지자총통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</si>
  <si>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</si>
  <si>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천자총통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</si>
  <si>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바실리스크</t>
    </r>
  </si>
  <si>
    <r>
      <t>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로비넷</t>
    </r>
  </si>
  <si>
    <r>
      <t>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</si>
  <si>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화제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</si>
  <si>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완구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</si>
  <si>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</si>
  <si>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호준포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</si>
  <si>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가죽포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</si>
  <si>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대완구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</si>
  <si>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코호른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</si>
  <si>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득승포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</si>
  <si>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</si>
  <si>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더블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</si>
  <si>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</si>
  <si>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장군화통</t>
    </r>
  </si>
  <si>
    <t>로비넷</t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</si>
  <si>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위원포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</si>
  <si>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미니온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</si>
  <si>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보글러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</si>
  <si>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자모포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</si>
  <si>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세이커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</si>
  <si>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</si>
  <si>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</si>
  <si>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</si>
  <si>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</si>
  <si>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캐러네이드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</si>
  <si>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대장군포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</si>
  <si>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이시비야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</si>
  <si>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이시비야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</si>
  <si>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팔코넷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</si>
  <si>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팔코넷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</si>
  <si>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</si>
  <si>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연대포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</si>
  <si>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황자총통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</si>
  <si>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팔콘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</si>
  <si>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홍이포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</si>
  <si>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세이커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</si>
  <si>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현자총통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</si>
  <si>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</si>
  <si>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t>지자총통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</si>
  <si>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지자총통</t>
    </r>
  </si>
  <si>
    <t>캐논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</si>
  <si>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</si>
  <si>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t>천자총통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</si>
  <si>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천자총통</t>
    </r>
  </si>
  <si>
    <t>바실리스크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</si>
  <si>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바실리스크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</si>
  <si>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</si>
  <si>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</si>
  <si>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에스메릴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</si>
  <si>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에스메릴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</si>
  <si>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완구</t>
    </r>
  </si>
  <si>
    <r>
      <t>체리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</si>
  <si>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체리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</si>
  <si>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호준포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</si>
  <si>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가죽포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</si>
  <si>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대완구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</si>
  <si>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코호른</t>
    </r>
  </si>
  <si>
    <t>득승포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</si>
  <si>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득승포</t>
    </r>
  </si>
  <si>
    <t>구포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</si>
  <si>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구포</t>
    </r>
  </si>
  <si>
    <r>
      <t>더블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</si>
  <si>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더블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</si>
  <si>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</si>
  <si>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</si>
  <si>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t>장군화통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</si>
  <si>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장군화통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</si>
  <si>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란타카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</si>
  <si>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란타카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</si>
  <si>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오르간포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</si>
  <si>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오르간포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</si>
  <si>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위원포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</si>
  <si>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미니온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</si>
  <si>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보글러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</si>
  <si>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자모포</t>
    </r>
  </si>
  <si>
    <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세이커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</si>
  <si>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세이커</t>
    </r>
  </si>
  <si>
    <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</si>
  <si>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컬버린</t>
    </r>
  </si>
  <si>
    <r>
      <t>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</si>
  <si>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</si>
  <si>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</si>
  <si>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쿼터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</si>
  <si>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</si>
  <si>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데미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캐논</t>
    </r>
  </si>
  <si>
    <t>캐러네이드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</si>
  <si>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캐러네이드</t>
    </r>
  </si>
  <si>
    <t>대장군포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</si>
  <si>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대장군포</t>
    </r>
  </si>
  <si>
    <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돛</t>
    </r>
  </si>
  <si>
    <r>
      <t>이너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</si>
  <si>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아우터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</si>
  <si>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</si>
  <si>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</si>
  <si>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</si>
  <si>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</si>
  <si>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</si>
  <si>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아시안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</si>
  <si>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</si>
  <si>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보닛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</si>
  <si>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</si>
  <si>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</si>
  <si>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리그드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</si>
  <si>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</si>
  <si>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</si>
  <si>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아우터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</si>
  <si>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아우터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지브</t>
    </r>
  </si>
  <si>
    <r>
      <t>정크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</si>
  <si>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</si>
  <si>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</si>
  <si>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</si>
  <si>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</si>
  <si>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</si>
  <si>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</si>
  <si>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</si>
  <si>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보닛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</si>
  <si>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보닛</t>
    </r>
  </si>
  <si>
    <r>
      <t>아시안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</si>
  <si>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아시안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</si>
  <si>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</si>
  <si>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</si>
  <si>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보닛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</si>
  <si>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보닛</t>
    </r>
  </si>
  <si>
    <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</si>
  <si>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갤런트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스테이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</si>
  <si>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</si>
  <si>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로열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</si>
  <si>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리그드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</si>
  <si>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리그드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세일</t>
    </r>
  </si>
  <si>
    <r>
      <t>장갑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없음</t>
    </r>
  </si>
  <si>
    <t>적송판</t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</si>
  <si>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너도밤나무판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</si>
  <si>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</si>
  <si>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자작나무판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</si>
  <si>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물푸레나무판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</si>
  <si>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참나무판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</si>
  <si>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</si>
  <si>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티크판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</si>
  <si>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호두나무판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</si>
  <si>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강판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</si>
  <si>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자단나무판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</si>
  <si>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흑단나무판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</si>
  <si>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적송판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</si>
  <si>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적송판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</si>
  <si>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오리나무판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</si>
  <si>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오리나무판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</si>
  <si>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너도밤나무판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</si>
  <si>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</si>
  <si>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자작나무판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</si>
  <si>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물푸레나무판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</si>
  <si>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참나무판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</si>
  <si>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철판</t>
    </r>
  </si>
  <si>
    <t>티크판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</si>
  <si>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티크판</t>
    </r>
  </si>
  <si>
    <t>호두나무판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</si>
  <si>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호두나무판</t>
    </r>
  </si>
  <si>
    <t>강판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</si>
  <si>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강판</t>
    </r>
  </si>
  <si>
    <t>자단나무판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</si>
  <si>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자단나무판</t>
    </r>
  </si>
  <si>
    <t>흑단나무판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</si>
  <si>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흑단나무판</t>
    </r>
  </si>
  <si>
    <r>
      <t>개량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삼나무판</t>
    </r>
  </si>
  <si>
    <r>
      <t>기본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</si>
  <si>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충각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없음</t>
    </r>
  </si>
  <si>
    <r>
      <t>마카나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</si>
  <si>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나무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</si>
  <si>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리부르나형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</si>
  <si>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목재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꺾쇠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</si>
  <si>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이단노선형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</si>
  <si>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철퇴형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</si>
  <si>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반달도끼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</si>
  <si>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창형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</si>
  <si>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폴암형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</si>
  <si>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할라디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</si>
  <si>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갈퀴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</si>
  <si>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</si>
  <si>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삼단노선형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</si>
  <si>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레이피어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</si>
  <si>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니레카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</si>
  <si>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</si>
  <si>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역날검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</si>
  <si>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</si>
  <si>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초승달형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</si>
  <si>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</si>
  <si>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일각고래의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뿔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</si>
  <si>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호른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</si>
  <si>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우아한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</si>
  <si>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드로몬형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</si>
  <si>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</si>
  <si>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라우타로의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</si>
  <si>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헤라클레스의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철권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</si>
  <si>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삼단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</si>
  <si>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</si>
  <si>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</si>
  <si>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프랑스식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방패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</si>
  <si>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</si>
  <si>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바이킹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</si>
  <si>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스웨덴제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쇠구슬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</si>
  <si>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그리핀의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</si>
  <si>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랜스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</si>
  <si>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코브라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</si>
  <si>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흑전갈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</si>
  <si>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타란툴라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</si>
  <si>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청새치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</si>
  <si>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청룡언월도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</si>
  <si>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장팔사모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</si>
  <si>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소림사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금강저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</si>
  <si>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니드호그의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발톱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</si>
  <si>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구르즈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</si>
  <si>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머리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</si>
  <si>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집게발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</si>
  <si>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술리톱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</si>
  <si>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묠니르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</si>
  <si>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메두사의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</si>
  <si>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역날형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</si>
  <si>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</si>
  <si>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</si>
  <si>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철퇴형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</si>
  <si>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철퇴형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</si>
  <si>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반달도끼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</si>
  <si>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반달도끼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</si>
  <si>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창형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</si>
  <si>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창형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</si>
  <si>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폴암형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</si>
  <si>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폴암형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</si>
  <si>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할라디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</si>
  <si>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할라디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</si>
  <si>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갈퀴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</si>
  <si>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갈퀴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</si>
  <si>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</si>
  <si>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</si>
  <si>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삼단노선형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</si>
  <si>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삼단노선형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</si>
  <si>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레이피어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</si>
  <si>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레이피어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</si>
  <si>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니레카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</si>
  <si>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니레카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</si>
  <si>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세락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</si>
  <si>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파각</t>
    </r>
  </si>
  <si>
    <r>
      <t>역날검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</si>
  <si>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역날검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</si>
  <si>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톱날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</si>
  <si>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</si>
  <si>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초승달형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</si>
  <si>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초승달형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</si>
  <si>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오단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</si>
  <si>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노선형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</si>
  <si>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일각고래의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뿔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</si>
  <si>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일각고래의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뿔</t>
    </r>
  </si>
  <si>
    <r>
      <t>무한의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호른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</si>
  <si>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호른</t>
    </r>
  </si>
  <si>
    <r>
      <t>우아한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</si>
  <si>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우아한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은제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</si>
  <si>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드로몬형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</si>
  <si>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드로몬형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</si>
  <si>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해신의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</si>
  <si>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해신의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창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</si>
  <si>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라우타로의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</si>
  <si>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라우타로의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</t>
    </r>
  </si>
  <si>
    <r>
      <t>헤라클레스의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철권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</si>
  <si>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헤라클레스의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철권</t>
    </r>
  </si>
  <si>
    <r>
      <t>삼단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</si>
  <si>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삼단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</si>
  <si>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파도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</si>
  <si>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</si>
  <si>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</si>
  <si>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별을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찾는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자</t>
    </r>
  </si>
  <si>
    <r>
      <t>프랑스식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방패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</si>
  <si>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프랑스식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방패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</si>
  <si>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</si>
  <si>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</si>
  <si>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바이킹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</si>
  <si>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바이킹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투구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</si>
  <si>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스웨덴제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쇠구슬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</si>
  <si>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스웨덴제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쇠구슬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</si>
  <si>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그리핀의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</si>
  <si>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그리핀의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부리</t>
    </r>
  </si>
  <si>
    <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랜스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</si>
  <si>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기사의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랜스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</si>
  <si>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코브라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</si>
  <si>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코브라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</si>
  <si>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흑전갈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</si>
  <si>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흑전갈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</si>
  <si>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타란툴라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</si>
  <si>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타란툴라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</si>
  <si>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청새치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</si>
  <si>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청새치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</si>
  <si>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청룡언월도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</si>
  <si>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청룡언월도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</si>
  <si>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장팔사모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</si>
  <si>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장팔사모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</si>
  <si>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소림사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금강저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</si>
  <si>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소림사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금강저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</si>
  <si>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니드호그의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발톱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</si>
  <si>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니드호그의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발톱</t>
    </r>
  </si>
  <si>
    <r>
      <t>구르즈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</si>
  <si>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구르즈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</si>
  <si>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피톤의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머리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</si>
  <si>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머리</t>
    </r>
  </si>
  <si>
    <r>
      <t>집게발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</si>
  <si>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집게발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</si>
  <si>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술리톱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</si>
  <si>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술리톱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</si>
  <si>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묠니르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</si>
  <si>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묠니르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</si>
  <si>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메두사의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</si>
  <si>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메두사의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쐐기</t>
    </r>
  </si>
  <si>
    <r>
      <t>역날형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</si>
  <si>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역날형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충각</t>
    </r>
  </si>
  <si>
    <r>
      <t>선수상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없음</t>
    </r>
  </si>
  <si>
    <t>범고래상</t>
  </si>
  <si>
    <t>표범상</t>
  </si>
  <si>
    <t>송골매상</t>
  </si>
  <si>
    <t>돌고래상</t>
  </si>
  <si>
    <r>
      <t>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</si>
  <si>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t>솔개상</t>
  </si>
  <si>
    <t>상어상</t>
  </si>
  <si>
    <t>거북상</t>
  </si>
  <si>
    <t>사자상</t>
  </si>
  <si>
    <t>처녀상</t>
  </si>
  <si>
    <r>
      <t>나이트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</si>
  <si>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고스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</si>
  <si>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매너티의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</si>
  <si>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스패로우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</si>
  <si>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</si>
  <si>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여신상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</si>
  <si>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듀공상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</si>
  <si>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금독수리상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</si>
  <si>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해신상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</si>
  <si>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성모상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</si>
  <si>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왕자상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</si>
  <si>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</si>
  <si>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에우로페상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</si>
  <si>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백상어상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</si>
  <si>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</si>
  <si>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톱상어상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</si>
  <si>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안드로메다상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</si>
  <si>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샌드타이거상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</si>
  <si>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</si>
  <si>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에로스상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</si>
  <si>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파리스상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</si>
  <si>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네르바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</si>
  <si>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</si>
  <si>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하드리아누스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</si>
  <si>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아가멤논상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</si>
  <si>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큐피트상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</si>
  <si>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미다스왕의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</si>
  <si>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아르키메데스상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</si>
  <si>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트라야누스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</si>
  <si>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</si>
  <si>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천룡상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</si>
  <si>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판도라상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</si>
  <si>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벤누의상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</si>
  <si>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와이번상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</si>
  <si>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</si>
  <si>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티아마트상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</si>
  <si>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양쯔강돌고래상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</si>
  <si>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리바이어던상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</si>
  <si>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케살코아틀상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</si>
  <si>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아르테미스상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</si>
  <si>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가고일상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</si>
  <si>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아이네이아스상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</si>
  <si>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익스타브상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</si>
  <si>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디아나상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</si>
  <si>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다하카상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</si>
  <si>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성안드레상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</si>
  <si>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시서펜트상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</si>
  <si>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아난타상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</si>
  <si>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</si>
  <si>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정화함대의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</si>
  <si>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브리트라상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</si>
  <si>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성페테로상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</si>
  <si>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플라톤상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</si>
  <si>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마우상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</si>
  <si>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살라딘의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</si>
  <si>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한니발상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</si>
  <si>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</si>
  <si>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아누비스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</si>
  <si>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성브렌던상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</si>
  <si>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다누상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</si>
  <si>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파프니르상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</si>
  <si>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쿠크르칸상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</si>
  <si>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오디세우스의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</si>
  <si>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소크라테스상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</si>
  <si>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성커스버트상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</si>
  <si>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다르크상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</si>
  <si>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아우렐리우스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</si>
  <si>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알라시드상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</si>
  <si>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그리폰상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</si>
  <si>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요르문간드상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</si>
  <si>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이슈타르상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</si>
  <si>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아나히타상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</si>
  <si>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프레이아상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</si>
  <si>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포세이돈상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</si>
  <si>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성마르코상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</si>
  <si>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성크리스토퍼상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</si>
  <si>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아쇼카왕상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</si>
  <si>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사라스바티의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</si>
  <si>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잉어상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</si>
  <si>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람세스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돋움"/>
        <family val="3"/>
        <charset val="129"/>
      </rPr>
      <t>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</si>
  <si>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해골상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</si>
  <si>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코끼리상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</si>
  <si>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넵투누스상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</si>
  <si>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문어상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</si>
  <si>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</si>
  <si>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성마그달레나상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</si>
  <si>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헤라상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</si>
  <si>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펜리르상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</si>
  <si>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비너스상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</si>
  <si>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</si>
  <si>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성아가타상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</si>
  <si>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가루다상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</si>
  <si>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아프로디테상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</si>
  <si>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동자승상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</si>
  <si>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맨티코어상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</si>
  <si>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라크슈미의상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</si>
  <si>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유노상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</si>
  <si>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성니코라우스상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</si>
  <si>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팔바티상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</si>
  <si>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성게오르기우스상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</si>
  <si>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성바바라상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</si>
  <si>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물소상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</si>
  <si>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이시스상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</si>
  <si>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코뿔소상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</si>
  <si>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아틀라스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</si>
  <si>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해태상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</si>
  <si>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관우상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</si>
  <si>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세종대왕상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</si>
  <si>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장비상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</si>
  <si>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칭기즈칸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</si>
  <si>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석가모니상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</si>
  <si>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인어상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</si>
  <si>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바하무트상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</si>
  <si>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일루얀카스상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</si>
  <si>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</si>
  <si>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화랑상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</si>
  <si>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오니상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</si>
  <si>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사무라이상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</si>
  <si>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솔개상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</si>
  <si>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솔개상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</si>
  <si>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라나팰콘상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</si>
  <si>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라나팰콘상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</si>
  <si>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</si>
  <si>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상어상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</si>
  <si>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화이트사이드의상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</si>
  <si>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화이트사이드의상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</si>
  <si>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</si>
  <si>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</si>
  <si>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거북상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</si>
  <si>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거북상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</si>
  <si>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사자상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</si>
  <si>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사자상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</si>
  <si>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쥐돌고래상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</si>
  <si>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쥐돌고래상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</si>
  <si>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처녀상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</si>
  <si>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처녀상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</si>
  <si>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흰돌고래상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</si>
  <si>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흰돌고래상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</si>
  <si>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</si>
  <si>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나고래상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</si>
  <si>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</si>
  <si>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나이트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</si>
  <si>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고스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</si>
  <si>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고스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</si>
  <si>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긴수염고래상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</si>
  <si>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긴수염고래상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</si>
  <si>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매너티의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</si>
  <si>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매너티의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</si>
  <si>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케스트랄상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</si>
  <si>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케스트랄상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</si>
  <si>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스패로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</si>
  <si>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스패로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호크상</t>
    </r>
  </si>
  <si>
    <t>천사상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</si>
  <si>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천사상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</si>
  <si>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벌쳐상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</si>
  <si>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벌쳐상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</si>
  <si>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세이렌상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</si>
  <si>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세이렌상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</si>
  <si>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불사조상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</si>
  <si>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불사조상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</si>
  <si>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흰긴수염고래상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</si>
  <si>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흰긴수염고래상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</si>
  <si>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바위새상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</si>
  <si>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바위새상</t>
    </r>
  </si>
  <si>
    <t>여신상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</si>
  <si>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여신상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</si>
  <si>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듀공상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</si>
  <si>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금독수리상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</si>
  <si>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해신상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</si>
  <si>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성모상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</si>
  <si>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왕자상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</si>
  <si>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</si>
  <si>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에우로페상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</si>
  <si>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백상어상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</si>
  <si>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위인상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</si>
  <si>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톱상어상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</si>
  <si>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안드로메다상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</si>
  <si>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샌드타이거상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</si>
  <si>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</si>
  <si>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에로스상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</si>
  <si>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파리스상</t>
    </r>
  </si>
  <si>
    <r>
      <t>네르바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</si>
  <si>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네르바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</si>
  <si>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피우스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</si>
  <si>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피우스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</si>
  <si>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하드리아누스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</si>
  <si>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하드리아누스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</si>
  <si>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아가멤논상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</si>
  <si>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큐피트상</t>
    </r>
  </si>
  <si>
    <r>
      <t>미다스왕의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</si>
  <si>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미다스왕의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</si>
  <si>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아르키메데스상</t>
    </r>
  </si>
  <si>
    <r>
      <t>트라야누스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</si>
  <si>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트라야누스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</si>
  <si>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흰머리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</si>
  <si>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흰머리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</si>
  <si>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천룡상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</si>
  <si>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판도라상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</si>
  <si>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벤누의상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</si>
  <si>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와이번상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</si>
  <si>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성인상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</si>
  <si>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티아마트상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</si>
  <si>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양쯔강돌고래상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</si>
  <si>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리바이어던상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</si>
  <si>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케살코아틀상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</si>
  <si>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아르테미스상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</si>
  <si>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가고일상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</si>
  <si>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아이네이아스상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</si>
  <si>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익스타브상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</si>
  <si>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디아나상</t>
    </r>
  </si>
  <si>
    <r>
      <t>아디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다하카상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</si>
  <si>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다하카상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</si>
  <si>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성안드레상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</si>
  <si>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시서펜트상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</si>
  <si>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아난타상</t>
    </r>
  </si>
  <si>
    <r>
      <t>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</si>
  <si>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</si>
  <si>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정화함대의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</si>
  <si>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정화함대의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</si>
  <si>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브리트라상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</si>
  <si>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성페테로상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</si>
  <si>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플라톤상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</si>
  <si>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마우상</t>
    </r>
  </si>
  <si>
    <r>
      <t>살라딘의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</si>
  <si>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살라딘의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</si>
  <si>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한니발상</t>
    </r>
  </si>
  <si>
    <r>
      <t>용머리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</si>
  <si>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용머리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</si>
  <si>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아누비스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</si>
  <si>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아누비스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</si>
  <si>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성브렌던상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</si>
  <si>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다누상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</si>
  <si>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파프니르상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</si>
  <si>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쿠크르칸상</t>
    </r>
  </si>
  <si>
    <r>
      <t>오디세우스의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</si>
  <si>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오디세우스의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</si>
  <si>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소크라테스상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</si>
  <si>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성커스버트상</t>
    </r>
  </si>
  <si>
    <r>
      <t>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다르크상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</si>
  <si>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다르크상</t>
    </r>
  </si>
  <si>
    <r>
      <t>아우렐리우스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</si>
  <si>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아우렐리우스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</si>
  <si>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알라시드상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</si>
  <si>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그리폰상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</si>
  <si>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요르문간드상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</si>
  <si>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이슈타르상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</si>
  <si>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아나히타상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</si>
  <si>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프레이아상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</si>
  <si>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포세이돈상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</si>
  <si>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성마르코상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</si>
  <si>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성크리스토퍼상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</si>
  <si>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아쇼카왕상</t>
    </r>
  </si>
  <si>
    <r>
      <t>사라스바티의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</si>
  <si>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사라스바티의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</si>
  <si>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잉어상</t>
    </r>
  </si>
  <si>
    <r>
      <t>람세스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돋움"/>
        <family val="3"/>
        <charset val="129"/>
      </rPr>
      <t>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</si>
  <si>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람세스</t>
    </r>
    <r>
      <rPr>
        <sz val="10"/>
        <color rgb="FF000000"/>
        <rFont val="Arial"/>
        <family val="2"/>
      </rPr>
      <t xml:space="preserve"> 2</t>
    </r>
    <r>
      <rPr>
        <sz val="10"/>
        <color rgb="FF000000"/>
        <rFont val="돋움"/>
        <family val="3"/>
        <charset val="129"/>
      </rPr>
      <t>세의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</si>
  <si>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해골상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</si>
  <si>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코끼리상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</si>
  <si>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넵투누스상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</si>
  <si>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문어상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</si>
  <si>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곰상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</si>
  <si>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성마그달레나상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</si>
  <si>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헤라상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</si>
  <si>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펜리르상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</si>
  <si>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비너스상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</si>
  <si>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용상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</si>
  <si>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성아가타상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</si>
  <si>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가루다상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</si>
  <si>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아프로디테상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</si>
  <si>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동자승상</t>
    </r>
  </si>
  <si>
    <t>맨티코어상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</si>
  <si>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맨티코어상</t>
    </r>
  </si>
  <si>
    <t>라크슈미의상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</si>
  <si>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라크슈미의상</t>
    </r>
  </si>
  <si>
    <t>유노상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</si>
  <si>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유노상</t>
    </r>
  </si>
  <si>
    <t>성니코라우스상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</si>
  <si>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성니코라우스상</t>
    </r>
  </si>
  <si>
    <t>팔바티상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</si>
  <si>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팔바티상</t>
    </r>
  </si>
  <si>
    <t>성게오르기우스상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</si>
  <si>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성게오르기우스상</t>
    </r>
  </si>
  <si>
    <t>성바바라상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</si>
  <si>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성바바라상</t>
    </r>
  </si>
  <si>
    <t>물소상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</si>
  <si>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물소상</t>
    </r>
  </si>
  <si>
    <t>이시스상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</si>
  <si>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이시스상</t>
    </r>
  </si>
  <si>
    <t>코뿔소상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</si>
  <si>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코뿔소상</t>
    </r>
  </si>
  <si>
    <r>
      <t>아틀라스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</si>
  <si>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아틀라스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선수상</t>
    </r>
  </si>
  <si>
    <t>해태상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</si>
  <si>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해태상</t>
    </r>
  </si>
  <si>
    <t>관우상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</si>
  <si>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관우상</t>
    </r>
  </si>
  <si>
    <t>세종대왕상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</si>
  <si>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세종대왕상</t>
    </r>
  </si>
  <si>
    <t>장비상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</si>
  <si>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장비상</t>
    </r>
  </si>
  <si>
    <r>
      <t>칭기즈칸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</si>
  <si>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칭기즈칸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</t>
    </r>
  </si>
  <si>
    <t>석가모니상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</si>
  <si>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석가모니상</t>
    </r>
  </si>
  <si>
    <t>인어상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</si>
  <si>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인어상</t>
    </r>
  </si>
  <si>
    <t>바하무트상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</si>
  <si>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바하무트상</t>
    </r>
  </si>
  <si>
    <t>일루얀카스상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</si>
  <si>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일루얀카스상</t>
    </r>
  </si>
  <si>
    <r>
      <t>황제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</si>
  <si>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황제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독수리상</t>
    </r>
  </si>
  <si>
    <t>화랑상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</si>
  <si>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화랑상</t>
    </r>
  </si>
  <si>
    <t>오니상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</si>
  <si>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오니상</t>
    </r>
  </si>
  <si>
    <t>사무라이상</t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</si>
  <si>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사무라이상</t>
    </r>
  </si>
  <si>
    <r>
      <t>닻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없음</t>
    </r>
  </si>
  <si>
    <r>
      <t>목재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</si>
  <si>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녹슨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</si>
  <si>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철재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</si>
  <si>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철재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</si>
  <si>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</si>
  <si>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하트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</si>
  <si>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</si>
  <si>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</si>
  <si>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</si>
  <si>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석정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</si>
  <si>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고대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</si>
  <si>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초승달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</si>
  <si>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</si>
  <si>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</si>
  <si>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</si>
  <si>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</si>
  <si>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사조철묘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</si>
  <si>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</si>
  <si>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</si>
  <si>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크라켄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</si>
  <si>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</si>
  <si>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</si>
  <si>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</si>
  <si>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</si>
  <si>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키장식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</si>
  <si>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고급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</si>
  <si>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호미모양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</si>
  <si>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</si>
  <si>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철재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도검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</si>
  <si>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</si>
  <si>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무쇠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</si>
  <si>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</si>
  <si>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하트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</si>
  <si>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</si>
  <si>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</si>
  <si>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해골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</si>
  <si>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해골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</si>
  <si>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</si>
  <si>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</si>
  <si>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석정</t>
    </r>
  </si>
  <si>
    <r>
      <t>고대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</si>
  <si>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고대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</si>
  <si>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초승달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</si>
  <si>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초승달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</si>
  <si>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상어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</si>
  <si>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상어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</si>
  <si>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</si>
  <si>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</si>
  <si>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조선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</si>
  <si>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조선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</si>
  <si>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</si>
  <si>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대형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</si>
  <si>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사조철묘</t>
    </r>
  </si>
  <si>
    <r>
      <t>인어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</si>
  <si>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인어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</si>
  <si>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사신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</si>
  <si>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사신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</si>
  <si>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크라켄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</si>
  <si>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크라켄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</si>
  <si>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카누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</si>
  <si>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카누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</si>
  <si>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</si>
  <si>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다이아몬드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</si>
  <si>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</si>
  <si>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돌고래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</si>
  <si>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</si>
  <si>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쌍둥이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</si>
  <si>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낡은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키장식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</si>
  <si>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키장식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닻</t>
    </r>
  </si>
  <si>
    <r>
      <t>강화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돋움"/>
        <family val="3"/>
        <charset val="129"/>
      </rPr>
      <t>목묘</t>
    </r>
  </si>
  <si>
    <t>ID</t>
  </si>
  <si>
    <t>이름</t>
  </si>
  <si>
    <t>가격 보정</t>
  </si>
  <si>
    <t>커틀라스</t>
  </si>
  <si>
    <t>런들 대거</t>
  </si>
  <si>
    <t>쉬시파르</t>
  </si>
  <si>
    <t>나이아보르</t>
  </si>
  <si>
    <t>투박한 나무 몽둥이</t>
  </si>
  <si>
    <t>죽창</t>
  </si>
  <si>
    <t>토마호크</t>
  </si>
  <si>
    <t>타바르</t>
  </si>
  <si>
    <t>츠바이헨더</t>
  </si>
  <si>
    <t>스틸 커틀라스</t>
  </si>
  <si>
    <t>페스카즈</t>
  </si>
  <si>
    <t>덕 풋 피스톨</t>
  </si>
  <si>
    <t>철창</t>
  </si>
  <si>
    <t>카츠발거</t>
  </si>
  <si>
    <t>푸르바</t>
  </si>
  <si>
    <t>콜라다</t>
  </si>
  <si>
    <t>텍파틀</t>
  </si>
  <si>
    <t>더블 배럴 피스톨</t>
  </si>
  <si>
    <t>티조나</t>
  </si>
  <si>
    <t>망령의 커틀라스</t>
  </si>
  <si>
    <t>천보총</t>
  </si>
  <si>
    <t>파라슈</t>
  </si>
  <si>
    <t>바즈라</t>
  </si>
  <si>
    <t>람세스 2세의 활</t>
  </si>
  <si>
    <t>뇌절</t>
  </si>
  <si>
    <t>브라운 베스</t>
  </si>
  <si>
    <t>부즈</t>
  </si>
  <si>
    <t>쿠디</t>
  </si>
  <si>
    <t>콜리슈마르드</t>
  </si>
  <si>
    <t>텐타클 피스톨</t>
  </si>
  <si>
    <t>낭선</t>
  </si>
  <si>
    <t>마르크스의 츠바이핸더</t>
  </si>
  <si>
    <t>베요네타</t>
  </si>
  <si>
    <t>성기사의 검</t>
  </si>
  <si>
    <t>브라흐마스트라</t>
  </si>
  <si>
    <t>검투사의 트라이던트</t>
  </si>
  <si>
    <t>귀문참마도</t>
  </si>
  <si>
    <t>램 해머</t>
  </si>
  <si>
    <t>아를라 셰스토페르</t>
  </si>
  <si>
    <t>시바의 마검</t>
  </si>
  <si>
    <t>토레더</t>
  </si>
  <si>
    <t>슈코아틀</t>
  </si>
  <si>
    <t>소드 브레이커</t>
  </si>
  <si>
    <t>어궁구</t>
  </si>
  <si>
    <t>요도 무라마사</t>
  </si>
  <si>
    <t>이스핑가르다</t>
  </si>
  <si>
    <t>몰니야</t>
  </si>
  <si>
    <t>할라디</t>
  </si>
  <si>
    <t>듀란달</t>
  </si>
  <si>
    <t>임페리얼 피스톨</t>
  </si>
  <si>
    <t>방천화극</t>
  </si>
  <si>
    <t>클라렌트</t>
  </si>
  <si>
    <t>기요틴 피스톨레</t>
  </si>
  <si>
    <t>엑스칼리버</t>
  </si>
  <si>
    <t>영광금귀신기노</t>
  </si>
  <si>
    <t>##게이볼그 변경</t>
  </si>
  <si>
    <t>이그제큐터</t>
  </si>
  <si>
    <t>헤라클레스의 클럽</t>
  </si>
  <si>
    <t>##묠니르 변경</t>
  </si>
  <si>
    <t>롱 배럴 피스톨</t>
  </si>
  <si>
    <t>블런더버스</t>
  </si>
  <si>
    <t>근위병의 창</t>
  </si>
  <si>
    <t>고대의 황금 창</t>
  </si>
  <si>
    <t>페퍼박스 피스톨</t>
  </si>
  <si>
    <t>토파야우리</t>
  </si>
  <si>
    <t>파르티잔</t>
  </si>
  <si>
    <t>샨 다</t>
  </si>
  <si>
    <t>바지랑대</t>
  </si>
  <si>
    <t>용병의 아바레스트</t>
  </si>
  <si>
    <t>커타나</t>
  </si>
  <si>
    <t>반투간의 캄피란</t>
  </si>
  <si>
    <t>샤힌고즈</t>
  </si>
  <si>
    <t>모스퀘테로의 머스킷</t>
  </si>
  <si>
    <t>룬 블레이드</t>
  </si>
  <si>
    <t>옥구보검</t>
  </si>
  <si>
    <t>오디세우스의 토크소</t>
  </si>
  <si>
    <t>오뢰신기</t>
  </si>
  <si>
    <t>틀링기트 워 클럽</t>
  </si>
  <si>
    <t>금쇄봉</t>
  </si>
  <si>
    <t>바이던트</t>
  </si>
  <si>
    <t>쿠페의 목창</t>
  </si>
  <si>
    <t>잠비야</t>
  </si>
  <si>
    <t>금권</t>
  </si>
  <si>
    <t>이쿨</t>
  </si>
  <si>
    <t>큐알리 마우카후이틀</t>
  </si>
  <si>
    <t>이광궁</t>
  </si>
  <si>
    <t>오군의 구바사</t>
  </si>
  <si>
    <t>아스클레피오스의 스태프</t>
  </si>
  <si>
    <t>레오나르도의 석궁</t>
  </si>
  <si>
    <t>살라딘의 검</t>
  </si>
  <si>
    <t>태구련의 장검</t>
  </si>
  <si>
    <t>레기온 페퍼박스 피스톨</t>
  </si>
  <si>
    <t>니자므 제디드의 투펙</t>
  </si>
  <si>
    <t>순천</t>
  </si>
  <si>
    <t>사인검</t>
  </si>
  <si>
    <t>아게의 우타</t>
  </si>
  <si>
    <t>드래곤</t>
  </si>
  <si>
    <t>마우이의 마타우</t>
  </si>
  <si>
    <t>마마 쿠차의 추키</t>
  </si>
  <si>
    <t>청룡언월도</t>
  </si>
  <si>
    <t>하트메히트의 와스</t>
  </si>
  <si>
    <t>타도다호의 토마호크</t>
  </si>
  <si>
    <t>##청룡언월도 변경</t>
  </si>
  <si>
    <t>간장 막야</t>
  </si>
  <si>
    <t>반고부</t>
  </si>
  <si>
    <t>알 루하</t>
  </si>
  <si>
    <t>플린트락 피스톨</t>
  </si>
  <si>
    <t>테포즈토필리</t>
  </si>
  <si>
    <t>로하</t>
  </si>
  <si>
    <t>스틸레토</t>
  </si>
  <si>
    <t>마상통</t>
  </si>
  <si>
    <t>둘 바쉬</t>
  </si>
  <si>
    <t>틀링기트 쿼라</t>
  </si>
  <si>
    <t>운철검</t>
  </si>
  <si>
    <t>욤스바이킹 소드</t>
  </si>
  <si>
    <t>아조트</t>
  </si>
  <si>
    <t>네고시아도르</t>
  </si>
  <si>
    <t>글레이브</t>
  </si>
  <si>
    <t>두 생거</t>
  </si>
  <si>
    <t>의천검</t>
  </si>
  <si>
    <t>페트로넬</t>
  </si>
  <si>
    <t>투미</t>
  </si>
  <si>
    <t>나바라트나 부즈디간</t>
  </si>
  <si>
    <t>마누발리스타</t>
  </si>
  <si>
    <t>파우와의 보우</t>
  </si>
  <si>
    <t>배신자의 펄션</t>
  </si>
  <si>
    <t>레이오마노</t>
  </si>
  <si>
    <t>퍼커션락 머스킷</t>
  </si>
  <si>
    <t>사파 잉카의 추키</t>
  </si>
  <si>
    <t>칼라우이탄의 칼링가</t>
  </si>
  <si>
    <t>알라하</t>
  </si>
  <si>
    <t>멜 푸타 베모</t>
  </si>
  <si>
    <t>친퀘디아</t>
  </si>
  <si>
    <t>로빈 후드의 롱보우</t>
  </si>
  <si>
    <t>나가 카스탄</t>
  </si>
  <si>
    <t>서왕모검</t>
  </si>
  <si>
    <t>용성통</t>
  </si>
  <si>
    <t>헤미펠레키스</t>
  </si>
  <si>
    <t>파티스타냐</t>
  </si>
  <si>
    <t>살라딘의 킬리지</t>
  </si>
  <si>
    <t>제자일</t>
  </si>
  <si>
    <t>크리스 나가</t>
  </si>
  <si>
    <t>셉터 오브 레갈리아</t>
  </si>
  <si>
    <t>제갈노</t>
  </si>
  <si>
    <t>샤랑가</t>
  </si>
  <si>
    <t>묠니르</t>
  </si>
  <si>
    <t>할이마히</t>
  </si>
  <si>
    <t>아토스의 머스킷</t>
  </si>
  <si>
    <t>가다</t>
  </si>
  <si>
    <t>만지</t>
  </si>
  <si>
    <t>트리아이나</t>
  </si>
  <si>
    <t>크리사오르</t>
  </si>
  <si>
    <t>워세레</t>
  </si>
  <si>
    <t>페일노트</t>
  </si>
  <si>
    <t>뇌절 수정</t>
  </si>
  <si>
    <t>알프레드의 활</t>
  </si>
  <si>
    <t>잔의 검</t>
  </si>
  <si>
    <t>하이레딘의 검</t>
  </si>
  <si>
    <t>프랜시스의 검</t>
  </si>
  <si>
    <t>바다 민족의 검</t>
  </si>
  <si>
    <t>합성궁</t>
  </si>
  <si>
    <t>롬파이어</t>
  </si>
  <si>
    <t>바이킹 소드</t>
  </si>
  <si>
    <t>맘루크의 커틀러스</t>
  </si>
  <si>
    <t>쿠 스틱</t>
  </si>
  <si>
    <t>포우나무</t>
  </si>
  <si>
    <t>에르난 코르테스의 총</t>
  </si>
  <si>
    <t>은자 피에르의 지팡이</t>
  </si>
  <si>
    <t>쿠푸왕의 지팡이</t>
  </si>
  <si>
    <t>코모두스 황제의 검</t>
  </si>
  <si>
    <t>게클랭의 마상창</t>
  </si>
  <si>
    <t>바이바르스의 창</t>
  </si>
  <si>
    <t>알렉산더 대왕의 검</t>
  </si>
  <si>
    <t>찬드라굽타 왕의 검</t>
  </si>
  <si>
    <t>게 볼그</t>
  </si>
  <si>
    <t>프라가라흐</t>
  </si>
  <si>
    <t>아노야타왕의 검</t>
  </si>
  <si>
    <t>오도아케르의 검</t>
  </si>
  <si>
    <t>나라티하파테 왕의 비수</t>
  </si>
  <si>
    <t>라발나스왕의 검</t>
  </si>
  <si>
    <t>아바스의 검</t>
  </si>
  <si>
    <t>롱기누스의 창</t>
  </si>
  <si>
    <t>멀린의 지팡이</t>
  </si>
  <si>
    <t>무라마사</t>
  </si>
  <si>
    <t>발뭉</t>
  </si>
  <si>
    <t>브류나크</t>
  </si>
  <si>
    <t>트리스탄의 검</t>
  </si>
  <si>
    <t>크로케아 모르스</t>
  </si>
  <si>
    <t>쿠아우테목의 창</t>
  </si>
  <si>
    <t>브레스트 플레이트</t>
  </si>
  <si>
    <t>어대구족</t>
  </si>
  <si>
    <t>호복</t>
  </si>
  <si>
    <t>선주민 전사복</t>
  </si>
  <si>
    <t>스콜라 더블릿</t>
  </si>
  <si>
    <t>감시자의 암행복</t>
  </si>
  <si>
    <t>견습 모험가의 의복</t>
  </si>
  <si>
    <t>상단 용병의 경장</t>
  </si>
  <si>
    <t>밀라노식 갑옷</t>
  </si>
  <si>
    <t>체인 메일</t>
  </si>
  <si>
    <t>찰갑</t>
  </si>
  <si>
    <t>저킨</t>
  </si>
  <si>
    <t>법피</t>
  </si>
  <si>
    <t>에우스토키아 드레스_여성용</t>
  </si>
  <si>
    <t>피필틴의 튜닉_여성용</t>
  </si>
  <si>
    <t>무역 상인의 의복</t>
  </si>
  <si>
    <t>모험 용병의 경장</t>
  </si>
  <si>
    <t>몰락 귀족의 의복</t>
  </si>
  <si>
    <t>부족 전사의 의복</t>
  </si>
  <si>
    <t>에롤의 실험 갑옷</t>
  </si>
  <si>
    <t>상단 호위병의 갑옷</t>
  </si>
  <si>
    <t>야칸 뗄라_남성용</t>
  </si>
  <si>
    <t>다리우스 3세의 갑옷</t>
  </si>
  <si>
    <t>에스파다친의 갑옷</t>
  </si>
  <si>
    <t>제사장의 응구오_남성용</t>
  </si>
  <si>
    <t>바이킹 아머</t>
  </si>
  <si>
    <t>카이사르의 갑옷</t>
  </si>
  <si>
    <t>망령 제독의 코트</t>
  </si>
  <si>
    <t>착호갑사복_남성용</t>
  </si>
  <si>
    <t>두석린갑_남성용</t>
  </si>
  <si>
    <t>일품부인의 산문갑_여성용</t>
  </si>
  <si>
    <t>카르나의 카바치_남성용</t>
  </si>
  <si>
    <t>호지조개_남성용</t>
  </si>
  <si>
    <t>뇌신갑_여성용</t>
  </si>
  <si>
    <t>레오나르도의 의복_남성용</t>
  </si>
  <si>
    <t>스칼렛 튜닉_여성용</t>
  </si>
  <si>
    <t>트라헤 데루세스_남성용</t>
  </si>
  <si>
    <t>트라헤 데플라멩카_여성용</t>
  </si>
  <si>
    <t>라마 이스루나의 케인_남성용</t>
  </si>
  <si>
    <t>홀리 플레이트 아머_남성용</t>
  </si>
  <si>
    <t>금의위복_남성용</t>
  </si>
  <si>
    <t>마르크스의 뤼스퉁_남성용</t>
  </si>
  <si>
    <t>성기사의 갑옷_남성용</t>
  </si>
  <si>
    <t>인드라지트의 카파다</t>
  </si>
  <si>
    <t>호플로마쿠스의 갑옷</t>
  </si>
  <si>
    <t>하이레딘의 카프탄_남성용</t>
  </si>
  <si>
    <t>엘 드라케 아머</t>
  </si>
  <si>
    <t>보야르의 브라냐</t>
  </si>
  <si>
    <t>나타라자의 카파다_남성용</t>
  </si>
  <si>
    <t>아하디스의 카바치_남성용</t>
  </si>
  <si>
    <t>우이칠린_남성용</t>
  </si>
  <si>
    <t>페르디난트 2세의 아머_남성용</t>
  </si>
  <si>
    <t>제육천마왕개_남성용</t>
  </si>
  <si>
    <t>바쥬 라미나_남성용</t>
  </si>
  <si>
    <t>벨레스의 카사바로트카_남성용</t>
  </si>
  <si>
    <t>벨레스의 사라판_여성용</t>
  </si>
  <si>
    <t>라지푸트 카파다_남성용</t>
  </si>
  <si>
    <t>롤랑의 아르뮈르_남성용</t>
  </si>
  <si>
    <t>임페리얼 아머_남성용</t>
  </si>
  <si>
    <t>신전무전의_남성용</t>
  </si>
  <si>
    <t>폐월수화의_여성용</t>
  </si>
  <si>
    <t>모드레드의 아머_남성용</t>
  </si>
  <si>
    <t>위가르_남성용</t>
  </si>
  <si>
    <t>어우락 꾸언 아오_남성용</t>
  </si>
  <si>
    <t>쿠 훌린의 아머_남성용</t>
  </si>
  <si>
    <t>네로 디아볼로_남성용</t>
  </si>
  <si>
    <t>헤라클레스의 아머_남성용</t>
  </si>
  <si>
    <t>헤라클레스의 아머_여성용</t>
  </si>
  <si>
    <t>야른삭사의 아머_남성용</t>
  </si>
  <si>
    <t>데니지의 민탄_남성용</t>
  </si>
  <si>
    <t>데니지의 옐레크_여성용</t>
  </si>
  <si>
    <t>모로 뗄라_남성용</t>
  </si>
  <si>
    <t>보스탄츠의 히르카</t>
  </si>
  <si>
    <t>카사도르의 코트</t>
  </si>
  <si>
    <t>튜더 코트_남성용</t>
  </si>
  <si>
    <t>제독의 코트</t>
  </si>
  <si>
    <t>융복 개갑</t>
  </si>
  <si>
    <t>검호의 진우직</t>
  </si>
  <si>
    <t>콘도티에로의 아르마투라</t>
  </si>
  <si>
    <t>참회왕의 로브_남성용</t>
  </si>
  <si>
    <t>레프코샤 용왕의 즈르흐_남성용</t>
  </si>
  <si>
    <t>엘 레이 아르마두라_여성용</t>
  </si>
  <si>
    <t>베이릭의 히르카_남성용</t>
  </si>
  <si>
    <t>후사르 돌먼</t>
  </si>
  <si>
    <t>호레이쇼 넬슨의 제복</t>
  </si>
  <si>
    <t>프레이야의 로브_여성용</t>
  </si>
  <si>
    <t>내금위장의 융복_남성용</t>
  </si>
  <si>
    <t>아킬레우스의 갑옷_남성용</t>
  </si>
  <si>
    <t>신기영장</t>
  </si>
  <si>
    <t>틀링기트 아머_남성용</t>
  </si>
  <si>
    <t>홍면귀복_남성용</t>
  </si>
  <si>
    <t>홍면귀복_여성용</t>
  </si>
  <si>
    <t>노블레스 아머_남성용</t>
  </si>
  <si>
    <t>타키티무 아머_남성용</t>
  </si>
  <si>
    <t>카누니의 카프탄_남성용</t>
  </si>
  <si>
    <t>귈바하르의 의복_여성용</t>
  </si>
  <si>
    <t>청포 철갑_남성용</t>
  </si>
  <si>
    <t>청포 철갑_여성용</t>
  </si>
  <si>
    <t>로코 이마의 능고</t>
  </si>
  <si>
    <t>틀라토아니의 의복_남성용</t>
  </si>
  <si>
    <t>시와틀라토아니의 의복_여성용</t>
  </si>
  <si>
    <t>비장군의 위복_남성용</t>
  </si>
  <si>
    <t>르네상스 푸르포앵_남성용</t>
  </si>
  <si>
    <t>앙투아네트의 드레스_여성용</t>
  </si>
  <si>
    <t>로빈 후드의 튜닉_남성용</t>
  </si>
  <si>
    <t>오군의 이하모라_남성용</t>
  </si>
  <si>
    <t>닌귀시지다의 로브_남성용</t>
  </si>
  <si>
    <t>레오나르도의 아머_남성용</t>
  </si>
  <si>
    <t>라술룰라 주바_남성용</t>
  </si>
  <si>
    <t>두석린갑1_남성용</t>
  </si>
  <si>
    <t>마레샬 베스트_남성용</t>
  </si>
  <si>
    <t>니자므 제디드의 자마_남성용</t>
  </si>
  <si>
    <t>대월 황제의 용포_남성용</t>
  </si>
  <si>
    <t>삼절한복_남성용</t>
  </si>
  <si>
    <t>삼절한복_여성용</t>
  </si>
  <si>
    <t>데르비쇼 바가라 아머_남성용</t>
  </si>
  <si>
    <t>드라군 아머_남성용</t>
  </si>
  <si>
    <t>카라키아 타투아 코타라_남성용</t>
  </si>
  <si>
    <t>인티 야콜라_남성용</t>
  </si>
  <si>
    <t>비라코챠의 아머_남성용</t>
  </si>
  <si>
    <t>파라오의 아머_남성용</t>
  </si>
  <si>
    <t>데가나위다의 튜닉_남성용</t>
  </si>
  <si>
    <t>지곤사세의 예복_여성용</t>
  </si>
  <si>
    <t>군신갑_남성용</t>
  </si>
  <si>
    <t>팔괘자수선의_남성용</t>
  </si>
  <si>
    <t>에인헤리 아머_남성용</t>
  </si>
  <si>
    <t>예모자의 이하모라_남성용</t>
  </si>
  <si>
    <t>트리스탄의 로브_남성용</t>
  </si>
  <si>
    <t>이졸데의 예복_여성용</t>
  </si>
  <si>
    <t>히르카이 세리프_남성용</t>
  </si>
  <si>
    <t>은둔자의 로브_남성용</t>
  </si>
  <si>
    <t>여행자의 로브_여성용</t>
  </si>
  <si>
    <t>푸르포앵_남성용</t>
  </si>
  <si>
    <t>교역상복</t>
  </si>
  <si>
    <t>아카데믹 가운_남성용</t>
  </si>
  <si>
    <t>어의녀복_여성용</t>
  </si>
  <si>
    <t>벨벳 쥐스토코르</t>
  </si>
  <si>
    <t>알렉산더 대왕의 갑옷</t>
  </si>
  <si>
    <t>용병 단장의 갑옷</t>
  </si>
  <si>
    <t>욤스바이킹 아머</t>
  </si>
  <si>
    <t>엘레멘탈 로브</t>
  </si>
  <si>
    <t>금상화호복</t>
  </si>
  <si>
    <t>로얄 플레이트 아머</t>
  </si>
  <si>
    <t>도쿠가와의 갑옷_남성용</t>
  </si>
  <si>
    <t>만샵다르의 카바치_여성용</t>
  </si>
  <si>
    <t>황금산문갑</t>
  </si>
  <si>
    <t>팰리스 코트 드레스_남성용</t>
  </si>
  <si>
    <t>팰리스 코트 드레스_여성용</t>
  </si>
  <si>
    <t>바르바로사의 히르카</t>
  </si>
  <si>
    <t>무흐테솀 체베</t>
  </si>
  <si>
    <t>리노토락스</t>
  </si>
  <si>
    <t>파우와 튜닉_남성용</t>
  </si>
  <si>
    <t>사쐬르 아르뮈르</t>
  </si>
  <si>
    <t>크리스토발의 갑옷</t>
  </si>
  <si>
    <t>키리바시 아머_여성용</t>
  </si>
  <si>
    <t>해적 선장의 코트</t>
  </si>
  <si>
    <t>사파 잉카의 금갑</t>
  </si>
  <si>
    <t>사파 잉카의 금갑_여성용</t>
  </si>
  <si>
    <t>파비앙 사룽_남성용</t>
  </si>
  <si>
    <t>파비앙 씬_여성용</t>
  </si>
  <si>
    <t>이마지겐족의 질라바</t>
  </si>
  <si>
    <t>파디샤의 셰르와니_남성용</t>
  </si>
  <si>
    <t>마라하니의 정장_여성용</t>
  </si>
  <si>
    <t>가루다 카바치_남성용</t>
  </si>
  <si>
    <t>옥산진인 보의_남성용</t>
  </si>
  <si>
    <t>팔지오 낭인복_남성용</t>
  </si>
  <si>
    <t>미다스의 파노피아_남성용</t>
  </si>
  <si>
    <t>라바나의 카바치_남성용</t>
  </si>
  <si>
    <t>살라딘의 즈르흐_남성용</t>
  </si>
  <si>
    <t>쿠나슨 파투그_남성용</t>
  </si>
  <si>
    <t>라마찬드라의 카바치_남성용</t>
  </si>
  <si>
    <t>아머 오브 레갈리아_남성용</t>
  </si>
  <si>
    <t>공명창의_남성용</t>
  </si>
  <si>
    <t>월영창의_여성용</t>
  </si>
  <si>
    <t>바루나의 카파다_남성용</t>
  </si>
  <si>
    <t>게오르기우스의 아머_남성용</t>
  </si>
  <si>
    <t>나바카이의 아머_남성용</t>
  </si>
  <si>
    <t>포르토스의 베트멍_남성용</t>
  </si>
  <si>
    <t>보르토스의 예장_여성용</t>
  </si>
  <si>
    <t>자비단의 제레_남성용</t>
  </si>
  <si>
    <t>바쿠나와 뗄라_남성용</t>
  </si>
  <si>
    <t>포세이돈의 아머_남성용</t>
  </si>
  <si>
    <t>페가수스 키톤_남성용</t>
  </si>
  <si>
    <t>페가수스 파니_여성용</t>
  </si>
  <si>
    <t>조커의 가죽 갑옷_남성용</t>
  </si>
  <si>
    <t>오토미 막스틀라틀_남성용</t>
  </si>
  <si>
    <t>로베르토의 제복_남성용</t>
  </si>
  <si>
    <t>카라의 여행복_남성용</t>
  </si>
  <si>
    <t>로코의 코트_남성용</t>
  </si>
  <si>
    <t>마사와 구원자의 의복_남성용</t>
  </si>
  <si>
    <t>빨간 머리 해적복_여성용</t>
  </si>
  <si>
    <t>치킨 제독의 갑옷_남성용</t>
  </si>
  <si>
    <t>지도 장인의 의복_남성용</t>
  </si>
  <si>
    <t>대모험가의 의복_남성용</t>
  </si>
  <si>
    <t>보육원장의 의복_남성용</t>
  </si>
  <si>
    <t>말괄량이 모험가복_여성용</t>
  </si>
  <si>
    <t>악마 사냥꾼의 의복_남성용</t>
  </si>
  <si>
    <t>가주의 갑옷_남성용</t>
  </si>
  <si>
    <t>정화의 의복_남성용</t>
  </si>
  <si>
    <t>척계광의 의복_남성용</t>
  </si>
  <si>
    <t>그레이스 오말리의 의복_여성용</t>
  </si>
  <si>
    <t>정성공의 의복_남성용</t>
  </si>
  <si>
    <t>거상의 저고리_여성용</t>
  </si>
  <si>
    <t>홍길동의 의복_남성용</t>
  </si>
  <si>
    <t>이순신의 의복_남성용</t>
  </si>
  <si>
    <t>다테 마사무네의 의복_남성용</t>
  </si>
  <si>
    <t>이마이 사키의 의복_여성용</t>
  </si>
  <si>
    <t>누이 호쿠의 의복_여성용</t>
  </si>
  <si>
    <t>찬드 비비의 의복_여성용</t>
  </si>
  <si>
    <t>표트르 1세의 의복_남성용</t>
  </si>
  <si>
    <t>고귀한 복수자의 의복_여성용</t>
  </si>
  <si>
    <t>에르난 코르테스의 의복_남성용</t>
  </si>
  <si>
    <t>대해적의 의복_여성용</t>
  </si>
  <si>
    <t>필리 레이스의 의복_남성용</t>
  </si>
  <si>
    <t>준비된 제독의 망토</t>
  </si>
  <si>
    <t>##조안 추가 장비_남성용</t>
  </si>
  <si>
    <t>##카탈리나 추가 장비_여성용</t>
  </si>
  <si>
    <t>##옷토 추가 장비_남성용</t>
  </si>
  <si>
    <t>##에르네스트 추가 장비_남성용</t>
  </si>
  <si>
    <t>##피에트로 추가 장비_남성용</t>
  </si>
  <si>
    <t>##알 추가 장비_남성용</t>
  </si>
  <si>
    <t>##밀란데 추가 장비_여성용</t>
  </si>
  <si>
    <t>##살바도르 추가 장비_남성용</t>
  </si>
  <si>
    <t>##레온 추가 장비_남성용</t>
  </si>
  <si>
    <t>##정화 추가 장비_남성용</t>
  </si>
  <si>
    <t>##척계광 추가 장비_남성용</t>
  </si>
  <si>
    <t>##그레이스 추가 장비_여성용</t>
  </si>
  <si>
    <t>##정성공 추가 장비_남성용</t>
  </si>
  <si>
    <t>##김만덕 추가 장비_여성용</t>
  </si>
  <si>
    <t>##홍길동 추가 장비_남성용</t>
  </si>
  <si>
    <t>##이순신 추가 장비_남성용</t>
  </si>
  <si>
    <t>##다테 추가 장비_남성용</t>
  </si>
  <si>
    <t>##사키 추가 장비_여성용</t>
  </si>
  <si>
    <t>##호쿠 추가 장비_여성용</t>
  </si>
  <si>
    <t>##비비 추가 장비_여성용</t>
  </si>
  <si>
    <t>##표트르 추가 장비_남성용</t>
  </si>
  <si>
    <t>##사이이다 추가 장비_여성용</t>
  </si>
  <si>
    <t>##코르테스 추가 장비_남성용</t>
  </si>
  <si>
    <t>##앤 보니 추가 장비_여성용</t>
  </si>
  <si>
    <t>##필리 추가 장비_남성용</t>
  </si>
  <si>
    <t>벤자밍의 의복_남성용</t>
  </si>
  <si>
    <t>브로케이드 저킨_남성용</t>
  </si>
  <si>
    <t>구디나의 의복_남성용</t>
  </si>
  <si>
    <t>아자르의 의복_남성용</t>
  </si>
  <si>
    <t>이시의 의복_남성용</t>
  </si>
  <si>
    <t>세이시치의 의복_남성용</t>
  </si>
  <si>
    <t>에미얄리의 의복_남성용</t>
  </si>
  <si>
    <t>청철의 의복_남성용</t>
  </si>
  <si>
    <t>파트리스의 의복_남성용</t>
  </si>
  <si>
    <t>무영의 의복_남성용</t>
  </si>
  <si>
    <t>슈에의 의복_여성용</t>
  </si>
  <si>
    <t>데브림의 의복_남성용</t>
  </si>
  <si>
    <t>티몬의 의복_남성용</t>
  </si>
  <si>
    <t>불카니코의 의복_남성용</t>
  </si>
  <si>
    <t>와만의 의복_남성용</t>
  </si>
  <si>
    <t>군투르의 의복_남성용</t>
  </si>
  <si>
    <t>시씬과크의 의복_남성용</t>
  </si>
  <si>
    <t>타마의 의복_남성용</t>
  </si>
  <si>
    <t>오나쓰의 의복_여성용</t>
  </si>
  <si>
    <t>아델리나의 의복_여성용</t>
  </si>
  <si>
    <t>완다의 의복_여성용</t>
  </si>
  <si>
    <t>예루마의 의복_여성용</t>
  </si>
  <si>
    <t>엘레느의 의복_여성용</t>
  </si>
  <si>
    <t>나탈리의 의복_여성용</t>
  </si>
  <si>
    <t>티티스의 의복_여성용</t>
  </si>
  <si>
    <t>스트라이프 드레스_여성용</t>
  </si>
  <si>
    <t>코르넬리아의 의복_여성용</t>
  </si>
  <si>
    <t>아이셀의 의복_여성용</t>
  </si>
  <si>
    <t>잔수의 의복_여성용</t>
  </si>
  <si>
    <t>루도의 의복_여성용</t>
  </si>
  <si>
    <t>아난드의 의복_여성용</t>
  </si>
  <si>
    <t>잉게보르크의 의복_여성용</t>
  </si>
  <si>
    <t>켈레벡의 의복_여성용</t>
  </si>
  <si>
    <t>울로리악의 의복_여성용</t>
  </si>
  <si>
    <t>리리안의 의복_여성용</t>
  </si>
  <si>
    <t>플로라의 의복_여성용</t>
  </si>
  <si>
    <t>사라이의 엔타리_여성용</t>
  </si>
  <si>
    <t>하디의 의복_여성용</t>
  </si>
  <si>
    <t>베리사의 의복_여성용</t>
  </si>
  <si>
    <t>사파의 의복_여성용</t>
  </si>
  <si>
    <t>아멜리아의 의복_여성용</t>
  </si>
  <si>
    <t>이사벨의 의복_여성용</t>
  </si>
  <si>
    <t>쿤티의 의복_여성용</t>
  </si>
  <si>
    <t>하토라의 의복_여성용</t>
  </si>
  <si>
    <t>미화의 의복_여성용</t>
  </si>
  <si>
    <t>아냐의 의복_여성용</t>
  </si>
  <si>
    <t>지아나의 의복_여성용</t>
  </si>
  <si>
    <t>테레사의 의복_여성용</t>
  </si>
  <si>
    <t>뮤리네의 의복_여성용</t>
  </si>
  <si>
    <t>실비아의 의복_여성용</t>
  </si>
  <si>
    <t>아세네트의 의복_여성용</t>
  </si>
  <si>
    <t>제바히르의 의복_여성용</t>
  </si>
  <si>
    <t>엘리프의 의복_여성용</t>
  </si>
  <si>
    <t>가더의 의복_여성용</t>
  </si>
  <si>
    <t>인두마티의 의복_여성용</t>
  </si>
  <si>
    <t>말리날리의 의복_여성용</t>
  </si>
  <si>
    <t>상경의 의복_여성용</t>
  </si>
  <si>
    <t>청린의 의복_여성용</t>
  </si>
  <si>
    <t>가은정의 의복_여성용</t>
  </si>
  <si>
    <t>타츠마루의 의복_여성용</t>
  </si>
  <si>
    <t>치트랄리의 의복_여성용</t>
  </si>
  <si>
    <t>리씨에의 의복_여성용</t>
  </si>
  <si>
    <t>스틴의 의복_여성용</t>
  </si>
  <si>
    <t>즈쓰후아의 의복_여성용</t>
  </si>
  <si>
    <t>클라우디아의 의복_여성용</t>
  </si>
  <si>
    <t>메레의 의복_여성용</t>
  </si>
  <si>
    <t>푸르나마의 의복_여성용</t>
  </si>
  <si>
    <t>수니타의 의복_여성용</t>
  </si>
  <si>
    <t>예바의 의복_여성용</t>
  </si>
  <si>
    <t>네일리의 의복_여성용</t>
  </si>
  <si>
    <t>타마야의 의복_여성용</t>
  </si>
  <si>
    <t>돌로리스의 의복_여성용</t>
  </si>
  <si>
    <t>니타의 의복_여성용</t>
  </si>
  <si>
    <t>루치아의 의복_여성용</t>
  </si>
  <si>
    <t>안나의 의복_여성용</t>
  </si>
  <si>
    <t>라디아의 의복_여성용</t>
  </si>
  <si>
    <t>마틸다의 의복_여성용</t>
  </si>
  <si>
    <t>아르드비의 의복_여성용</t>
  </si>
  <si>
    <t>남혜의 의복_여성용</t>
  </si>
  <si>
    <t>아니사의 의복_여성용</t>
  </si>
  <si>
    <t>경극 의상</t>
  </si>
  <si>
    <t>귀부인의 드레스</t>
  </si>
  <si>
    <t>바다 민족의 갑옷</t>
  </si>
  <si>
    <t>선녀의 무용복</t>
  </si>
  <si>
    <t>파이완 민족의상</t>
  </si>
  <si>
    <t>관두의</t>
  </si>
  <si>
    <t>테오도라의 무용 의상_여성용</t>
  </si>
  <si>
    <t>사자왕의 갑옷</t>
  </si>
  <si>
    <t>성왕 갑옷</t>
  </si>
  <si>
    <t>템플기사단장의 갑옷</t>
  </si>
  <si>
    <t>데메트리오스 1세의 갑옷</t>
  </si>
  <si>
    <t>에파미논다스의 갑옷</t>
  </si>
  <si>
    <t>바르부타</t>
  </si>
  <si>
    <t>터번</t>
  </si>
  <si>
    <t>두건</t>
  </si>
  <si>
    <t>야우투</t>
  </si>
  <si>
    <t>스콜라 콘 햇</t>
  </si>
  <si>
    <t>감시자의 두건</t>
  </si>
  <si>
    <t>견습 모험가의 모자</t>
  </si>
  <si>
    <t>상단 용병의 두건</t>
  </si>
  <si>
    <t>밀라노식 투구</t>
  </si>
  <si>
    <t>버킷 헬름</t>
  </si>
  <si>
    <t>후드</t>
  </si>
  <si>
    <t>삿갓</t>
  </si>
  <si>
    <t>하즈 터번</t>
  </si>
  <si>
    <t>프릴 헤어 밴드_여성용</t>
  </si>
  <si>
    <t>무역 상인의 모자</t>
  </si>
  <si>
    <t>모험 용병의 보호구</t>
  </si>
  <si>
    <t>몰락 귀족의 모자</t>
  </si>
  <si>
    <t>부족 전사의 투구</t>
  </si>
  <si>
    <t>에롤의 실험 투구</t>
  </si>
  <si>
    <t>상단 호위병의 투구</t>
  </si>
  <si>
    <t>뤽스 터번</t>
  </si>
  <si>
    <t>에스파다친의 모리온</t>
  </si>
  <si>
    <t>바르바리 해적의 터번</t>
  </si>
  <si>
    <t>제사장의 아데_남성용</t>
  </si>
  <si>
    <t>제사장의 서클릿_여성용</t>
  </si>
  <si>
    <t>투이가</t>
  </si>
  <si>
    <t>바이킹 헬름</t>
  </si>
  <si>
    <t>망령 제독의 트라이콘_남성용</t>
  </si>
  <si>
    <t>갑사죽립_남성용</t>
  </si>
  <si>
    <t>파라슈라마의 쉬르스트란_남성용</t>
  </si>
  <si>
    <t>파라슈라마의 쉬르스트란_여성용</t>
  </si>
  <si>
    <t>카르나의 쉬르스트란_남성용</t>
  </si>
  <si>
    <t>호지조두_남성용</t>
  </si>
  <si>
    <t>뇌신두_여성용</t>
  </si>
  <si>
    <t>베어스킨</t>
  </si>
  <si>
    <t>몬테라_남성용</t>
  </si>
  <si>
    <t>라마 수카라의 토미_남성용</t>
  </si>
  <si>
    <t>홀리 플레이트 헬름_남성용</t>
  </si>
  <si>
    <t>검은 수염의 트라이콘_남성용</t>
  </si>
  <si>
    <t>금의사모_남성용</t>
  </si>
  <si>
    <t>마르크스브뤼더의 후트_남성용</t>
  </si>
  <si>
    <t>성기사의 투구_남성용</t>
  </si>
  <si>
    <t>인드라지트의 반다나_남성용</t>
  </si>
  <si>
    <t>레타리우스의 헬름</t>
  </si>
  <si>
    <t>하이레딘의 카바치_남성용</t>
  </si>
  <si>
    <t>엘 드라케 헬름</t>
  </si>
  <si>
    <t>보야르의 실렘</t>
  </si>
  <si>
    <t>나타라자의 만달라_남성용</t>
  </si>
  <si>
    <t>아하디스의 쉬르스트란_남성용</t>
  </si>
  <si>
    <t>우이칠린 콰칼라래틀리_남성용</t>
  </si>
  <si>
    <t>페르디난트 2세의 아멧_남성용</t>
  </si>
  <si>
    <t>제육천마왕두_남성용</t>
  </si>
  <si>
    <t>토피 바자_남성용</t>
  </si>
  <si>
    <t>벨레스의 디아데마_남성용</t>
  </si>
  <si>
    <t>라지푸트 파그리_남성용</t>
  </si>
  <si>
    <t>롤랑의 카스크_남성용</t>
  </si>
  <si>
    <t>임페리얼 헬름_남성용</t>
  </si>
  <si>
    <t>선전무전속발관_남성용</t>
  </si>
  <si>
    <t>페월수화화관_여성용</t>
  </si>
  <si>
    <t>모드레드의 헬름_남성용</t>
  </si>
  <si>
    <t>골든 드래곤 헬름_남성용</t>
  </si>
  <si>
    <t>어우락 몽꾹_남성용</t>
  </si>
  <si>
    <t>쿠 훌린의 헬름_남성용</t>
  </si>
  <si>
    <t>코르노 델디아볼로_남성용</t>
  </si>
  <si>
    <t>네메안 라이언_남성용</t>
  </si>
  <si>
    <t>야른삭사의 헬름_남성용</t>
  </si>
  <si>
    <t>데니지의 터번</t>
  </si>
  <si>
    <t>비위크 터번</t>
  </si>
  <si>
    <t>벨벳 보닛</t>
  </si>
  <si>
    <t>보스탄츠의 뵈르크</t>
  </si>
  <si>
    <t>카사도르의 플랫캡</t>
  </si>
  <si>
    <t>튜더 보닛</t>
  </si>
  <si>
    <t>슬라우치 햇</t>
  </si>
  <si>
    <t>제독의 바이콘</t>
  </si>
  <si>
    <t>융복복건</t>
  </si>
  <si>
    <t>검호의 심편립</t>
  </si>
  <si>
    <t>콘도티에로의 엘모</t>
  </si>
  <si>
    <t>참회왕의 크라운_남성용</t>
  </si>
  <si>
    <t>반투간의 쿠피야_남성용</t>
  </si>
  <si>
    <t>엘 레이 헬름_여성용</t>
  </si>
  <si>
    <t>베이릭의 보크_남성용</t>
  </si>
  <si>
    <t>후사르의 샤코</t>
  </si>
  <si>
    <t>바니르 서클릿</t>
  </si>
  <si>
    <t>내금위장의 주립_남성용</t>
  </si>
  <si>
    <t>아킬레우스의 투구_남성용</t>
  </si>
  <si>
    <t>신기영철모</t>
  </si>
  <si>
    <t>틀링기트 헬름_남성용</t>
  </si>
  <si>
    <t>난발두_남성용</t>
  </si>
  <si>
    <t>노블레스 헬름_남성용</t>
  </si>
  <si>
    <t>타키티무 마스크_남성용</t>
  </si>
  <si>
    <t>카누니의 터번_남성용</t>
  </si>
  <si>
    <t>귈바하르의 보크_여성용</t>
  </si>
  <si>
    <t>봉황문두무_남성용</t>
  </si>
  <si>
    <t>음봄보의 선물_남성용</t>
  </si>
  <si>
    <t>틀라토아니 콰칼라래틀리_남성용</t>
  </si>
  <si>
    <t>시와틀라토아니 콰칼라래틀리_여성용</t>
  </si>
  <si>
    <t>비장군의 결건_남성용</t>
  </si>
  <si>
    <t>오군의 이보리_남성용</t>
  </si>
  <si>
    <t>아시리아 미트라_남성용</t>
  </si>
  <si>
    <t>레오나르도의 헬름_남성용</t>
  </si>
  <si>
    <t>라술룰라의 터번_남성용</t>
  </si>
  <si>
    <t>용봉문투구_남성용</t>
  </si>
  <si>
    <t>마레샬의 바이콘_남성용</t>
  </si>
  <si>
    <t>니자므 제디드의 터번_남성용</t>
  </si>
  <si>
    <t>대월 황제의 익선관_남성용</t>
  </si>
  <si>
    <t>삼절 흑립_남성용</t>
  </si>
  <si>
    <t>삼절 남바위_여성용</t>
  </si>
  <si>
    <t>데르비쇼 바가라 쿠우다_남성용</t>
  </si>
  <si>
    <t>드라군 헬멧_남성용</t>
  </si>
  <si>
    <t>카라키아 포타에_남성용</t>
  </si>
  <si>
    <t>인티 라우투_남성용</t>
  </si>
  <si>
    <t>비라코챠의 추쿠_남성용</t>
  </si>
  <si>
    <t>투탕카멘의 마스크_남성용</t>
  </si>
  <si>
    <t>데가나위다의 구스토웨_남성용</t>
  </si>
  <si>
    <t>군신두무_남성용</t>
  </si>
  <si>
    <t>팔괘자수선건_남성용</t>
  </si>
  <si>
    <t>에인헤리 헬름_남성용</t>
  </si>
  <si>
    <t>발키리의 날개 투구_여성용</t>
  </si>
  <si>
    <t>예모자의 이데리_남성용</t>
  </si>
  <si>
    <t>트리스탄의 서클릿_남성용</t>
  </si>
  <si>
    <t>이졸데의 서클릿_여성용</t>
  </si>
  <si>
    <t>시아 터번_남성용</t>
  </si>
  <si>
    <t>레더 후드_남성용</t>
  </si>
  <si>
    <t>리넨 후드_여성용</t>
  </si>
  <si>
    <t>교역상의 햇</t>
  </si>
  <si>
    <t>스콜라 캡_남성용</t>
  </si>
  <si>
    <t>장금의 가리마_여성용</t>
  </si>
  <si>
    <t>벨벳 콕트 햇</t>
  </si>
  <si>
    <t>용병 단장의 헬름</t>
  </si>
  <si>
    <t>르네상스 샤포_남성용</t>
  </si>
  <si>
    <t>르네상스 샤포_여성용</t>
  </si>
  <si>
    <t>로빈 후드의 바이코켓_남성용</t>
  </si>
  <si>
    <t>욤스바이킹 헬름</t>
  </si>
  <si>
    <t>엘리멘탈 후드</t>
  </si>
  <si>
    <t>금상화복건</t>
  </si>
  <si>
    <t>로얄 플레이트 헬름_남성용</t>
  </si>
  <si>
    <t>만샵다르의 쿠드</t>
  </si>
  <si>
    <t>만샵다르의 쿠드_여성용</t>
  </si>
  <si>
    <t>조조의 금관_남성용</t>
  </si>
  <si>
    <t>팰리스 펠트 햇_남성용</t>
  </si>
  <si>
    <t>팰리스 크라운_여성용</t>
  </si>
  <si>
    <t>바르바로사의 터번</t>
  </si>
  <si>
    <t>무흐테솀 터번_남성용</t>
  </si>
  <si>
    <t>로럴 리스</t>
  </si>
  <si>
    <t>워 보닛_남성용</t>
  </si>
  <si>
    <t>시쐬르 카스크_남성용</t>
  </si>
  <si>
    <t>키리바시 헬름_남성용</t>
  </si>
  <si>
    <t>해적 선장의 바이콘_남성용</t>
  </si>
  <si>
    <t>우마 추쿠</t>
  </si>
  <si>
    <t>파비앙 텡콜록_남성용</t>
  </si>
  <si>
    <t>파비앙 텡쿨룩 탄둑_여성용</t>
  </si>
  <si>
    <t>이마지겐족의 알라쇼_남성용</t>
  </si>
  <si>
    <t>파디샤의 터번</t>
  </si>
  <si>
    <t>가루다 톱_남성용</t>
  </si>
  <si>
    <t>옥산진인 법보_남성용</t>
  </si>
  <si>
    <t>야타가라스 일문자립_남성용</t>
  </si>
  <si>
    <t>미다스왕의 크라노스_남성용</t>
  </si>
  <si>
    <t>라바나 무쿼다_남성용</t>
  </si>
  <si>
    <t>살라딘의 터번 카스크_남성용</t>
  </si>
  <si>
    <t>쿠나슨 퀴나온_남성용</t>
  </si>
  <si>
    <t>라마찬드라의 타즈_남성용</t>
  </si>
  <si>
    <t>크라운 오브 레갈리아_남성용</t>
  </si>
  <si>
    <t>제갈건_남성용</t>
  </si>
  <si>
    <t>월영면포_여성용</t>
  </si>
  <si>
    <t>바루나의 타즈_남성용</t>
  </si>
  <si>
    <t>게오르기우스의 헬름_남성용</t>
  </si>
  <si>
    <t>나바카이 헬름_남성용</t>
  </si>
  <si>
    <t>아라미스의 샤포_남성용</t>
  </si>
  <si>
    <t>자비단의 쿨라 쿠드_남성용</t>
  </si>
  <si>
    <t>바쿠나와 무카_남성용</t>
  </si>
  <si>
    <t>포세이돈의 크라운_남성용</t>
  </si>
  <si>
    <t>메두사의 벨로_남성용</t>
  </si>
  <si>
    <t>명조 관모</t>
  </si>
  <si>
    <t>오토미 이츠나코치틀리</t>
  </si>
  <si>
    <t>보육원장의 터번</t>
  </si>
  <si>
    <t>정성공의 투구</t>
  </si>
  <si>
    <t>고귀한 복수자의 두건</t>
  </si>
  <si>
    <t>대해적의 트라이콘</t>
  </si>
  <si>
    <t>신기한 투구 장식</t>
  </si>
  <si>
    <t>검투사의 투구</t>
  </si>
  <si>
    <t>전립</t>
  </si>
  <si>
    <t>롤로의 투구</t>
  </si>
  <si>
    <t>스키피오의 투구</t>
  </si>
  <si>
    <t>신라 금관</t>
  </si>
  <si>
    <t>아스맛족 머리 장식</t>
  </si>
  <si>
    <t>카를대제의 왕관</t>
  </si>
  <si>
    <t>아우렐리아누스의 투구</t>
  </si>
  <si>
    <t>샤르카의 머리 장식</t>
  </si>
  <si>
    <t>다리우스 1세의 투구</t>
  </si>
  <si>
    <t>투그릴베그의 왕관</t>
  </si>
  <si>
    <t>다불</t>
  </si>
  <si>
    <t>차마람</t>
  </si>
  <si>
    <t>침통</t>
  </si>
  <si>
    <t>데스 휘슬</t>
  </si>
  <si>
    <t>알가이타</t>
  </si>
  <si>
    <t>아크라페나</t>
  </si>
  <si>
    <t>브라가풀</t>
  </si>
  <si>
    <t>두라 주머니</t>
  </si>
  <si>
    <t>헤이 마타우</t>
  </si>
  <si>
    <t>나각</t>
  </si>
  <si>
    <t>채배</t>
  </si>
  <si>
    <t>태고</t>
  </si>
  <si>
    <t>베그비시르</t>
  </si>
  <si>
    <t>공</t>
  </si>
  <si>
    <t>등채</t>
  </si>
  <si>
    <t>갈레우스의 황금 뿔피리</t>
  </si>
  <si>
    <t>데어 그로센 분다르츠니</t>
  </si>
  <si>
    <t>우에우에틀</t>
  </si>
  <si>
    <t>아가멤논의 스태프</t>
  </si>
  <si>
    <t>걀라르호른</t>
  </si>
  <si>
    <t>상방검</t>
  </si>
  <si>
    <t>자미 잠</t>
  </si>
  <si>
    <t>가란히르의 햄퍼</t>
  </si>
  <si>
    <t>클라바우터만의 해머</t>
  </si>
  <si>
    <t>아르고스의 프리오니</t>
  </si>
  <si>
    <t>동의보감</t>
  </si>
  <si>
    <t>만파식적</t>
  </si>
  <si>
    <t>드레이크의 드럼</t>
  </si>
  <si>
    <t>마 드 주스티스</t>
  </si>
  <si>
    <t>판차잔야</t>
  </si>
  <si>
    <t>다모클레스의 소드</t>
  </si>
  <si>
    <t>프레스터 존의 메이져</t>
  </si>
  <si>
    <t>이둔의 햄퍼</t>
  </si>
  <si>
    <t>일마리넨의 해머</t>
  </si>
  <si>
    <t>쿠페의 하오</t>
  </si>
  <si>
    <t>제라히예튀르 하니예</t>
  </si>
  <si>
    <t>샨카</t>
  </si>
  <si>
    <t>보타백</t>
  </si>
  <si>
    <t>회중시계</t>
  </si>
  <si>
    <t>호로</t>
  </si>
  <si>
    <t>암포라</t>
  </si>
  <si>
    <t>링 워치</t>
  </si>
  <si>
    <t>크루엣</t>
  </si>
  <si>
    <t>청화백자</t>
  </si>
  <si>
    <t>포맨더 워치</t>
  </si>
  <si>
    <t>마타라</t>
  </si>
  <si>
    <t>알바렐로</t>
  </si>
  <si>
    <t>에스페라 아르밀라</t>
  </si>
  <si>
    <t>자라병</t>
  </si>
  <si>
    <t>코르누코피아</t>
  </si>
  <si>
    <t>크로노미터 H5</t>
  </si>
  <si>
    <t>아샵파트라</t>
  </si>
  <si>
    <t>니시가르쉬</t>
  </si>
  <si>
    <t>루비 반지</t>
  </si>
  <si>
    <t>비취계지</t>
  </si>
  <si>
    <t>셀레니티스 반지</t>
  </si>
  <si>
    <t>줌루트 유주크</t>
  </si>
  <si>
    <t>토르말리 무다</t>
  </si>
  <si>
    <t>진주 반지</t>
  </si>
  <si>
    <t>다이아몬드 반지</t>
  </si>
  <si>
    <t>자수정 반지</t>
  </si>
  <si>
    <t>마노 반지</t>
  </si>
  <si>
    <t>블랙펄 반지</t>
  </si>
  <si>
    <t>토르말린 올벨</t>
  </si>
  <si>
    <t>가닛 팔찌</t>
  </si>
  <si>
    <t>토르말린 팔찌</t>
  </si>
  <si>
    <t>오팔 팔찌</t>
  </si>
  <si>
    <t>진주 목걸이</t>
  </si>
  <si>
    <t>토파즈 팔찌</t>
  </si>
  <si>
    <t>앨먼딘 목걸이</t>
  </si>
  <si>
    <t>빅토리안 브로치</t>
  </si>
  <si>
    <t>포실 오팔</t>
  </si>
  <si>
    <t>인어루</t>
  </si>
  <si>
    <t>임페리얼 토파즈 반지</t>
  </si>
  <si>
    <t>기말 링</t>
  </si>
  <si>
    <t>금모곡옥</t>
  </si>
  <si>
    <t>셀레네의 네클릿</t>
  </si>
  <si>
    <t>골드 코랄 네클릿</t>
  </si>
  <si>
    <t>호수의 여인의 네클릿</t>
  </si>
  <si>
    <t>카벙클 이어링</t>
  </si>
  <si>
    <t>정복자의 에메랄드 링</t>
  </si>
  <si>
    <t>신라 수정 목걸이</t>
  </si>
  <si>
    <t>니벨룽겐의 반지</t>
  </si>
  <si>
    <t>오르파누스</t>
  </si>
  <si>
    <t>클레오파트라의 이어링</t>
  </si>
  <si>
    <t>타르바니에 블루 링</t>
  </si>
  <si>
    <t>디오니소스 브로치</t>
  </si>
  <si>
    <t>케투의 칸 키 발리</t>
  </si>
  <si>
    <t>얀타르니 칼초</t>
  </si>
  <si>
    <t>에로스의 칼피</t>
  </si>
  <si>
    <t>차리나의 아제렐리예</t>
  </si>
  <si>
    <t>퀸 오브 블랙펄</t>
  </si>
  <si>
    <t>수리아의 가호</t>
  </si>
  <si>
    <t>전국옥새</t>
  </si>
  <si>
    <t>아르마의 빛</t>
  </si>
  <si>
    <t>메두사의 피</t>
  </si>
  <si>
    <t>하르모니아의 네클릿</t>
  </si>
  <si>
    <t>키나리스 디아뎀</t>
  </si>
  <si>
    <t>에메랄드 맨</t>
  </si>
  <si>
    <t>참스톤</t>
  </si>
  <si>
    <t>링구리움 이어링</t>
  </si>
  <si>
    <t>보천석</t>
  </si>
  <si>
    <t>앤 불린의 네클릿</t>
  </si>
  <si>
    <t>코이누르</t>
  </si>
  <si>
    <t>솔로몬의 시그넷 링</t>
  </si>
  <si>
    <t>알라 앗 딘의 카아티문</t>
  </si>
  <si>
    <t>브리싱가멘</t>
  </si>
  <si>
    <t>사르마티아의 사도닉스</t>
  </si>
  <si>
    <t>토파즈 스카라베</t>
  </si>
  <si>
    <t>타네 테코테코</t>
  </si>
  <si>
    <t>미스테카의 귀걸이</t>
  </si>
  <si>
    <t>토크</t>
  </si>
  <si>
    <t>신소부 여왕의 귀걸이</t>
  </si>
  <si>
    <t>말린체의 목걸이</t>
  </si>
  <si>
    <t>폴리크라테스의 반지</t>
  </si>
  <si>
    <t>칸슐왕의 팔찌</t>
  </si>
  <si>
    <t>클레오파트라의 가슴 장식</t>
  </si>
  <si>
    <t>솔로몬의 반지</t>
  </si>
  <si>
    <t>리넨 케이프</t>
  </si>
  <si>
    <t>응우옌 케이프</t>
  </si>
  <si>
    <t>짐승가죽 망토</t>
  </si>
  <si>
    <t>청산 망토</t>
  </si>
  <si>
    <t>쓰개치마</t>
  </si>
  <si>
    <t>폰초</t>
  </si>
  <si>
    <t>슈카</t>
  </si>
  <si>
    <t>주바토베 케이프</t>
  </si>
  <si>
    <t>두파타</t>
  </si>
  <si>
    <t>더블 케이프</t>
  </si>
  <si>
    <t>벨벳 케이프</t>
  </si>
  <si>
    <t>싸빠이</t>
  </si>
  <si>
    <t>우직</t>
  </si>
  <si>
    <t>적포</t>
  </si>
  <si>
    <t>두루마기</t>
  </si>
  <si>
    <t>여행자의 폰초</t>
  </si>
  <si>
    <t>족장의 슈카</t>
  </si>
  <si>
    <t>밤하늘</t>
  </si>
  <si>
    <t>파시미나 케이프</t>
  </si>
  <si>
    <t>엠브로이더리 케이프</t>
  </si>
  <si>
    <t>하이드레인지아 케이프</t>
  </si>
  <si>
    <t>꽃무늬 우직</t>
  </si>
  <si>
    <t>촉금</t>
  </si>
  <si>
    <t>장옷</t>
  </si>
  <si>
    <t>정령의 폰초</t>
  </si>
  <si>
    <t>레드 슈카</t>
  </si>
  <si>
    <t>왕가의 망토</t>
  </si>
  <si>
    <t>페이즐리 티펫</t>
  </si>
  <si>
    <t>쿠아우틀리 틸마틀리</t>
  </si>
  <si>
    <t>무흐테솀 펠레린</t>
  </si>
  <si>
    <t>쥬얼리 케이프</t>
  </si>
  <si>
    <t>대해적의 코트</t>
  </si>
  <si>
    <t>복면</t>
  </si>
  <si>
    <t>안대</t>
  </si>
  <si>
    <t>안경</t>
  </si>
  <si>
    <t>요루바 가면</t>
  </si>
  <si>
    <t>고대 이집트 눈화장</t>
  </si>
  <si>
    <t>타 모코</t>
  </si>
  <si>
    <t>고대의 석가면</t>
  </si>
  <si>
    <t>해적의 안대</t>
  </si>
  <si>
    <t>히우테크틀리 가면</t>
  </si>
  <si>
    <t>기린 가면</t>
  </si>
  <si>
    <t>가부키 가면</t>
  </si>
  <si>
    <t>북아메리카 선주민 화장</t>
  </si>
  <si>
    <t>진주 머리장식</t>
  </si>
  <si>
    <t>발명가의 안경</t>
  </si>
  <si>
    <t>화전</t>
  </si>
  <si>
    <t>파이프 담배</t>
  </si>
  <si>
    <t>눈사람 장식</t>
  </si>
  <si>
    <t>소용돌이 사탕</t>
  </si>
  <si>
    <t>선주민 사냥꾼 화장</t>
  </si>
  <si>
    <t>면구</t>
  </si>
  <si>
    <t>역병 의사 가면</t>
  </si>
  <si>
    <t>오페라 가면</t>
  </si>
  <si>
    <t>단안경</t>
  </si>
  <si>
    <t>얼음 가면</t>
  </si>
  <si>
    <t>초승달 머리띠</t>
  </si>
  <si>
    <t>다이아몬드 가면</t>
  </si>
  <si>
    <t>오리 입 장식</t>
  </si>
  <si>
    <t>강시 부적</t>
  </si>
  <si>
    <t>코주부 안경</t>
  </si>
  <si>
    <t>해적의 장미 안대</t>
  </si>
  <si>
    <t>유령의 가면</t>
  </si>
  <si>
    <t>해적의 간식</t>
  </si>
  <si>
    <t>오이 화장</t>
  </si>
  <si>
    <t>맹수 가면</t>
  </si>
  <si>
    <t>월계관</t>
  </si>
  <si>
    <t>심안 화장</t>
  </si>
  <si>
    <t>코스모 가면</t>
  </si>
  <si>
    <t>양반탈</t>
  </si>
  <si>
    <t>카니발 가면</t>
  </si>
  <si>
    <t>가이 포크스 가면</t>
  </si>
  <si>
    <t>하트 여왕의 가면</t>
  </si>
  <si>
    <t>의적의 가면</t>
  </si>
  <si>
    <t>요정의 머리장식</t>
  </si>
  <si>
    <t>호루스의 눈화장</t>
  </si>
  <si>
    <t>티키 가면</t>
  </si>
  <si>
    <t>북청사자탈</t>
  </si>
  <si>
    <t>한냐 가면</t>
  </si>
  <si>
    <t>귀부인의 가면</t>
  </si>
  <si>
    <t>왕의 가면</t>
  </si>
  <si>
    <t>여왕의 가면</t>
  </si>
  <si>
    <t>재규어 전사의 가면</t>
  </si>
  <si>
    <t>아그리피나의 머리 장식</t>
  </si>
  <si>
    <t>요크</t>
  </si>
  <si>
    <t>투탕카멘왕의 황금마스크</t>
  </si>
  <si>
    <t>금 머리 장식</t>
  </si>
  <si>
    <t>냐우의 가면</t>
  </si>
  <si>
    <t>시민관</t>
  </si>
  <si>
    <t>바롱의 가면</t>
  </si>
  <si>
    <t>낡은 스틸레토</t>
  </si>
  <si>
    <t>낡은 휠락 피스톨</t>
  </si>
  <si>
    <t>낡은 워 해머</t>
  </si>
  <si>
    <t>낡은 샴쉬르</t>
  </si>
  <si>
    <t>낡은 야유</t>
  </si>
  <si>
    <t>낡은 츠바이헨더</t>
  </si>
  <si>
    <t>낡은 크로스보우</t>
  </si>
  <si>
    <t>낡은 아세가이</t>
  </si>
  <si>
    <t>낡은 우타</t>
  </si>
  <si>
    <t>낡은 토마호크</t>
  </si>
  <si>
    <t>낡은 워 보우</t>
  </si>
  <si>
    <t>낡은 마쿠아후이틀</t>
  </si>
  <si>
    <t>낡은 차스카 추키</t>
  </si>
  <si>
    <t>낡은 타바르</t>
  </si>
  <si>
    <t>낡은 카만</t>
  </si>
  <si>
    <t>낡은 캄피란</t>
  </si>
  <si>
    <t>낡은 브딜</t>
  </si>
  <si>
    <t>낡은 타도</t>
  </si>
  <si>
    <t>낡은 철포</t>
  </si>
  <si>
    <t>낡은 환도</t>
  </si>
  <si>
    <t>낡은 각궁</t>
  </si>
  <si>
    <t>낡은 장창</t>
  </si>
  <si>
    <t>낡은 강노</t>
  </si>
  <si>
    <t>낡은 에페</t>
  </si>
  <si>
    <t>낡은 커틀라스</t>
  </si>
  <si>
    <t>낡은 모닝스타</t>
  </si>
  <si>
    <t>낡은 단검</t>
  </si>
  <si>
    <t>낡은 배틀 액스</t>
  </si>
  <si>
    <t>낡은 쌍도끼</t>
  </si>
  <si>
    <t>낡은 레이피어</t>
  </si>
  <si>
    <t>낡은 아쿼버스</t>
  </si>
  <si>
    <t>낡은 플린트락 피스톨</t>
  </si>
  <si>
    <t>낡은 테포즈토필리</t>
  </si>
  <si>
    <t>나무 지팡이</t>
  </si>
  <si>
    <t>낡은 튜닉</t>
  </si>
  <si>
    <t>낡은 히르카</t>
  </si>
  <si>
    <t>낡은 브레스트 플레이트</t>
  </si>
  <si>
    <t>낡은 줄루족의 의복_남성용</t>
  </si>
  <si>
    <t>낡은 에나구아_여성용</t>
  </si>
  <si>
    <t>낡은 사냥꾼의 튜닉_남성용</t>
  </si>
  <si>
    <t>낡은 튜닉 드레스_여성용</t>
  </si>
  <si>
    <t>낡은 막스틀라틀_남성용</t>
  </si>
  <si>
    <t>낡은 우이필_여성용</t>
  </si>
  <si>
    <t>낡은 자마_남성용</t>
  </si>
  <si>
    <t>낡은 포샤크_여성용</t>
  </si>
  <si>
    <t>낡은 사롱_남성용</t>
  </si>
  <si>
    <t>낡은 크바야_여성용</t>
  </si>
  <si>
    <t>낡은 법피</t>
  </si>
  <si>
    <t>낡은 학창의_남성용</t>
  </si>
  <si>
    <t>낡은 치마저고리_여성용</t>
  </si>
  <si>
    <t>낡은 찰갑</t>
  </si>
  <si>
    <t>낡은 어대구족</t>
  </si>
  <si>
    <t>낡은 수도복_남성용</t>
  </si>
  <si>
    <t>낡은 수녀복_여성용</t>
  </si>
  <si>
    <t>낡은 가사_남성용</t>
  </si>
  <si>
    <t>낡은 여행복_남성용</t>
  </si>
  <si>
    <t>낡은 가죽 포수복_여성용</t>
  </si>
  <si>
    <t>낡은 선원복_남성용</t>
  </si>
  <si>
    <t>낡은 에이프런 드레스_여성용</t>
  </si>
  <si>
    <t>낡은 터번</t>
  </si>
  <si>
    <t>낡은 마앙 티카_여성용</t>
  </si>
  <si>
    <t>낡은 수녀의 베일_여성용</t>
  </si>
  <si>
    <t>착호갑사복_여성용</t>
  </si>
  <si>
    <t>카르나의 카바치_여성용</t>
  </si>
  <si>
    <t>라마 수카라의 케인_여성용</t>
  </si>
  <si>
    <t>홀리 플레이트 아머_여성용</t>
  </si>
  <si>
    <t>검은 수염의 코트_남성용</t>
  </si>
  <si>
    <t>검은 수염의 코트_여성용</t>
  </si>
  <si>
    <t>금의위복_여성용</t>
  </si>
  <si>
    <t>마르크스의 뤼스퉁_여성용</t>
  </si>
  <si>
    <t>성기사의 갑옷_여성용</t>
  </si>
  <si>
    <t>인드라지트의 카파다_여성용</t>
  </si>
  <si>
    <t>호플로마쿠스의 갑옷_여성용</t>
  </si>
  <si>
    <t>하이레딘의 카프탄_여성용</t>
  </si>
  <si>
    <t>엘 드라케 아머_여성용</t>
  </si>
  <si>
    <t>보야르의 브라냐_여성용</t>
  </si>
  <si>
    <t>나타라자의 카파다_여성용</t>
  </si>
  <si>
    <t>아하디스의 카바치_여성용</t>
  </si>
  <si>
    <t>우이칠린_여성용</t>
  </si>
  <si>
    <t>페르디난트 2세의 아머_여성용</t>
  </si>
  <si>
    <t>제육천마왕개_여성용</t>
  </si>
  <si>
    <t>바쥬 라미나_여성용</t>
  </si>
  <si>
    <t>라지푸트 카파다_여성용</t>
  </si>
  <si>
    <t>롤랑의 아르뮈르_여성용</t>
  </si>
  <si>
    <t>임페리얼 아머_여성용</t>
  </si>
  <si>
    <t>모드레드의 아머_여성용</t>
  </si>
  <si>
    <t>위가르_여성용</t>
  </si>
  <si>
    <t>어우락 꾸언 아오_여성용</t>
  </si>
  <si>
    <t>쿠 훌린의 아머_여성용</t>
  </si>
  <si>
    <t>네로 디아볼로_여성용</t>
  </si>
  <si>
    <t>야른삭사의 아머_여성용</t>
  </si>
  <si>
    <t>융복 개갑_여성용</t>
  </si>
  <si>
    <t>검호의 진우직_여성용</t>
  </si>
  <si>
    <t>콘도티에로의 아르마투라_여성용</t>
  </si>
  <si>
    <t>참회왕의 로브_여성용</t>
  </si>
  <si>
    <t>베이릭의 히르카_여성용</t>
  </si>
  <si>
    <t>후사르 돌먼_여성용</t>
  </si>
  <si>
    <t>내금위장의 융복_여성용</t>
  </si>
  <si>
    <t>아킬레우스의 갑옷_여성용</t>
  </si>
  <si>
    <t>신기영장_여성용</t>
  </si>
  <si>
    <t>틀링기트 아머_여성용</t>
  </si>
  <si>
    <t>노블레스 아머_여성용</t>
  </si>
  <si>
    <t>타키티무 아머_여성용</t>
  </si>
  <si>
    <t>느치엔게의 능고_여성용</t>
  </si>
  <si>
    <t>비장군의 위복_여성용</t>
  </si>
  <si>
    <t>로빈 후드의 튜닉_여성용</t>
  </si>
  <si>
    <t>오군의 이하모라_여성용</t>
  </si>
  <si>
    <t>닌귀시지다의 로브_여성용</t>
  </si>
  <si>
    <t>레오나르도의 아머_여성용</t>
  </si>
  <si>
    <t>라술룰라 주바_여성용</t>
  </si>
  <si>
    <t>두석린갑1_여성용</t>
  </si>
  <si>
    <t>마레샬 베스트_여성용</t>
  </si>
  <si>
    <t>니자므 제디드의 자마_여성용</t>
  </si>
  <si>
    <t>대월 황제의 용포_여성용</t>
  </si>
  <si>
    <t>데르비쇼 바가라 아머_여성용</t>
  </si>
  <si>
    <t>드라군 아머_여성용</t>
  </si>
  <si>
    <t>카라키아 타투아 코타라_여성용</t>
  </si>
  <si>
    <t>인티 야콜라_여성용</t>
  </si>
  <si>
    <t>비라코챠의 아머_여성용</t>
  </si>
  <si>
    <t>파라오의 아머_여성용</t>
  </si>
  <si>
    <t>군신의 갑옷_여성용</t>
  </si>
  <si>
    <t>팔괘자수선의_여성용</t>
  </si>
  <si>
    <t>에인헤리 아머_여성용</t>
  </si>
  <si>
    <t>예모자의 이하모라_여성용</t>
  </si>
  <si>
    <t>히르카이 세리프_여성용</t>
  </si>
  <si>
    <t>욤스바이킹 아머_여성용</t>
  </si>
  <si>
    <t>엘레멘탈 로브_여성용</t>
  </si>
  <si>
    <t>금상화호복_여성용</t>
  </si>
  <si>
    <t>로얄 플레이트 아머_여성용</t>
  </si>
  <si>
    <t>황금산문갑_여성용</t>
  </si>
  <si>
    <t>바르바로사의 히르카_여성용</t>
  </si>
  <si>
    <t>무흐테솀 체베_여성용</t>
  </si>
  <si>
    <t>리노토락스_여성용</t>
  </si>
  <si>
    <t>파우와 튜닉_여성용</t>
  </si>
  <si>
    <t>사쐬르 아르뮈르_여성용</t>
  </si>
  <si>
    <t>무법자의 코트_여성용</t>
  </si>
  <si>
    <t>이마지겐족의 질라바_여성용</t>
  </si>
  <si>
    <t>가루다 카바치_여성용</t>
  </si>
  <si>
    <t>옥산진인 보의_여성용</t>
  </si>
  <si>
    <t>팔지오 낭인복_여성용</t>
  </si>
  <si>
    <t>미다스의 파노피아_여성용</t>
  </si>
  <si>
    <t>라바나의 카바치_여성용</t>
  </si>
  <si>
    <t>살라딘의 즈르흐_여성용</t>
  </si>
  <si>
    <t>쿠나슨 파투그_여성용</t>
  </si>
  <si>
    <t>라마찬드라의 카바치_여성용</t>
  </si>
  <si>
    <t>아머 오브 레갈리아_여성용</t>
  </si>
  <si>
    <t>바루나의 카파다_여성용</t>
  </si>
  <si>
    <t>게오르기우스의 아머_여성용</t>
  </si>
  <si>
    <t>나바카이의 아머_여성용</t>
  </si>
  <si>
    <t>자비단의 제레_여성용</t>
  </si>
  <si>
    <t>바쿠나와 뗄라_여성용</t>
  </si>
  <si>
    <t>포세이돈의 아머_여성용</t>
  </si>
  <si>
    <t>망령 제독의 트라이콘_여성용</t>
  </si>
  <si>
    <t>갑사죽립_여성용</t>
  </si>
  <si>
    <t>카르나의 쉬르스트란_여성용</t>
  </si>
  <si>
    <t>베어스킨_여성용</t>
  </si>
  <si>
    <t>몬테라_여성용</t>
  </si>
  <si>
    <t>라마 수카라의 토미_여성용</t>
  </si>
  <si>
    <t>홀리 플레이트 헬름_여성용</t>
  </si>
  <si>
    <t>검은 수염의 트라이콘_여성용</t>
  </si>
  <si>
    <t>금의사모_여성용</t>
  </si>
  <si>
    <t>마르크스브뤼더의 후트_여성용</t>
  </si>
  <si>
    <t>성기사의 투구_여성용</t>
  </si>
  <si>
    <t>인드라지트의 반다나_여성용</t>
  </si>
  <si>
    <t>레타리우스의 헬름_여성용</t>
  </si>
  <si>
    <t>하이레딘의 카바치_여성용</t>
  </si>
  <si>
    <t>엘 드라케 헬름_여성용</t>
  </si>
  <si>
    <t>보야르의 실렘_여성용</t>
  </si>
  <si>
    <t>나타라자의 만달라_여성용</t>
  </si>
  <si>
    <t>아하디스의 쉬르스트란_여성용</t>
  </si>
  <si>
    <t>우이칠린 콰칼라래틀리_여성용</t>
  </si>
  <si>
    <t>페르디난트 2세의 아멧_여성용</t>
  </si>
  <si>
    <t>제육천마왕두_여성용</t>
  </si>
  <si>
    <t>토피 바자_여성용</t>
  </si>
  <si>
    <t>벨레스의 디아데마_여성용</t>
  </si>
  <si>
    <t>라지푸트 파그리_여성용</t>
  </si>
  <si>
    <t>롤랑의 카스크_여성용</t>
  </si>
  <si>
    <t>임페리얼 헬름_여성용</t>
  </si>
  <si>
    <t>모드레드의 헬름_여성용</t>
  </si>
  <si>
    <t>골든 드래곤 헬름_여성용</t>
  </si>
  <si>
    <t>어우락 몽꾹_여성용</t>
  </si>
  <si>
    <t>쿠 훌린의 헬름_여성용</t>
  </si>
  <si>
    <t>코르노 델디아볼로_여성용</t>
  </si>
  <si>
    <t>네메안 라이언_여성용</t>
  </si>
  <si>
    <t>야른삭사의 헬름_여성용</t>
  </si>
  <si>
    <t>융복복건_여성용</t>
  </si>
  <si>
    <t>검호의 심편립_여성용</t>
  </si>
  <si>
    <t>콘도티에로의 엘모_여성용</t>
  </si>
  <si>
    <t>참회왕의 크라운_여성용</t>
  </si>
  <si>
    <t>베이릭의 보크_여성용</t>
  </si>
  <si>
    <t>후사르의 샤코_여성용</t>
  </si>
  <si>
    <t>바니르 서클릿_여성용</t>
  </si>
  <si>
    <t>내금위장의 주립_여성용</t>
  </si>
  <si>
    <t>아킬레우스의 투구_여성용</t>
  </si>
  <si>
    <t>신기영철모_여성용</t>
  </si>
  <si>
    <t>틀링기트 헬름_여성용</t>
  </si>
  <si>
    <t>난발두_여성용</t>
  </si>
  <si>
    <t>노블레스 헬름_여성용</t>
  </si>
  <si>
    <t>타키티무 마스크_여성용</t>
  </si>
  <si>
    <t>봉황문두무_여성용</t>
  </si>
  <si>
    <t>음봄보의 선물_여성용</t>
  </si>
  <si>
    <t>비장군의 결건_여성용</t>
  </si>
  <si>
    <t>오군의 이보리_여성용</t>
  </si>
  <si>
    <t>아시리아 미트라_여성용</t>
  </si>
  <si>
    <t>레오나르도의 헬름_여성용</t>
  </si>
  <si>
    <t>라술룰라의 터번_여성용</t>
  </si>
  <si>
    <t>용봉문투구_여성용</t>
  </si>
  <si>
    <t>마레샬의 바이콘_여성용</t>
  </si>
  <si>
    <t>니자므 제디드의 터번_여성용</t>
  </si>
  <si>
    <t>대월 황제의 익선관_여성용</t>
  </si>
  <si>
    <t>데르비쇼 바가라 쿠우다_여성용</t>
  </si>
  <si>
    <t>드라군 헬멧_여성용</t>
  </si>
  <si>
    <t>카라키아 포타에_여성용</t>
  </si>
  <si>
    <t>인티 라우투_여성용</t>
  </si>
  <si>
    <t>비라코챠의 추쿠_여성용</t>
  </si>
  <si>
    <t>투탕카멘의 마스크_여성용</t>
  </si>
  <si>
    <t>데가나위다의 구스토웨_여성용</t>
  </si>
  <si>
    <t>군신두무_여성용</t>
  </si>
  <si>
    <t>팔괘자수선건_여성용</t>
  </si>
  <si>
    <t>예모자의 이데리_여성용</t>
  </si>
  <si>
    <t>시아 터번_여성용</t>
  </si>
  <si>
    <t>로빈 후드의 바이코켓_여성용</t>
  </si>
  <si>
    <t>욤스바이킹 헬름_여성용</t>
  </si>
  <si>
    <t>엘리멘탈 후드_여성용</t>
  </si>
  <si>
    <t>금상화복건_여성용</t>
  </si>
  <si>
    <t>로얄 플레이트 헬름_여성용</t>
  </si>
  <si>
    <t>조조의 금관_여성용</t>
  </si>
  <si>
    <t>바르바로사의 터번_여성용</t>
  </si>
  <si>
    <t>무흐테솀 터번_여성용</t>
  </si>
  <si>
    <t>로럴 리스_여성용</t>
  </si>
  <si>
    <t>워 보닛_여성용</t>
  </si>
  <si>
    <t>시쐬르 카스크_여성용</t>
  </si>
  <si>
    <t>키리바시 헬름_여성용</t>
  </si>
  <si>
    <t>해적 선장의 바이콘_여성용</t>
  </si>
  <si>
    <t>우마 추쿠_여성용</t>
  </si>
  <si>
    <t>이마지겐족의 알라쇼_여성용</t>
  </si>
  <si>
    <t>파디샤의 터번_여성용</t>
  </si>
  <si>
    <t>가루다 톱_여성용</t>
  </si>
  <si>
    <t>옥산진인 법보_여성용</t>
  </si>
  <si>
    <t>야타가라스 일문자립_여성용</t>
  </si>
  <si>
    <t>미다스왕의 크라노스_여성용</t>
  </si>
  <si>
    <t>라바나 무쿼다_여성용</t>
  </si>
  <si>
    <t>살라딘의 터번 카스크_여성용</t>
  </si>
  <si>
    <t>쿠나슨 퀴나온_여성용</t>
  </si>
  <si>
    <t>라마찬드라의 타즈_여성용</t>
  </si>
  <si>
    <t>크라운 오브 레갈리아_여성용</t>
  </si>
  <si>
    <t>바루나의 타즈_여성용</t>
  </si>
  <si>
    <t>게오르기우스의 헬름_여성용</t>
  </si>
  <si>
    <t>나바카이 헬름_여성용</t>
  </si>
  <si>
    <t>아라미스의 샤포_여성용</t>
  </si>
  <si>
    <t>자비단의 쿨라 쿠드_여성용</t>
  </si>
  <si>
    <t>바쿠나와 무카_여성용</t>
  </si>
  <si>
    <t>포세이돈의 크라운_여성용</t>
  </si>
  <si>
    <t>메두사의 벨로_여성용</t>
  </si>
  <si>
    <t>왕수신의 모자</t>
  </si>
  <si>
    <t>#조안의 류트_공용</t>
  </si>
  <si>
    <t>긴낫</t>
  </si>
  <si>
    <t>보온 도구</t>
  </si>
  <si>
    <t>세안약</t>
  </si>
  <si>
    <t>톱</t>
  </si>
  <si>
    <t>소화 세사</t>
  </si>
  <si>
    <t>협상 문서</t>
  </si>
  <si>
    <t>초선</t>
  </si>
  <si>
    <t>산삼</t>
  </si>
  <si>
    <t>중급 공구</t>
  </si>
  <si>
    <t>명품 공구</t>
  </si>
  <si>
    <t>중급 구급함</t>
  </si>
  <si>
    <t>고급 구급함</t>
  </si>
  <si>
    <t>명품 구급함</t>
  </si>
  <si>
    <t>해독제</t>
  </si>
  <si>
    <t>뿔 나팔</t>
  </si>
  <si>
    <t>낡은 편지</t>
  </si>
  <si>
    <t>알려지지 않은 편지</t>
  </si>
  <si>
    <t>애호가 협회 전단지</t>
  </si>
  <si>
    <t>이름 모를 편지</t>
  </si>
  <si>
    <t>현상 수배 지령</t>
  </si>
  <si>
    <t>벵겔라로부터 온 편지</t>
  </si>
  <si>
    <t>요리사의 편지</t>
  </si>
  <si>
    <t>리차드의 편지</t>
  </si>
  <si>
    <t>리차드의 두 번째 편지</t>
  </si>
  <si>
    <t>리차드의 세 번째 편지</t>
  </si>
  <si>
    <t>리차드의 네 번째 편지</t>
  </si>
  <si>
    <t>개봉된 편지</t>
  </si>
  <si>
    <t>경주 증명서 1번</t>
  </si>
  <si>
    <t>경주 증명서 2번</t>
  </si>
  <si>
    <t>경주 증명서 3번</t>
  </si>
  <si>
    <t>경주 증명서 4번</t>
  </si>
  <si>
    <t>반납할 책</t>
  </si>
  <si>
    <t>대여한 책</t>
  </si>
  <si>
    <t>푸르나마가 받은 보자기</t>
  </si>
  <si>
    <t>수라바야의 부적</t>
  </si>
  <si>
    <t>서안의 증표</t>
  </si>
  <si>
    <t>중경의 증표</t>
  </si>
  <si>
    <t>엘레느가 준 포도주</t>
  </si>
  <si>
    <t>행운의 고양이</t>
  </si>
  <si>
    <t>에밀리아노의 편지</t>
  </si>
  <si>
    <t>타마야가 준 편지</t>
  </si>
  <si>
    <t>라디아에게 받은 달걀</t>
  </si>
  <si>
    <t>폰타델가다의 타임</t>
  </si>
  <si>
    <t>아르김의 커피</t>
  </si>
  <si>
    <t>에든버러의 양</t>
  </si>
  <si>
    <t>매력의 반지</t>
  </si>
  <si>
    <t>은비녀</t>
  </si>
  <si>
    <t>거래 장부</t>
  </si>
  <si>
    <t>말린 대추야자</t>
  </si>
  <si>
    <t>여자 옷</t>
  </si>
  <si>
    <t>초심자용 에페</t>
  </si>
  <si>
    <t>캘리코 잭 문장 그림</t>
  </si>
  <si>
    <t>제주 상단의 신용장</t>
  </si>
  <si>
    <t>백자 다완</t>
  </si>
  <si>
    <t>보물지도 조각 1</t>
  </si>
  <si>
    <t>보물지도 조각 2</t>
  </si>
  <si>
    <t>보물지도</t>
  </si>
  <si>
    <t>보물창고 열쇠</t>
  </si>
  <si>
    <t>깨진 유리세공</t>
  </si>
  <si>
    <t>미화의 장신구</t>
  </si>
  <si>
    <t>베네치아산 목재</t>
  </si>
  <si>
    <t>반쪽짜리 지도</t>
  </si>
  <si>
    <t>허브 향초</t>
  </si>
  <si>
    <t>미심쩍은 툼바가</t>
  </si>
  <si>
    <t>정체 모를 쇠구슬</t>
  </si>
  <si>
    <t>리리안의 귀걸이</t>
  </si>
  <si>
    <t>리리안의 반지</t>
  </si>
  <si>
    <t>리리안의 목걸이</t>
  </si>
  <si>
    <t>에스파냐의 기밀 칙명</t>
  </si>
  <si>
    <t>런던의 수상한 쪽지</t>
  </si>
  <si>
    <t>필럼의 기밀문서</t>
  </si>
  <si>
    <t>최상품 은방울꽃</t>
  </si>
  <si>
    <t>행운의 라벤더</t>
  </si>
  <si>
    <t>귀중한 호박</t>
  </si>
  <si>
    <t>켈레벡의 화석</t>
  </si>
  <si>
    <t>배달용 올리브</t>
  </si>
  <si>
    <t>배달용 피클</t>
  </si>
  <si>
    <t>배달용 인쇄물</t>
  </si>
  <si>
    <t>지아나에게 줄 조젯</t>
  </si>
  <si>
    <t>지아나에게 줄 니시진오리</t>
  </si>
  <si>
    <t>엘리프의 편지</t>
  </si>
  <si>
    <t>제바히르의 편지</t>
  </si>
  <si>
    <t>상자 속의 기록</t>
  </si>
  <si>
    <t>낡은 항해일지</t>
  </si>
  <si>
    <t>유적의 항해일지</t>
  </si>
  <si>
    <t>가은정의 편지</t>
  </si>
  <si>
    <t>즈쓰후아의 술</t>
  </si>
  <si>
    <t>교역용 두루마리</t>
  </si>
  <si>
    <t>단서가 적힌 두루마리</t>
  </si>
  <si>
    <t>항해 증명서</t>
  </si>
  <si>
    <t>네이블 총독의 서신</t>
  </si>
  <si>
    <t>발라번 2세의 검</t>
  </si>
  <si>
    <t>돌로리스가 쓴 동화</t>
  </si>
  <si>
    <t>독서모임 초대장</t>
  </si>
  <si>
    <t>비밀 암호문</t>
  </si>
  <si>
    <t>아난드의 목걸이</t>
  </si>
  <si>
    <t>핀자라의 전설</t>
  </si>
  <si>
    <t>호바톤의 전설</t>
  </si>
  <si>
    <t>주문제작 오팔 반지</t>
  </si>
  <si>
    <t>총병관의 서신</t>
  </si>
  <si>
    <t>선물용 용정차</t>
  </si>
  <si>
    <t>나오미의 그림</t>
  </si>
  <si>
    <t>페구산 목재</t>
  </si>
  <si>
    <t>버려진 융단</t>
  </si>
  <si>
    <t>최고급 원단</t>
  </si>
  <si>
    <t>고급 원단</t>
  </si>
  <si>
    <t>중급 원단</t>
  </si>
  <si>
    <t>하급 원단</t>
  </si>
  <si>
    <t>최상급 염색약</t>
  </si>
  <si>
    <t>상급 염색약</t>
  </si>
  <si>
    <t>중급 염색약</t>
  </si>
  <si>
    <t>하급 염색약</t>
  </si>
  <si>
    <t>해바라기색 염료</t>
  </si>
  <si>
    <t>공작석색 염료</t>
  </si>
  <si>
    <t>감색 염료</t>
  </si>
  <si>
    <t>짙은 보라색 염료</t>
  </si>
  <si>
    <t>등적색 염료</t>
  </si>
  <si>
    <t>짙은 하늘색 염료</t>
  </si>
  <si>
    <t>진한 분홍색 염료</t>
  </si>
  <si>
    <t>암적색 염료</t>
  </si>
  <si>
    <t>암회색 염료</t>
  </si>
  <si>
    <t>검은색 염료</t>
  </si>
  <si>
    <t>나무색 염료</t>
  </si>
  <si>
    <t>흰 연기색 염료</t>
  </si>
  <si>
    <t>박하잎 염료</t>
  </si>
  <si>
    <t>레몬색 염료</t>
  </si>
  <si>
    <t>호박색 염료</t>
  </si>
  <si>
    <t>사막 색 염료</t>
  </si>
  <si>
    <t>보라색 염료</t>
  </si>
  <si>
    <t>오렌지색 염료</t>
  </si>
  <si>
    <t>불색 염료</t>
  </si>
  <si>
    <t>회색 염료</t>
  </si>
  <si>
    <t>붉은 오렌지색 염료</t>
  </si>
  <si>
    <t>복숭아색 염료</t>
  </si>
  <si>
    <t>연보라색 염료</t>
  </si>
  <si>
    <t>담자색 염료</t>
  </si>
  <si>
    <t>초콜릿색 염료</t>
  </si>
  <si>
    <t>녹차색 염료</t>
  </si>
  <si>
    <t>청옥색 염료</t>
  </si>
  <si>
    <t>노른자색 염료</t>
  </si>
  <si>
    <t>짙은 회색 염료</t>
  </si>
  <si>
    <t>연어색 염료</t>
  </si>
  <si>
    <t>에메랄드색 염료</t>
  </si>
  <si>
    <t>카민 색 염료</t>
  </si>
  <si>
    <t>탁한 감색 염료</t>
  </si>
  <si>
    <t>밝은 회색 염료</t>
  </si>
  <si>
    <t>금색 염료</t>
  </si>
  <si>
    <t>황녹색 염료</t>
  </si>
  <si>
    <t>너도밤나무 잎색 염료</t>
  </si>
  <si>
    <t>어두운 장미색 염료</t>
  </si>
  <si>
    <t>탁한 청색 염료</t>
  </si>
  <si>
    <t>짙은 암청색 염료</t>
  </si>
  <si>
    <t>가을의 금문장 도안</t>
  </si>
  <si>
    <t>겨울의 금문장 도안</t>
  </si>
  <si>
    <t>봄의 금문장 도안</t>
  </si>
  <si>
    <t>여름의 금문장 도안</t>
  </si>
  <si>
    <t>대해적 문장 도안</t>
  </si>
  <si>
    <t>가을의 은문장 도안</t>
  </si>
  <si>
    <t>겨울의 은문장 도안</t>
  </si>
  <si>
    <t>봄의 은문장 도안</t>
  </si>
  <si>
    <t>여름의 은문장 도안</t>
  </si>
  <si>
    <t>가네샤 문장 도안</t>
  </si>
  <si>
    <t>가루다 문장 도안</t>
  </si>
  <si>
    <t>보야쥬 문장 도안</t>
  </si>
  <si>
    <t>해적 문장 도안</t>
  </si>
  <si>
    <t>고래 문장 도안</t>
  </si>
  <si>
    <t>바이킹 문장 도안</t>
  </si>
  <si>
    <t>그리폰 문장 도안</t>
  </si>
  <si>
    <t>나스카 문장 도안</t>
  </si>
  <si>
    <t>드래곤 문장 도안</t>
  </si>
  <si>
    <t>라의 눈 문장 도안</t>
  </si>
  <si>
    <t>쌍두독수리 문장 도안</t>
  </si>
  <si>
    <t>메두사 문장 도안</t>
  </si>
  <si>
    <t>모아이 문장 도안</t>
  </si>
  <si>
    <t>사자 문장 도안</t>
  </si>
  <si>
    <t>샐러맨더 문장 도안</t>
  </si>
  <si>
    <t>성마르코 사자 문장 도안</t>
  </si>
  <si>
    <t>소녀 문장 도안</t>
  </si>
  <si>
    <t>앤버잭 문장 도안</t>
  </si>
  <si>
    <t>야수 문장 도안</t>
  </si>
  <si>
    <t>용 문장 도안</t>
  </si>
  <si>
    <t>용사냥의 문장 도안</t>
  </si>
  <si>
    <t>유니콘 문장 도안</t>
  </si>
  <si>
    <t>유인원 문장 도안</t>
  </si>
  <si>
    <t>제독 문장 도안</t>
  </si>
  <si>
    <t>케살코아틀 문장 도안</t>
  </si>
  <si>
    <t>페어리 문장 도안</t>
  </si>
  <si>
    <t>펭귄 문장 도안</t>
  </si>
  <si>
    <t>폭스 문장 도안</t>
  </si>
  <si>
    <t>피닉스 문장 도안</t>
  </si>
  <si>
    <t>해룡 문장 도안</t>
  </si>
  <si>
    <t>호랑이 문장 도안</t>
  </si>
  <si>
    <t>화염방패 문장 도안</t>
  </si>
  <si>
    <t>거미 문장 도안</t>
  </si>
  <si>
    <t>나비 문장 도안</t>
  </si>
  <si>
    <t>스콜피온 문장 도안</t>
  </si>
  <si>
    <t>크로스소드 문장 도안</t>
  </si>
  <si>
    <t>다이아몬드 문장 도안</t>
  </si>
  <si>
    <t>델핀 문장 도안</t>
  </si>
  <si>
    <t>바다뱀 문장 도안</t>
  </si>
  <si>
    <t>백합 문장 도안</t>
  </si>
  <si>
    <t>성요한 기사단 문장 도안</t>
  </si>
  <si>
    <t>스페이드 문장 도안</t>
  </si>
  <si>
    <t>써클크로스 문장 도안</t>
  </si>
  <si>
    <t>앵커 문장 도안</t>
  </si>
  <si>
    <t>어부 문장 도안</t>
  </si>
  <si>
    <t>일광 문장 도안</t>
  </si>
  <si>
    <t>장미 문장 도안</t>
  </si>
  <si>
    <t>조개 문장 도안</t>
  </si>
  <si>
    <t>캥거루 문장 도안</t>
  </si>
  <si>
    <t>크로스 문장 도안</t>
  </si>
  <si>
    <t>클로버 문장 도안</t>
  </si>
  <si>
    <t>태양 문장 도안</t>
  </si>
  <si>
    <t>트라이덴트 문장 도안</t>
  </si>
  <si>
    <t>페가수스 문장 도안</t>
  </si>
  <si>
    <t>하트 문장 도안</t>
  </si>
  <si>
    <t>헬름 문장 도안</t>
  </si>
  <si>
    <t>호박벌 문장 도안</t>
  </si>
  <si>
    <t>기사 문장 도안</t>
  </si>
  <si>
    <t>네덜란드 문장 도안</t>
  </si>
  <si>
    <t>미들튼 가문의 문장 도안</t>
  </si>
  <si>
    <t>바다 여단 문장 도안</t>
  </si>
  <si>
    <t>발바리아 해적 문장 도안</t>
  </si>
  <si>
    <t>베네치아 문장 도안</t>
  </si>
  <si>
    <t>베르니에 자작가 문장 도안</t>
  </si>
  <si>
    <t>살미엔트 길드 문장 도안</t>
  </si>
  <si>
    <t>에스파니아 문장 도안</t>
  </si>
  <si>
    <t>여인 문장 도안</t>
  </si>
  <si>
    <t>오스만 투르크 문장 도안</t>
  </si>
  <si>
    <t>장식 문장 도안</t>
  </si>
  <si>
    <t>탈출 문장 도안</t>
  </si>
  <si>
    <t>포르투갈 문장 도안</t>
  </si>
  <si>
    <t>프랑스 문장 도안</t>
  </si>
  <si>
    <t>흑고래 용병함대 문장 도안</t>
  </si>
  <si>
    <t>학문양 문장 도안</t>
  </si>
  <si>
    <t>잉어 문장 도안</t>
  </si>
  <si>
    <t>청룡 문장 도안</t>
  </si>
  <si>
    <t>현무 문장 도안</t>
  </si>
  <si>
    <t>백호 문장 도안</t>
  </si>
  <si>
    <t>주작 문장 도안</t>
  </si>
  <si>
    <t>도깨비 문장 도안</t>
  </si>
  <si>
    <t>태극 문장 도안</t>
  </si>
  <si>
    <t>모란 문장 도안</t>
  </si>
  <si>
    <t>벚꽃 문장 도안</t>
  </si>
  <si>
    <t>연꽃 문장 도안</t>
  </si>
  <si>
    <t>국화 문장 도안</t>
  </si>
  <si>
    <t>매화 문장 도안</t>
  </si>
  <si>
    <t>복 문장 도안</t>
  </si>
  <si>
    <t>구름 문장 도안</t>
  </si>
  <si>
    <t>기린 문장 도안</t>
  </si>
  <si>
    <t>해태 문장 도안</t>
  </si>
  <si>
    <t>대나무 문장 도안</t>
  </si>
  <si>
    <t>창틀 문장 도안</t>
  </si>
  <si>
    <t>복숭아 문장 도안</t>
  </si>
  <si>
    <t>캘리코 잭 도안</t>
  </si>
  <si>
    <t>대항해시대 오리진 도안</t>
  </si>
  <si>
    <t>한줄 가로무늬 도안</t>
  </si>
  <si>
    <t>한줄 세로무늬 도안</t>
  </si>
  <si>
    <t>한줄 사선무늬 도안</t>
  </si>
  <si>
    <t>가로 톱니 무늬 도안</t>
  </si>
  <si>
    <t>세로 톱니 무늬 도안</t>
  </si>
  <si>
    <t>두줄 세로 무늬 도안</t>
  </si>
  <si>
    <t>두줄 가로 무늬 도안</t>
  </si>
  <si>
    <t>한줄 물결 무늬 도안</t>
  </si>
  <si>
    <t>세로 스트라이프 도안</t>
  </si>
  <si>
    <t>가로 스트라이프 도안</t>
  </si>
  <si>
    <t>두줄 사선 무늬 도안</t>
  </si>
  <si>
    <t>큰 마름모 무늬 도안</t>
  </si>
  <si>
    <t>작은 마름모 무늬 도안</t>
  </si>
  <si>
    <t>V 자 무늬 도안</t>
  </si>
  <si>
    <t>격자 무늬 도안</t>
  </si>
  <si>
    <t>풍차 무늬 도안</t>
  </si>
  <si>
    <t>큰 사각 무늬 도안</t>
  </si>
  <si>
    <t>큰 방울 무늬 도안</t>
  </si>
  <si>
    <t>삼각 무늬 도안</t>
  </si>
  <si>
    <t>계단 무늬 도안</t>
  </si>
  <si>
    <t>세로 물결 무늬 도안</t>
  </si>
  <si>
    <t>가로 물결 무늬 도안</t>
  </si>
  <si>
    <t>작은 방울 무늬 도안</t>
  </si>
  <si>
    <t>빛 모양 무늬 도안</t>
  </si>
  <si>
    <t>체크 무늬 도안</t>
  </si>
  <si>
    <t>삼각형 무늬 도안</t>
  </si>
  <si>
    <t>마름모 무늬 도안</t>
  </si>
  <si>
    <t>벽돌 무늬 도안</t>
  </si>
  <si>
    <t>구불구불 무늬 도안</t>
  </si>
  <si>
    <t>물결 무늬 도안</t>
  </si>
  <si>
    <t>사각 무늬 도안</t>
  </si>
  <si>
    <t>체스판 무늬 도안</t>
  </si>
  <si>
    <t>십자 무늬 도안</t>
  </si>
  <si>
    <t>원 무늬 도안</t>
  </si>
  <si>
    <t>비늘 무늬 도안</t>
  </si>
  <si>
    <t>육각 무늬 도안</t>
  </si>
  <si>
    <t>사각 마름모 무늬 도안</t>
  </si>
  <si>
    <t>제비꽃 무늬 도안</t>
  </si>
  <si>
    <t>혼돈 무늬 도안</t>
  </si>
  <si>
    <t>백합 무늬 도안</t>
  </si>
  <si>
    <t>점 무늬 도안</t>
  </si>
  <si>
    <t>달 무늬 도안</t>
  </si>
  <si>
    <t>얼룩 무늬 도안</t>
  </si>
  <si>
    <t>모래알 무늬 도안</t>
  </si>
  <si>
    <t>별 무늬 도안</t>
  </si>
  <si>
    <t>블록 무늬 도안</t>
  </si>
  <si>
    <t>데칼코마니 무늬 도안</t>
  </si>
  <si>
    <t>나비 무늬 도안</t>
  </si>
  <si>
    <t>장미 무늬 도안</t>
  </si>
  <si>
    <t>특수 무늬 도안</t>
  </si>
  <si>
    <t>동양풍 무늬 도안</t>
  </si>
  <si>
    <t>장비함 확장서</t>
  </si>
  <si>
    <t>도구함 확장서</t>
  </si>
  <si>
    <t>부품함 확장서</t>
  </si>
  <si>
    <t>예인선 계약서</t>
  </si>
  <si>
    <t>선거 계약서</t>
  </si>
  <si>
    <t>C등급 공용 도면</t>
  </si>
  <si>
    <t>B등급 공용 도면</t>
  </si>
  <si>
    <t>A등급 공용 도면</t>
  </si>
  <si>
    <t>S등급 공용 도면</t>
  </si>
  <si>
    <t>건조 계약서</t>
  </si>
  <si>
    <t>C등급 특수 도면</t>
  </si>
  <si>
    <t>B등급 특수 도면</t>
  </si>
  <si>
    <t>A등급 특수 도면</t>
  </si>
  <si>
    <t>S등급 특수 도면</t>
  </si>
  <si>
    <t>초대형 발주서</t>
  </si>
  <si>
    <t>예비 노</t>
  </si>
  <si>
    <t>종 도면</t>
  </si>
  <si>
    <t>대효선 도면</t>
  </si>
  <si>
    <t>용주 도면</t>
  </si>
  <si>
    <t>정크 스쿠너 도면</t>
  </si>
  <si>
    <t>조안 페레로 계약서</t>
  </si>
  <si>
    <t>카탈리나 에란초 계약서</t>
  </si>
  <si>
    <t>알 베자스 계약서</t>
  </si>
  <si>
    <t>옷토 스피노라 계약서</t>
  </si>
  <si>
    <t>에르네스트 로페스 계약서</t>
  </si>
  <si>
    <t>피에트로 콘티 계약서</t>
  </si>
  <si>
    <t>밀란다 베르테 계약서</t>
  </si>
  <si>
    <t>살바도르 레이스 계약서</t>
  </si>
  <si>
    <t>레온 페레로 계약서</t>
  </si>
  <si>
    <t>정화 계약서</t>
  </si>
  <si>
    <t>척계광 계약서</t>
  </si>
  <si>
    <t>그레이스 오말리 계약서</t>
  </si>
  <si>
    <t>정성공 계약서</t>
  </si>
  <si>
    <t>김만덕 계약서</t>
  </si>
  <si>
    <t>홍길동 계약서</t>
  </si>
  <si>
    <t>이순신 계약서</t>
  </si>
  <si>
    <t>다테 마사무네 계약서</t>
  </si>
  <si>
    <t>이마이 사키 계약서</t>
  </si>
  <si>
    <t>누이 호쿠 계약서</t>
  </si>
  <si>
    <t>찬드 비비 계약서</t>
  </si>
  <si>
    <t>표트르 1세 계약서</t>
  </si>
  <si>
    <t>사이이다 알 후라 계약서</t>
  </si>
  <si>
    <t>에르난 코르테스 계약서</t>
  </si>
  <si>
    <t>앤 보니 계약서</t>
  </si>
  <si>
    <t>필리 레이스 계약서</t>
  </si>
  <si>
    <t>파브리스 페레로 계약서</t>
  </si>
  <si>
    <t>아나 얀선스 계약서</t>
  </si>
  <si>
    <t>발푸리 인나마 계약서</t>
  </si>
  <si>
    <t>카리나 물티알라 계약서</t>
  </si>
  <si>
    <t>도리테 니버스 계약서</t>
  </si>
  <si>
    <t>타네커 스코닝스 계약서</t>
  </si>
  <si>
    <t>엘리자베스 바튼 계약서</t>
  </si>
  <si>
    <t>잔 드샹탈 계약서</t>
  </si>
  <si>
    <t>아사르파이 계약서</t>
  </si>
  <si>
    <t>마리아 바르톨라 계약서</t>
  </si>
  <si>
    <t>시도니아 폰보르크 계약서</t>
  </si>
  <si>
    <t>비올란테 도리아 계약서</t>
  </si>
  <si>
    <t>앤 다우리치 계약서</t>
  </si>
  <si>
    <t>카타리나 헤노트 계약서</t>
  </si>
  <si>
    <t>이사벨 데게바라 계약서</t>
  </si>
  <si>
    <t>엘리자베스 루카 계약서</t>
  </si>
  <si>
    <t>아나 루머르스 피스허르 계약서</t>
  </si>
  <si>
    <t>이사벨라 휘트니 계약서</t>
  </si>
  <si>
    <t>케나우 하셀라르 계약서</t>
  </si>
  <si>
    <t>크리스티나 닐스도테르 계약서</t>
  </si>
  <si>
    <t>와씨 계약서</t>
  </si>
  <si>
    <t>고계영 계약서</t>
  </si>
  <si>
    <t>클라라 카마랑 계약서</t>
  </si>
  <si>
    <t>알론소 데멘도사 계약서</t>
  </si>
  <si>
    <t>암브로지우스 에힝어 계약서</t>
  </si>
  <si>
    <t>앤서니 셜리 계약서</t>
  </si>
  <si>
    <t>라울 핏치 계약서</t>
  </si>
  <si>
    <t>안토니오 핀데아도 계약서</t>
  </si>
  <si>
    <t>베니토 고메스 계약서</t>
  </si>
  <si>
    <t>베르날 로욜라 계약서</t>
  </si>
  <si>
    <t>에스테반 페론 계약서</t>
  </si>
  <si>
    <t>프란시스쿠 알바레스 계약서</t>
  </si>
  <si>
    <t>두아르트 페레이라 계약서</t>
  </si>
  <si>
    <t>디에구 소사 계약서</t>
  </si>
  <si>
    <t>곤잘루 실베이라 계약서</t>
  </si>
  <si>
    <t>에드먼드 하비 계약서</t>
  </si>
  <si>
    <t>조반니 라무시오 계약서</t>
  </si>
  <si>
    <t>게오르크 폰슈파이어 계약서</t>
  </si>
  <si>
    <t>조반니 베세리스 계약서</t>
  </si>
  <si>
    <t>귀도 벤조 계약서</t>
  </si>
  <si>
    <t>앤서니 존슨 계약서</t>
  </si>
  <si>
    <t>헨리 만스펠 계약서</t>
  </si>
  <si>
    <t>우고 데몽카다 계약서</t>
  </si>
  <si>
    <t>휘호 올잭 계약서</t>
  </si>
  <si>
    <t>에드워드 댐피어 계약서</t>
  </si>
  <si>
    <t>야코프 발바커 계약서</t>
  </si>
  <si>
    <t>자크 브룸 계약서</t>
  </si>
  <si>
    <t>조셉 이스트먼 계약서</t>
  </si>
  <si>
    <t>쥬세페 루도비코 계약서</t>
  </si>
  <si>
    <t>발보아 오리드 계약서</t>
  </si>
  <si>
    <t>율리스 하위헌스 계약서</t>
  </si>
  <si>
    <t>율리안 페르메이르 계약서</t>
  </si>
  <si>
    <t>로런스 에드워드 계약서</t>
  </si>
  <si>
    <t>피터르 벤후크 계약서</t>
  </si>
  <si>
    <t>마누엘 페레스트렐루 계약서</t>
  </si>
  <si>
    <t>모리스 레이든 계약서</t>
  </si>
  <si>
    <t>판필로 오리드 계약서</t>
  </si>
  <si>
    <t>한스 슈타덴 계약서</t>
  </si>
  <si>
    <t>리처드 헉슬리 계약서</t>
  </si>
  <si>
    <t>로버트 와일드 계약서</t>
  </si>
  <si>
    <t>주앙 드카스트루 계약서</t>
  </si>
  <si>
    <t>로푸 페레이라 계약서</t>
  </si>
  <si>
    <t>살림 괴브데 계약서</t>
  </si>
  <si>
    <t>카밀로 사보나롤라 계약서</t>
  </si>
  <si>
    <t>빅터 러셀 계약서</t>
  </si>
  <si>
    <t>귀친 케말 계약서</t>
  </si>
  <si>
    <t>월터 로런스 계약서</t>
  </si>
  <si>
    <t>윌리엄 클라이브 계약서</t>
  </si>
  <si>
    <t>페드로 나바로 계약서</t>
  </si>
  <si>
    <t>우준 카이프 계약서</t>
  </si>
  <si>
    <t>자가노스 베이 계약서</t>
  </si>
  <si>
    <t>주앙 아폰수 계약서</t>
  </si>
  <si>
    <t>비신 계약서</t>
  </si>
  <si>
    <t>장안순 계약서</t>
  </si>
  <si>
    <t>미켈레토 코렐라 계약서</t>
  </si>
  <si>
    <t>후안 세바스티안 엘카노 계약서</t>
  </si>
  <si>
    <t>프란시스코 하비에르 계약서</t>
  </si>
  <si>
    <t>곤살로 데케사다 계약서</t>
  </si>
  <si>
    <t>세바스티안 비스카이노 계약서</t>
  </si>
  <si>
    <t>페드로 데키로스 계약서</t>
  </si>
  <si>
    <t>야코프 로헤베인 계약서</t>
  </si>
  <si>
    <t>존 해리슨 계약서</t>
  </si>
  <si>
    <t>얀 요스턴 판로덴스테인 계약서</t>
  </si>
  <si>
    <t>페르낭 고메스 다미나 계약서</t>
  </si>
  <si>
    <t>디오구 캉 계약서</t>
  </si>
  <si>
    <t>아불 파즐 계약서</t>
  </si>
  <si>
    <t>페르낭 둘무 계약서</t>
  </si>
  <si>
    <t>마환 계약서</t>
  </si>
  <si>
    <t>안토니우 드아브레우 계약서</t>
  </si>
  <si>
    <t>조르즈 알바르스 계약서</t>
  </si>
  <si>
    <t>디에고 데니쿠에사 계약서</t>
  </si>
  <si>
    <t>미르자 아지즈 코카 계약서</t>
  </si>
  <si>
    <t>프란시스코 데보바디야 계약서</t>
  </si>
  <si>
    <t>판필로 데나르바에스 계약서</t>
  </si>
  <si>
    <t>알론소 알바레스 데피네다 계약서</t>
  </si>
  <si>
    <t>쿠스라우 미르자 계약서</t>
  </si>
  <si>
    <t>후안 데그리할바 계약서</t>
  </si>
  <si>
    <t>디에고 데오르다스 계약서</t>
  </si>
  <si>
    <t>에르난도 데소토 계약서</t>
  </si>
  <si>
    <t>프란시스코 데몬테호 계약서</t>
  </si>
  <si>
    <t>마르코스 데니사 계약서</t>
  </si>
  <si>
    <t>세바스찬 캐벗 계약서</t>
  </si>
  <si>
    <t>고스와미 툴시다스 계약서</t>
  </si>
  <si>
    <t>토다르 말 계약서</t>
  </si>
  <si>
    <t>기도 데라베사리스 계약서</t>
  </si>
  <si>
    <t>이마이 소쿤 계약서</t>
  </si>
  <si>
    <t>이마이 소큐 계약서</t>
  </si>
  <si>
    <t>이스테방 고메스 계약서</t>
  </si>
  <si>
    <t>아이 마타 계약서</t>
  </si>
  <si>
    <t>디에고 카바예로 계약서</t>
  </si>
  <si>
    <t>페드로 데감보아 계약서</t>
  </si>
  <si>
    <t>요한 할레르 계약서</t>
  </si>
  <si>
    <t>트리폰 코로베이니코프 계약서</t>
  </si>
  <si>
    <t>안토니우 드살다냐 계약서</t>
  </si>
  <si>
    <t>마르팅 아폰수 드소자 계약서</t>
  </si>
  <si>
    <t>예르마크 티모페예비치 계약서</t>
  </si>
  <si>
    <t>세묜 스트로가노프 계약서</t>
  </si>
  <si>
    <t>헨리 미들턴 계약서</t>
  </si>
  <si>
    <t>루이스 데토레스 계약서</t>
  </si>
  <si>
    <t>운니야르카 계약서</t>
  </si>
  <si>
    <t>스미노쿠라 료이 계약서</t>
  </si>
  <si>
    <t>하바 카툰 계약서</t>
  </si>
  <si>
    <t>디에고 알바레스 창카 계약서</t>
  </si>
  <si>
    <t>로버트 아마다스 계약서</t>
  </si>
  <si>
    <t>프란시스코 데헤레스 계약서</t>
  </si>
  <si>
    <t>바르톨로메 데라스 카사스 계약서</t>
  </si>
  <si>
    <t>니콜라스 플라멜 계약서</t>
  </si>
  <si>
    <t>루도비코 데바르테마 계약서</t>
  </si>
  <si>
    <t>야코프 판넥 계약서</t>
  </si>
  <si>
    <t>가메이 고레노리 계약서</t>
  </si>
  <si>
    <t>혜희 계약서</t>
  </si>
  <si>
    <t>가스파로 발비 계약서</t>
  </si>
  <si>
    <t>심청 계약서</t>
  </si>
  <si>
    <t>구루시마 미치후사 계약서</t>
  </si>
  <si>
    <t>진린 계약서</t>
  </si>
  <si>
    <t>도날 나피오파 계약서</t>
  </si>
  <si>
    <t>조너선 바넷 계약서</t>
  </si>
  <si>
    <t>세이디 알리 레이스 계약서</t>
  </si>
  <si>
    <t>카타리나 코르네르 계약서</t>
  </si>
  <si>
    <t>세페르 레이스 계약서</t>
  </si>
  <si>
    <t>그레고리오 세스페데스 계약서</t>
  </si>
  <si>
    <t>슈무엘 베일라시 계약서</t>
  </si>
  <si>
    <t>시난 레이스 계약서</t>
  </si>
  <si>
    <t>하산 아그하 계약서</t>
  </si>
  <si>
    <t>무라트 레이스 계약서</t>
  </si>
  <si>
    <t>히사카지마 야스케 계약서</t>
  </si>
  <si>
    <t>후안 바스케스 계약서</t>
  </si>
  <si>
    <t>알베로 스킬라치 계약서</t>
  </si>
  <si>
    <t>모리스 드삭스 계약서</t>
  </si>
  <si>
    <t>미령 계약서</t>
  </si>
  <si>
    <t>홍보 계약서</t>
  </si>
  <si>
    <t>주만 계약서</t>
  </si>
  <si>
    <t>주문 계약서</t>
  </si>
  <si>
    <t>양경 계약서</t>
  </si>
  <si>
    <t>성춘향 계약서</t>
  </si>
  <si>
    <t>이종무 계약서</t>
  </si>
  <si>
    <t>고유강 계약서</t>
  </si>
  <si>
    <t>마쓰라 다카노부 계약서</t>
  </si>
  <si>
    <t>다가와 시치자에몬 계약서</t>
  </si>
  <si>
    <t>알제우나 계약서</t>
  </si>
  <si>
    <t>카를로타 계약서</t>
  </si>
  <si>
    <t>마르코 계약서</t>
  </si>
  <si>
    <t>콘라드 계약서</t>
  </si>
  <si>
    <t>타라바이 계약서</t>
  </si>
  <si>
    <t>잔 아셰트 계약서</t>
  </si>
  <si>
    <t>엄영춘 계약서</t>
  </si>
  <si>
    <t>안나 오커히엘름 계약서</t>
  </si>
  <si>
    <t>툴리아 다라고나 계약서</t>
  </si>
  <si>
    <t>프란체스카 카치니 계약서</t>
  </si>
  <si>
    <t>아녜스 소렐 계약서</t>
  </si>
  <si>
    <t>소포니스바 앙귀솔라 계약서</t>
  </si>
  <si>
    <t>카산드라 페델레 계약서</t>
  </si>
  <si>
    <t>아나 마리아 데소토 계약서</t>
  </si>
  <si>
    <t>마리아 피타 계약서</t>
  </si>
  <si>
    <t>루크레치아 토르나부오니 계약서</t>
  </si>
  <si>
    <t>아그네스 베르나우어 계약서</t>
  </si>
  <si>
    <t>죽음의 신 루돌프 계약서</t>
  </si>
  <si>
    <t>티노카틀 계약서</t>
  </si>
  <si>
    <t>로베르토 에제키엘 계약서</t>
  </si>
  <si>
    <t>알베르트 계약서</t>
  </si>
  <si>
    <t>조커 다실버 계약서</t>
  </si>
  <si>
    <t>아르드비 계약서</t>
  </si>
  <si>
    <t>크리스티나 계약서</t>
  </si>
  <si>
    <t>시오미 후우키치 계약서</t>
  </si>
  <si>
    <t>공손포월 계약서</t>
  </si>
  <si>
    <t>귈리스탄 계약서</t>
  </si>
  <si>
    <t>사파 계약서</t>
  </si>
  <si>
    <t>신기한 발톱</t>
  </si>
  <si>
    <t>[대표]도면</t>
  </si>
  <si>
    <t>[대표]건조 재료</t>
  </si>
  <si>
    <t>[대표]장비</t>
  </si>
  <si>
    <t>[대표]부품</t>
  </si>
  <si>
    <t>[대표]승급 재료</t>
  </si>
  <si>
    <t>[대표]항해사 선물</t>
  </si>
  <si>
    <t>[대표]특수 자원</t>
  </si>
  <si>
    <t>[대표]계약서</t>
  </si>
  <si>
    <t>상자 열쇠</t>
  </si>
  <si>
    <t>정기선 탑승권</t>
  </si>
  <si>
    <t>정기선 탑승권 (거래 불가)</t>
  </si>
  <si>
    <t>고용 가속권 5분</t>
  </si>
  <si>
    <t>고용 가속권 10분</t>
  </si>
  <si>
    <t>고용 가속권 30분</t>
  </si>
  <si>
    <t>고용 가속권 1시간</t>
  </si>
  <si>
    <t>고용 가속권 6시간</t>
  </si>
  <si>
    <t>고용 가속권 1일</t>
  </si>
  <si>
    <t>격려 가속권 5분</t>
  </si>
  <si>
    <t>격려 가속권 10분</t>
  </si>
  <si>
    <t>격려 가속권 30분</t>
  </si>
  <si>
    <t>격려 가속권 1시간</t>
  </si>
  <si>
    <t>격려 가속권 6시간</t>
  </si>
  <si>
    <t>격려 가속권 1일</t>
  </si>
  <si>
    <t>건조 가속권 5분</t>
  </si>
  <si>
    <t>건조 가속권 10분</t>
  </si>
  <si>
    <t>건조 가속권 30분</t>
  </si>
  <si>
    <t>건조 가속권 1시간</t>
  </si>
  <si>
    <t>건조 가속권 6시간</t>
  </si>
  <si>
    <t>건조 가속권 1일</t>
  </si>
  <si>
    <t>승급 가속권 5분</t>
  </si>
  <si>
    <t>승급 가속권 10분</t>
  </si>
  <si>
    <t>승급 가속권 30분</t>
  </si>
  <si>
    <t>승급 가속권 1시간</t>
  </si>
  <si>
    <t>승급 가속권 6시간</t>
  </si>
  <si>
    <t>승급 가속권 1일</t>
  </si>
  <si>
    <t>학습 가속권 5분</t>
  </si>
  <si>
    <t>학습 가속권 10분</t>
  </si>
  <si>
    <t>학습 가속권 30분</t>
  </si>
  <si>
    <t>학습 가속권 1시간</t>
  </si>
  <si>
    <t>학습 가속권 6시간</t>
  </si>
  <si>
    <t>학습 가속권 1일</t>
  </si>
  <si>
    <t>밧줄</t>
  </si>
  <si>
    <t>특수 가공 밧줄</t>
  </si>
  <si>
    <t>강화 밧줄</t>
  </si>
  <si>
    <t>특수 강화 밧줄</t>
  </si>
  <si>
    <t>티크</t>
  </si>
  <si>
    <t>호두나무</t>
  </si>
  <si>
    <t>흑단나무</t>
  </si>
  <si>
    <t>티크 돛대</t>
  </si>
  <si>
    <t>호두나무 돛대</t>
  </si>
  <si>
    <t>흑단나무 돛대</t>
  </si>
  <si>
    <t>대마</t>
  </si>
  <si>
    <t>고급 대마</t>
  </si>
  <si>
    <t>고급 황마</t>
  </si>
  <si>
    <t>리넨</t>
  </si>
  <si>
    <t>고급 리넨</t>
  </si>
  <si>
    <t>면</t>
  </si>
  <si>
    <t>고급 면</t>
  </si>
  <si>
    <t>개량형 대형 포문</t>
  </si>
  <si>
    <t>강화 대형 포문</t>
  </si>
  <si>
    <t>특수 강화 대형 포문</t>
  </si>
  <si>
    <t>초대형 포문</t>
  </si>
  <si>
    <t>개량형 초대형 포문</t>
  </si>
  <si>
    <t>강화 초대형 포문</t>
  </si>
  <si>
    <t>특수 강화 초대형 포문</t>
  </si>
  <si>
    <t>망원경</t>
  </si>
  <si>
    <t>마체테</t>
  </si>
  <si>
    <t>낡은 로프</t>
  </si>
  <si>
    <t>일반 로프</t>
  </si>
  <si>
    <t>고급 로프</t>
  </si>
  <si>
    <t>판초</t>
  </si>
  <si>
    <t>설피</t>
  </si>
  <si>
    <t>부싯돌</t>
  </si>
  <si>
    <t>나무 썰매</t>
  </si>
  <si>
    <t>횃불</t>
  </si>
  <si>
    <t>깨끗한 유리병</t>
  </si>
  <si>
    <t>조잡한 수레</t>
  </si>
  <si>
    <t>간이 들것</t>
  </si>
  <si>
    <t>지혈대</t>
  </si>
  <si>
    <t>치료용 약초</t>
  </si>
  <si>
    <t>손도끼</t>
  </si>
  <si>
    <t>침낭_D</t>
  </si>
  <si>
    <t>고양이</t>
  </si>
  <si>
    <t>동양의 부적</t>
  </si>
  <si>
    <t>빛바랜 신상</t>
  </si>
  <si>
    <t>옥 목걸이</t>
  </si>
  <si>
    <t>말발굽</t>
  </si>
  <si>
    <t>침낭_C</t>
  </si>
  <si>
    <t>침낭_B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</si>
</sst>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14" x14ac:knownFonts="1">
    <font>
      <sz val="10"/>
      <color rgb="FF000000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Arial"/>
      <family val="3"/>
      <charset val="129"/>
    </font>
    <font>
      <sz val="9"/>
      <color rgb="FF000000"/>
      <name val="Arial"/>
      <family val="2"/>
    </font>
    <font>
      <sz val="10"/>
      <color rgb="FF000000"/>
      <name val="돋움"/>
      <family val="3"/>
      <charset val="129"/>
    </font>
    <font>
      <b/>
      <sz val="10"/>
      <color rgb="FF000000"/>
      <name val="Arial"/>
      <family val="2"/>
    </font>
    <font>
      <sz val="9"/>
      <color theme="1"/>
      <name val="맑은 고딕"/>
      <family val="2"/>
      <charset val="129"/>
    </font>
    <font>
      <b/>
      <sz val="9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C9DAF8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0" borderId="0">
      <alignment vertical="center"/>
    </xf>
  </cellStyleXfs>
  <cellXfs count="32">
    <xf numFmtId="0" fontId="0" fillId="0" borderId="0" xfId="0"/>
    <xf numFmtId="0" fontId="2" fillId="3" borderId="1" xfId="2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0" fontId="0" fillId="10" borderId="0" xfId="0" applyFill="1"/>
    <xf numFmtId="176" fontId="0" fillId="0" borderId="0" xfId="1" applyFont="1" applyAlignment="1"/>
    <xf numFmtId="176" fontId="11" fillId="0" borderId="0" xfId="1" applyFont="1" applyAlignment="1"/>
    <xf numFmtId="0" fontId="12" fillId="0" borderId="0" xfId="3">
      <alignment vertical="center"/>
    </xf>
    <xf numFmtId="3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3" fillId="12" borderId="3" xfId="0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3" fillId="13" borderId="3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3" fontId="9" fillId="14" borderId="5" xfId="0" applyNumberFormat="1" applyFont="1" applyFill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</cellXfs>
  <cellStyles count="4">
    <cellStyle name="나쁨" xfId="2" builtinId="27"/>
    <cellStyle name="쉼표 [0]" xfId="1" builtinId="6"/>
    <cellStyle name="표준" xfId="0" builtinId="0"/>
    <cellStyle name="표준 4" xfId="3" xr:uid="{645FC775-AF97-4762-8ECF-B541DFF02A1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WO_&#53580;&#51060;&#48660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Index"/>
      <sheetName val="StaffRoll"/>
      <sheetName val="DefaultShip"/>
      <sheetName val="DefaultShipBlueprint"/>
      <sheetName val="DefaultPoint"/>
      <sheetName val="DefaultMail"/>
      <sheetName val="DefaultQuest"/>
      <sheetName val="ShipCustomizeData"/>
      <sheetName val="DefaultSailCrest"/>
      <sheetName val="DefaultSailPattern"/>
      <sheetName val="DefaultSailPatternColor"/>
      <sheetName val="DefaultShipBodyFirstColor"/>
      <sheetName val="DefaultShipBodySecondColor"/>
      <sheetName val="DefaultEquipDyeColor"/>
      <sheetName val="PushNotification"/>
      <sheetName val="DeviceLanguageTypes"/>
      <sheetName val="SoundPack"/>
      <sheetName val="CashShopBoxRatio"/>
      <sheetName val="Collection"/>
      <sheetName val="ContributionShop"/>
      <sheetName val="CashShopLimitSale"/>
      <sheetName val="CashShop"/>
      <sheetName val="LoadingPage"/>
      <sheetName val="OceanDoodadAreaSpawner"/>
      <sheetName val="EnterSeaArea"/>
      <sheetName val="OceanDoodad"/>
      <sheetName val="OceanNpcSpawn"/>
      <sheetName val="TradeGoods"/>
      <sheetName val="Trade"/>
      <sheetName val="TradeAreaTileData"/>
      <sheetName val="TradeCombo"/>
      <sheetName val="TradeComboSet"/>
      <sheetName val="TaxFreePermit"/>
      <sheetName val="Reputation"/>
      <sheetName val="InvestRankTax"/>
      <sheetName val="Point"/>
      <sheetName val="Nation"/>
      <sheetName val="NationDiplomacy"/>
      <sheetName val="NationRankingEffect"/>
      <sheetName val="CulturalArea"/>
      <sheetName val="Region"/>
      <sheetName val="RegionName"/>
      <sheetName val="OceanZone"/>
      <sheetName val="Climate"/>
      <sheetName val="WeatherTile"/>
      <sheetName val="WeatherTileClimate"/>
      <sheetName val="WorldTile"/>
      <sheetName val="Weather"/>
      <sheetName val="Town"/>
      <sheetName val="Camel"/>
      <sheetName val="FOWOpenContinentTown"/>
      <sheetName val="Reward"/>
      <sheetName val="RewardDropPool"/>
      <sheetName val="RewardFixed"/>
      <sheetName val="QuestPayment"/>
      <sheetName val="TownDevelopExp"/>
      <sheetName val="Emoticon"/>
      <sheetName val="SocialAnimation"/>
      <sheetName val="TownKick"/>
      <sheetName val="AdmissionNpc"/>
      <sheetName val="CompanyExp"/>
      <sheetName val="ShipBuildMasteryExp"/>
      <sheetName val="ShipBuildExp"/>
      <sheetName val="OceanCamera"/>
      <sheetName val="WaveRate"/>
      <sheetName val="CurrentRate"/>
      <sheetName val="WindRate"/>
      <sheetName val="CharacterExp"/>
      <sheetName val="RoyalTitle"/>
      <sheetName val="CompanyJob"/>
      <sheetName val="WorldState"/>
      <sheetName val="WorldNameList"/>
      <sheetName val="CompanyNameList"/>
      <sheetName val="OceanProtection"/>
      <sheetName val="OceanDisaster"/>
      <sheetName val="WorldSkill"/>
      <sheetName val="WorldPassive"/>
      <sheetName val="WorldActiveEffect"/>
      <sheetName val="WorldTrigger"/>
      <sheetName val="WorldPassiveEffect"/>
      <sheetName val="WorldBuff"/>
      <sheetName val="OceanNpcEffect"/>
      <sheetName val="OceanNpcBuff"/>
      <sheetName val="Shop"/>
      <sheetName val="Item"/>
      <sheetName val="SlotExpansion"/>
      <sheetName val="TileToolDefine"/>
      <sheetName val="InvestCompanyRanking"/>
      <sheetName val="DiscoveryRanking"/>
      <sheetName val="Admiral"/>
      <sheetName val="AdmiralGroup"/>
      <sheetName val="Character"/>
      <sheetName val="Mate"/>
      <sheetName val="PubStaff"/>
      <sheetName val="MatePersonality"/>
      <sheetName val="MateAwaken"/>
      <sheetName val="PieceSwap"/>
      <sheetName val="MateManagement"/>
      <sheetName val="Job"/>
      <sheetName val="MateRecruiting"/>
      <sheetName val="MateReRecruiting"/>
      <sheetName val="CEquip"/>
      <sheetName val="Religion"/>
      <sheetName val="BuildingBuff"/>
      <sheetName val="BuildingContentsUnlock"/>
      <sheetName val="BuildingMenu"/>
      <sheetName val="MainMenu"/>
      <sheetName val="ContentsTerms"/>
      <sheetName val="Shield"/>
      <sheetName val="ContentsResetHour"/>
      <sheetName val="Language"/>
      <sheetName val="BankInstallmentSavings"/>
      <sheetName val="Fortune"/>
      <sheetName val="BankInsurance"/>
      <sheetName val="AutoJobPassive"/>
      <sheetName val="AutoMatePassive"/>
      <sheetName val="AutoMatePassiveFixed"/>
      <sheetName val="AutoMateSkill"/>
      <sheetName val="AutoMateOrder"/>
      <sheetName val="BattleDuelSkill"/>
      <sheetName val="BattleSkill"/>
      <sheetName val="BattleDuelEffect"/>
      <sheetName val="BattleBuff"/>
      <sheetName val="BattleTurnBoost"/>
      <sheetName val="BattleActiveEffect"/>
      <sheetName val="BattlePassive"/>
      <sheetName val="BattleUnitTrigger"/>
      <sheetName val="BattlePassiveEffect"/>
      <sheetName val="BattleTod"/>
      <sheetName val="BattleTile"/>
      <sheetName val="BattleMapObject"/>
      <sheetName val="BattleActionRange"/>
      <sheetName val="BattleAoeRange"/>
      <sheetName val="BattleAiPersonality"/>
      <sheetName val="BattleAiWeightList"/>
      <sheetName val="BattleAiMoveWeight"/>
      <sheetName val="BattleAiActionWeight"/>
      <sheetName val="BattleFaction"/>
      <sheetName val="ShipSlot"/>
      <sheetName val="ShipCabinRelation"/>
      <sheetName val="DepartSupply"/>
      <sheetName val="BubbleEvent"/>
      <sheetName val="BattleDirectionShipCost"/>
      <sheetName val="BattleTileShipCost"/>
      <sheetName val="ShipClass"/>
      <sheetName val="ShipyardShop"/>
      <sheetName val="Ship"/>
      <sheetName val="ShipEnchant"/>
      <sheetName val="ShipEnchantStatRatio"/>
      <sheetName val="ShipyardBuild"/>
      <sheetName val="ShipBlueprint"/>
      <sheetName val="SailorDraft"/>
      <sheetName val="AchievementPoint"/>
      <sheetName val="HotTimeBonus"/>
      <sheetName val="Mail"/>
      <sheetName val="LoadageRatio"/>
      <sheetName val="Const"/>
      <sheetName val="SpecialStat"/>
      <sheetName val="StatOperator"/>
      <sheetName val="SystemMessage"/>
      <sheetName val="LinerShip"/>
      <sheetName val="_enum"/>
    </sheetNames>
    <sheetDataSet>
      <sheetData sheetId="0">
        <row r="1">
          <cell r="A1" t="str">
            <v>tableName</v>
          </cell>
          <cell r="B1" t="str">
            <v>minId</v>
          </cell>
          <cell r="C1" t="str">
            <v>maxId</v>
          </cell>
        </row>
        <row r="2">
          <cell r="A2" t="str">
            <v>ContentsResetHour</v>
          </cell>
        </row>
        <row r="3">
          <cell r="A3" t="str">
            <v>OceanCamera</v>
          </cell>
        </row>
        <row r="4">
          <cell r="A4" t="str">
            <v>TownLocation</v>
          </cell>
        </row>
        <row r="5">
          <cell r="A5" t="str">
            <v>TownLocation_cn</v>
          </cell>
        </row>
        <row r="6">
          <cell r="A6" t="str">
            <v>CompanyLvOceanTile</v>
          </cell>
        </row>
        <row r="7">
          <cell r="A7" t="str">
            <v>OceanSeaweedTile</v>
          </cell>
        </row>
        <row r="8">
          <cell r="A8" t="str">
            <v>ShipSizeOceanTile</v>
          </cell>
        </row>
        <row r="9">
          <cell r="A9" t="str">
            <v>WaveResistanceOceanTile</v>
          </cell>
        </row>
        <row r="10">
          <cell r="A10" t="str">
            <v>OceanRockTile</v>
          </cell>
        </row>
        <row r="11">
          <cell r="A11" t="str">
            <v>IceBreakingOceanTile</v>
          </cell>
        </row>
        <row r="12">
          <cell r="A12" t="str">
            <v>ImmovableLandTile</v>
          </cell>
        </row>
        <row r="13">
          <cell r="A13" t="str">
            <v>RegionNameOceanTile</v>
          </cell>
        </row>
        <row r="14">
          <cell r="A14" t="str">
            <v>RegionOceanTile</v>
          </cell>
        </row>
        <row r="15">
          <cell r="A15" t="str">
            <v>FOWOpenContinentTile</v>
          </cell>
        </row>
        <row r="16">
          <cell r="A16" t="str">
            <v>SoundPack</v>
          </cell>
          <cell r="B16">
            <v>0</v>
          </cell>
          <cell r="C16">
            <v>999</v>
          </cell>
        </row>
        <row r="17">
          <cell r="A17" t="str">
            <v>StatOperator</v>
          </cell>
          <cell r="B17">
            <v>0</v>
          </cell>
          <cell r="C17">
            <v>9999</v>
          </cell>
        </row>
        <row r="18">
          <cell r="A18" t="str">
            <v>StaffRoll</v>
          </cell>
          <cell r="B18">
            <v>0</v>
          </cell>
          <cell r="C18">
            <v>100</v>
          </cell>
        </row>
        <row r="19">
          <cell r="A19" t="str">
            <v>CompanyExp</v>
          </cell>
          <cell r="B19">
            <v>0</v>
          </cell>
          <cell r="C19">
            <v>1000</v>
          </cell>
        </row>
        <row r="20">
          <cell r="A20" t="str">
            <v>CharacterExp</v>
          </cell>
          <cell r="B20">
            <v>0</v>
          </cell>
          <cell r="C20">
            <v>1000</v>
          </cell>
        </row>
        <row r="22">
          <cell r="A22" t="str">
            <v>EventMissionExp</v>
          </cell>
          <cell r="B22">
            <v>0</v>
          </cell>
          <cell r="C22">
            <v>1000</v>
          </cell>
        </row>
        <row r="23">
          <cell r="A23" t="str">
            <v>ShipBuildExp</v>
          </cell>
          <cell r="B23">
            <v>0</v>
          </cell>
          <cell r="C23">
            <v>100</v>
          </cell>
        </row>
        <row r="24">
          <cell r="A24" t="str">
            <v>DefaultShip</v>
          </cell>
          <cell r="B24">
            <v>1</v>
          </cell>
          <cell r="C24">
            <v>100</v>
          </cell>
        </row>
        <row r="25">
          <cell r="A25" t="str">
            <v>DefaultShipBlueprint</v>
          </cell>
          <cell r="B25">
            <v>1</v>
          </cell>
          <cell r="C25">
            <v>100</v>
          </cell>
        </row>
        <row r="26">
          <cell r="A26" t="str">
            <v>MateReRecruiting</v>
          </cell>
          <cell r="B26">
            <v>1</v>
          </cell>
          <cell r="C26">
            <v>100</v>
          </cell>
        </row>
        <row r="27">
          <cell r="A27" t="str">
            <v>VoiceTag</v>
          </cell>
          <cell r="B27">
            <v>1</v>
          </cell>
          <cell r="C27">
            <v>1000</v>
          </cell>
        </row>
        <row r="28">
          <cell r="A28" t="str">
            <v>InvestRankTax</v>
          </cell>
          <cell r="B28">
            <v>1</v>
          </cell>
          <cell r="C28">
            <v>1000</v>
          </cell>
        </row>
        <row r="29">
          <cell r="A29" t="str">
            <v>PushNotification</v>
          </cell>
          <cell r="B29">
            <v>1</v>
          </cell>
          <cell r="C29">
            <v>1000</v>
          </cell>
        </row>
        <row r="30">
          <cell r="A30" t="str">
            <v>WaveRate</v>
          </cell>
          <cell r="B30">
            <v>1</v>
          </cell>
          <cell r="C30">
            <v>1000</v>
          </cell>
        </row>
        <row r="31">
          <cell r="A31" t="str">
            <v>CurrentRate</v>
          </cell>
          <cell r="B31">
            <v>1</v>
          </cell>
          <cell r="C31">
            <v>1000</v>
          </cell>
        </row>
        <row r="32">
          <cell r="A32" t="str">
            <v>WindRate</v>
          </cell>
          <cell r="B32">
            <v>1</v>
          </cell>
          <cell r="C32">
            <v>1000</v>
          </cell>
        </row>
        <row r="33">
          <cell r="A33" t="str">
            <v>WorldState</v>
          </cell>
          <cell r="B33">
            <v>1</v>
          </cell>
          <cell r="C33">
            <v>1000</v>
          </cell>
        </row>
        <row r="34">
          <cell r="A34" t="str">
            <v>DefaultShip</v>
          </cell>
          <cell r="B34">
            <v>101</v>
          </cell>
          <cell r="C34">
            <v>110</v>
          </cell>
        </row>
        <row r="35">
          <cell r="A35" t="str">
            <v>DefaultMail</v>
          </cell>
          <cell r="B35">
            <v>201</v>
          </cell>
          <cell r="C35">
            <v>499</v>
          </cell>
        </row>
        <row r="36">
          <cell r="A36" t="str">
            <v>LoadingPage</v>
          </cell>
          <cell r="B36">
            <v>501</v>
          </cell>
          <cell r="C36">
            <v>600</v>
          </cell>
        </row>
        <row r="37">
          <cell r="A37" t="str">
            <v>DefaultQuest</v>
          </cell>
          <cell r="B37">
            <v>601</v>
          </cell>
          <cell r="C37">
            <v>700</v>
          </cell>
        </row>
        <row r="38">
          <cell r="A38" t="str">
            <v>HotTimeBonus</v>
          </cell>
          <cell r="B38">
            <v>1</v>
          </cell>
          <cell r="C38">
            <v>999999</v>
          </cell>
        </row>
        <row r="39">
          <cell r="A39" t="str">
            <v>WorldNameList</v>
          </cell>
          <cell r="B39">
            <v>1000</v>
          </cell>
          <cell r="C39">
            <v>1099</v>
          </cell>
        </row>
        <row r="40">
          <cell r="A40" t="str">
            <v>CompanyNameList</v>
          </cell>
          <cell r="B40">
            <v>1100</v>
          </cell>
          <cell r="C40">
            <v>1999</v>
          </cell>
        </row>
        <row r="41">
          <cell r="A41" t="str">
            <v>AchievementPoint</v>
          </cell>
          <cell r="B41">
            <v>2000</v>
          </cell>
          <cell r="C41">
            <v>2999</v>
          </cell>
        </row>
        <row r="42">
          <cell r="A42" t="str">
            <v>FOWOpenContinentTown</v>
          </cell>
          <cell r="B42">
            <v>3000</v>
          </cell>
          <cell r="C42">
            <v>3999</v>
          </cell>
        </row>
        <row r="43">
          <cell r="A43" t="str">
            <v>ShipCustomizeData</v>
          </cell>
          <cell r="B43">
            <v>4990</v>
          </cell>
          <cell r="C43">
            <v>5000</v>
          </cell>
        </row>
        <row r="44">
          <cell r="A44" t="str">
            <v>DefaultSailCrest</v>
          </cell>
          <cell r="B44">
            <v>5001</v>
          </cell>
          <cell r="C44">
            <v>5050</v>
          </cell>
        </row>
        <row r="45">
          <cell r="A45" t="str">
            <v>DefaultSailPattern</v>
          </cell>
          <cell r="B45">
            <v>5051</v>
          </cell>
          <cell r="C45">
            <v>5100</v>
          </cell>
        </row>
        <row r="46">
          <cell r="A46" t="str">
            <v>DefaultSailPatternColor</v>
          </cell>
          <cell r="B46">
            <v>5101</v>
          </cell>
          <cell r="C46">
            <v>5150</v>
          </cell>
        </row>
        <row r="47">
          <cell r="A47" t="str">
            <v>DefaultShipBodyFirstColor</v>
          </cell>
          <cell r="B47">
            <v>5201</v>
          </cell>
          <cell r="C47">
            <v>5250</v>
          </cell>
        </row>
        <row r="48">
          <cell r="A48" t="str">
            <v>DefaultShipBodySecondColor</v>
          </cell>
          <cell r="B48">
            <v>5251</v>
          </cell>
          <cell r="C48">
            <v>5300</v>
          </cell>
        </row>
        <row r="49">
          <cell r="A49" t="str">
            <v>DefaultEquipDyeColor</v>
          </cell>
          <cell r="B49">
            <v>6000</v>
          </cell>
          <cell r="C49">
            <v>6999</v>
          </cell>
        </row>
        <row r="50">
          <cell r="A50" t="str">
            <v>EquipDyeColor</v>
          </cell>
          <cell r="B50">
            <v>7000</v>
          </cell>
          <cell r="C50">
            <v>7999</v>
          </cell>
        </row>
        <row r="51">
          <cell r="A51" t="str">
            <v>OceanNpcSpawn</v>
          </cell>
          <cell r="B51">
            <v>10000</v>
          </cell>
          <cell r="C51">
            <v>19999</v>
          </cell>
        </row>
        <row r="52">
          <cell r="A52" t="str">
            <v>OceanNpcSpawnLocation</v>
          </cell>
          <cell r="B52">
            <v>20000</v>
          </cell>
          <cell r="C52">
            <v>29999</v>
          </cell>
        </row>
        <row r="53">
          <cell r="A53" t="str">
            <v>OceanNpcLocalSpawner</v>
          </cell>
          <cell r="B53">
            <v>30000</v>
          </cell>
          <cell r="C53">
            <v>39999</v>
          </cell>
        </row>
        <row r="54">
          <cell r="A54" t="str">
            <v>AutoFleetTemplate</v>
          </cell>
          <cell r="B54">
            <v>40000</v>
          </cell>
          <cell r="C54">
            <v>49999</v>
          </cell>
        </row>
        <row r="55">
          <cell r="A55" t="str">
            <v>AutoMateTemplate</v>
          </cell>
          <cell r="B55">
            <v>60000</v>
          </cell>
          <cell r="C55">
            <v>69999</v>
          </cell>
        </row>
        <row r="56">
          <cell r="A56" t="str">
            <v>Dictionary</v>
          </cell>
          <cell r="B56">
            <v>70000</v>
          </cell>
          <cell r="C56">
            <v>79999</v>
          </cell>
        </row>
        <row r="57">
          <cell r="A57" t="str">
            <v>Point</v>
          </cell>
          <cell r="B57">
            <v>100000</v>
          </cell>
          <cell r="C57">
            <v>199999</v>
          </cell>
        </row>
        <row r="58">
          <cell r="A58" t="str">
            <v>OceanDoodad</v>
          </cell>
          <cell r="B58">
            <v>200000</v>
          </cell>
          <cell r="C58">
            <v>299999</v>
          </cell>
        </row>
        <row r="59">
          <cell r="A59" t="str">
            <v>OceanDoodadAreaSpawner</v>
          </cell>
          <cell r="B59">
            <v>300000</v>
          </cell>
          <cell r="C59">
            <v>399999</v>
          </cell>
        </row>
        <row r="60">
          <cell r="A60" t="str">
            <v>OceanNpcTemplate</v>
          </cell>
          <cell r="B60">
            <v>400000</v>
          </cell>
          <cell r="C60">
            <v>999999</v>
          </cell>
        </row>
        <row r="61">
          <cell r="A61" t="str">
            <v>MateTemplateGroup</v>
          </cell>
          <cell r="B61">
            <v>1000000</v>
          </cell>
          <cell r="C61">
            <v>1099999</v>
          </cell>
        </row>
        <row r="62">
          <cell r="A62" t="str">
            <v>Shield</v>
          </cell>
          <cell r="B62">
            <v>1100000</v>
          </cell>
          <cell r="C62">
            <v>1100099</v>
          </cell>
        </row>
        <row r="63">
          <cell r="A63" t="str">
            <v>Collection</v>
          </cell>
          <cell r="B63">
            <v>1150000</v>
          </cell>
          <cell r="C63">
            <v>1199999</v>
          </cell>
        </row>
        <row r="64">
          <cell r="A64" t="str">
            <v>Nation</v>
          </cell>
          <cell r="B64">
            <v>10000000</v>
          </cell>
          <cell r="C64">
            <v>10099999</v>
          </cell>
        </row>
        <row r="65">
          <cell r="A65" t="str">
            <v>NationSet</v>
          </cell>
          <cell r="B65">
            <v>10000000</v>
          </cell>
          <cell r="C65">
            <v>10999999</v>
          </cell>
        </row>
        <row r="66">
          <cell r="A66" t="str">
            <v>TaxFreePermit</v>
          </cell>
          <cell r="B66">
            <v>10100000</v>
          </cell>
          <cell r="C66">
            <v>10199999</v>
          </cell>
        </row>
        <row r="67">
          <cell r="A67" t="str">
            <v>Reputation</v>
          </cell>
          <cell r="B67">
            <v>10110000</v>
          </cell>
          <cell r="C67">
            <v>10119999</v>
          </cell>
        </row>
        <row r="68">
          <cell r="A68" t="str">
            <v>NationDiplomacy</v>
          </cell>
          <cell r="B68">
            <v>10200000</v>
          </cell>
          <cell r="C68">
            <v>10299999</v>
          </cell>
        </row>
        <row r="69">
          <cell r="A69" t="str">
            <v>NationRankingEffect</v>
          </cell>
          <cell r="B69">
            <v>10300000</v>
          </cell>
          <cell r="C69">
            <v>10399999</v>
          </cell>
        </row>
        <row r="70">
          <cell r="A70" t="str">
            <v>CashShopBoxRatio</v>
          </cell>
          <cell r="B70">
            <v>10400000</v>
          </cell>
          <cell r="C70">
            <v>10449999</v>
          </cell>
        </row>
        <row r="71">
          <cell r="A71" t="str">
            <v>CashShopLimitSale</v>
          </cell>
          <cell r="B71">
            <v>10450000</v>
          </cell>
          <cell r="C71">
            <v>10499999</v>
          </cell>
        </row>
        <row r="72">
          <cell r="A72" t="str">
            <v>CashShop</v>
          </cell>
          <cell r="B72">
            <v>10500000</v>
          </cell>
          <cell r="C72">
            <v>10599999</v>
          </cell>
        </row>
        <row r="73">
          <cell r="A73" t="str">
            <v>ContributionShop</v>
          </cell>
          <cell r="B73">
            <v>10600000</v>
          </cell>
          <cell r="C73">
            <v>10699999</v>
          </cell>
        </row>
        <row r="74">
          <cell r="A74" t="str">
            <v>Town</v>
          </cell>
          <cell r="B74">
            <v>11000000</v>
          </cell>
          <cell r="C74">
            <v>11999999</v>
          </cell>
        </row>
        <row r="75">
          <cell r="A75" t="str">
            <v>TradeGoodsTownMatrix</v>
          </cell>
          <cell r="B75">
            <v>11000000</v>
          </cell>
          <cell r="C75">
            <v>11999999</v>
          </cell>
        </row>
        <row r="76">
          <cell r="A76" t="str">
            <v>Region</v>
          </cell>
          <cell r="B76">
            <v>12000000</v>
          </cell>
          <cell r="C76">
            <v>12099999</v>
          </cell>
        </row>
        <row r="77">
          <cell r="A77" t="str">
            <v>SubRegion</v>
          </cell>
          <cell r="B77">
            <v>12100000</v>
          </cell>
          <cell r="C77">
            <v>12109999</v>
          </cell>
        </row>
        <row r="78">
          <cell r="A78" t="str">
            <v>RegionName</v>
          </cell>
          <cell r="B78">
            <v>12110000</v>
          </cell>
          <cell r="C78">
            <v>12119999</v>
          </cell>
        </row>
        <row r="79">
          <cell r="A79" t="str">
            <v>CulturalArea</v>
          </cell>
          <cell r="B79">
            <v>12200000</v>
          </cell>
          <cell r="C79">
            <v>12299999</v>
          </cell>
        </row>
        <row r="80">
          <cell r="A80" t="str">
            <v>OceanZone</v>
          </cell>
          <cell r="B80">
            <v>12300000</v>
          </cell>
          <cell r="C80">
            <v>12399999</v>
          </cell>
        </row>
        <row r="81">
          <cell r="A81" t="str">
            <v>Climate</v>
          </cell>
          <cell r="B81">
            <v>13100000</v>
          </cell>
          <cell r="C81">
            <v>13199999</v>
          </cell>
        </row>
        <row r="82">
          <cell r="A82" t="str">
            <v>Weather</v>
          </cell>
          <cell r="B82">
            <v>13200000</v>
          </cell>
          <cell r="C82">
            <v>13299999</v>
          </cell>
        </row>
        <row r="83">
          <cell r="A83" t="str">
            <v>WeatherTile</v>
          </cell>
          <cell r="B83">
            <v>13300000</v>
          </cell>
          <cell r="C83">
            <v>13399999</v>
          </cell>
        </row>
        <row r="84">
          <cell r="A84" t="str">
            <v>WeatherTileClimate</v>
          </cell>
          <cell r="B84">
            <v>13400000</v>
          </cell>
          <cell r="C84">
            <v>13499999</v>
          </cell>
        </row>
        <row r="85">
          <cell r="A85" t="str">
            <v>WorldTile</v>
          </cell>
          <cell r="B85">
            <v>14000000</v>
          </cell>
          <cell r="C85">
            <v>14099999</v>
          </cell>
        </row>
        <row r="86">
          <cell r="A86" t="str">
            <v>OceanNpc</v>
          </cell>
          <cell r="B86">
            <v>15000000</v>
          </cell>
          <cell r="C86">
            <v>15099999</v>
          </cell>
        </row>
        <row r="87">
          <cell r="A87" t="str">
            <v>OceanNpcAreaSpawner</v>
          </cell>
          <cell r="B87">
            <v>15100000</v>
          </cell>
          <cell r="C87">
            <v>15199999</v>
          </cell>
        </row>
        <row r="88">
          <cell r="A88" t="str">
            <v>OceanNpcPointSpawner</v>
          </cell>
          <cell r="B88">
            <v>15200000</v>
          </cell>
          <cell r="C88">
            <v>15299999</v>
          </cell>
        </row>
        <row r="89">
          <cell r="A89" t="str">
            <v>OceanNpcTendency</v>
          </cell>
          <cell r="B89">
            <v>15300000</v>
          </cell>
          <cell r="C89">
            <v>15399999</v>
          </cell>
        </row>
        <row r="90">
          <cell r="A90" t="str">
            <v>OceanNpcShape</v>
          </cell>
          <cell r="B90">
            <v>15400000</v>
          </cell>
          <cell r="C90">
            <v>15499999</v>
          </cell>
        </row>
        <row r="91">
          <cell r="A91" t="str">
            <v>OceanNpcStage</v>
          </cell>
          <cell r="B91">
            <v>15500000</v>
          </cell>
          <cell r="C91">
            <v>15699999</v>
          </cell>
        </row>
        <row r="92">
          <cell r="A92" t="str">
            <v>OceanProtection</v>
          </cell>
          <cell r="B92">
            <v>16099900</v>
          </cell>
          <cell r="C92">
            <v>16099999</v>
          </cell>
        </row>
        <row r="93">
          <cell r="A93" t="str">
            <v>OceanDisaster</v>
          </cell>
          <cell r="B93">
            <v>16100000</v>
          </cell>
          <cell r="C93">
            <v>16199999</v>
          </cell>
        </row>
        <row r="94">
          <cell r="A94" t="str">
            <v>OceanNpcEffect</v>
          </cell>
          <cell r="B94">
            <v>16200000</v>
          </cell>
          <cell r="C94">
            <v>16299999</v>
          </cell>
        </row>
        <row r="95">
          <cell r="A95" t="str">
            <v>OceanNpcBuff</v>
          </cell>
          <cell r="B95">
            <v>16300000</v>
          </cell>
          <cell r="C95">
            <v>16399999</v>
          </cell>
        </row>
        <row r="96">
          <cell r="A96" t="str">
            <v>MateTalkList</v>
          </cell>
          <cell r="B96">
            <v>17600000</v>
          </cell>
          <cell r="C96">
            <v>17699999</v>
          </cell>
        </row>
        <row r="97">
          <cell r="A97" t="str">
            <v>MateManagement</v>
          </cell>
          <cell r="B97">
            <v>17800000</v>
          </cell>
          <cell r="C97">
            <v>17899999</v>
          </cell>
        </row>
        <row r="98">
          <cell r="A98" t="str">
            <v>MateAwaken</v>
          </cell>
          <cell r="B98">
            <v>17900000</v>
          </cell>
          <cell r="C98">
            <v>17900099</v>
          </cell>
        </row>
        <row r="99">
          <cell r="A99" t="str">
            <v>PieceSwap</v>
          </cell>
          <cell r="B99">
            <v>17900100</v>
          </cell>
          <cell r="C99">
            <v>17900200</v>
          </cell>
        </row>
        <row r="100">
          <cell r="A100" t="str">
            <v>BuildingHours</v>
          </cell>
          <cell r="B100">
            <v>19000000</v>
          </cell>
          <cell r="C100">
            <v>19499999</v>
          </cell>
        </row>
        <row r="101">
          <cell r="A101" t="str">
            <v>TownBuilding</v>
          </cell>
          <cell r="B101">
            <v>19500000</v>
          </cell>
          <cell r="C101">
            <v>19599999</v>
          </cell>
        </row>
        <row r="102">
          <cell r="A102" t="str">
            <v>TownKick</v>
          </cell>
          <cell r="B102">
            <v>19600000</v>
          </cell>
          <cell r="C102">
            <v>19699999</v>
          </cell>
        </row>
        <row r="103">
          <cell r="A103" t="str">
            <v>Admiral</v>
          </cell>
          <cell r="B103">
            <v>20000000</v>
          </cell>
          <cell r="C103">
            <v>20898999</v>
          </cell>
        </row>
        <row r="104">
          <cell r="A104" t="str">
            <v>AdmiralGroup</v>
          </cell>
          <cell r="B104">
            <v>20899000</v>
          </cell>
          <cell r="C104">
            <v>20899999</v>
          </cell>
        </row>
        <row r="105">
          <cell r="A105" t="str">
            <v>MatePersonality</v>
          </cell>
          <cell r="B105">
            <v>20900000</v>
          </cell>
          <cell r="C105">
            <v>20999999</v>
          </cell>
        </row>
        <row r="106">
          <cell r="A106" t="str">
            <v>Character</v>
          </cell>
          <cell r="B106">
            <v>21000000</v>
          </cell>
          <cell r="C106">
            <v>21199999</v>
          </cell>
        </row>
        <row r="107">
          <cell r="A107" t="str">
            <v>Mate</v>
          </cell>
          <cell r="B107">
            <v>21200000</v>
          </cell>
          <cell r="C107">
            <v>21399999</v>
          </cell>
        </row>
        <row r="108">
          <cell r="A108" t="str">
            <v>Job</v>
          </cell>
          <cell r="B108">
            <v>21400000</v>
          </cell>
          <cell r="C108">
            <v>21499999</v>
          </cell>
        </row>
        <row r="109">
          <cell r="A109" t="str">
            <v>CompanyJob</v>
          </cell>
          <cell r="B109">
            <v>21500000</v>
          </cell>
          <cell r="C109">
            <v>21500099</v>
          </cell>
        </row>
        <row r="110">
          <cell r="A110" t="str">
            <v>SpecialStat</v>
          </cell>
          <cell r="B110">
            <v>21600000</v>
          </cell>
          <cell r="C110">
            <v>21699999</v>
          </cell>
        </row>
        <row r="111">
          <cell r="A111" t="str">
            <v>RoyalTitle</v>
          </cell>
          <cell r="B111">
            <v>21700000</v>
          </cell>
          <cell r="C111">
            <v>21709999</v>
          </cell>
        </row>
        <row r="112">
          <cell r="A112" t="str">
            <v>RoyalTitleCollection</v>
          </cell>
          <cell r="B112">
            <v>21710000</v>
          </cell>
          <cell r="C112">
            <v>21719999</v>
          </cell>
        </row>
        <row r="113">
          <cell r="A113" t="str">
            <v>PubStaff</v>
          </cell>
          <cell r="B113">
            <v>21800000</v>
          </cell>
          <cell r="C113">
            <v>21899999</v>
          </cell>
        </row>
        <row r="114">
          <cell r="A114" t="str">
            <v>CEquip</v>
          </cell>
          <cell r="B114">
            <v>22000000</v>
          </cell>
          <cell r="C114">
            <v>22999999</v>
          </cell>
        </row>
        <row r="115">
          <cell r="A115" t="str">
            <v>Item</v>
          </cell>
          <cell r="B115">
            <v>23000000</v>
          </cell>
          <cell r="C115">
            <v>23999999</v>
          </cell>
        </row>
        <row r="116">
          <cell r="A116" t="str">
            <v>TradeGoods</v>
          </cell>
          <cell r="B116">
            <v>24000000</v>
          </cell>
          <cell r="C116">
            <v>24999999</v>
          </cell>
        </row>
        <row r="117">
          <cell r="A117" t="str">
            <v>Trade</v>
          </cell>
          <cell r="B117">
            <v>25000000</v>
          </cell>
          <cell r="C117">
            <v>25999999</v>
          </cell>
        </row>
        <row r="118">
          <cell r="A118" t="str">
            <v>InvestCompanyRanking</v>
          </cell>
          <cell r="B118">
            <v>27100000</v>
          </cell>
          <cell r="C118">
            <v>27199999</v>
          </cell>
        </row>
        <row r="119">
          <cell r="A119" t="str">
            <v>FaceShape</v>
          </cell>
          <cell r="B119">
            <v>30000000</v>
          </cell>
          <cell r="C119">
            <v>30999999</v>
          </cell>
        </row>
        <row r="120">
          <cell r="A120" t="str">
            <v>BodyShape</v>
          </cell>
          <cell r="B120">
            <v>31000000</v>
          </cell>
          <cell r="C120">
            <v>129999999</v>
          </cell>
        </row>
        <row r="121">
          <cell r="A121" t="str">
            <v>HairShape</v>
          </cell>
          <cell r="B121">
            <v>32000000</v>
          </cell>
          <cell r="C121">
            <v>32999999</v>
          </cell>
        </row>
        <row r="122">
          <cell r="A122" t="str">
            <v>HatShape</v>
          </cell>
          <cell r="B122">
            <v>33000000</v>
          </cell>
          <cell r="C122">
            <v>139999999</v>
          </cell>
        </row>
        <row r="123">
          <cell r="A123" t="str">
            <v>WeaponShape</v>
          </cell>
          <cell r="B123">
            <v>34000000</v>
          </cell>
          <cell r="C123">
            <v>119999999</v>
          </cell>
        </row>
        <row r="124">
          <cell r="A124" t="str">
            <v>CapeShape</v>
          </cell>
          <cell r="B124">
            <v>35000000</v>
          </cell>
          <cell r="C124">
            <v>159999999</v>
          </cell>
        </row>
        <row r="125">
          <cell r="A125" t="str">
            <v>FaceAccShape</v>
          </cell>
          <cell r="B125">
            <v>36000000</v>
          </cell>
          <cell r="C125">
            <v>169999999</v>
          </cell>
        </row>
        <row r="126">
          <cell r="A126" t="str">
            <v>WorldBuff</v>
          </cell>
          <cell r="B126">
            <v>38000000</v>
          </cell>
          <cell r="C126">
            <v>38099999</v>
          </cell>
        </row>
        <row r="127">
          <cell r="A127" t="str">
            <v>Religion</v>
          </cell>
          <cell r="B127">
            <v>38100000</v>
          </cell>
          <cell r="C127">
            <v>38199999</v>
          </cell>
        </row>
        <row r="128">
          <cell r="A128" t="str">
            <v>BuildingBuff</v>
          </cell>
          <cell r="B128">
            <v>38200000</v>
          </cell>
          <cell r="C128">
            <v>38299999</v>
          </cell>
        </row>
        <row r="129">
          <cell r="A129" t="str">
            <v>BuildingContentsUnlock</v>
          </cell>
          <cell r="B129">
            <v>38300000</v>
          </cell>
          <cell r="C129">
            <v>38399999</v>
          </cell>
        </row>
        <row r="130">
          <cell r="A130" t="str">
            <v>BuildingMenu</v>
          </cell>
          <cell r="B130">
            <v>38400000</v>
          </cell>
          <cell r="C130">
            <v>38419999</v>
          </cell>
        </row>
        <row r="131">
          <cell r="A131" t="str">
            <v>MainMenu</v>
          </cell>
          <cell r="B131">
            <v>38420000</v>
          </cell>
          <cell r="C131">
            <v>38499999</v>
          </cell>
        </row>
        <row r="132">
          <cell r="A132" t="str">
            <v>Fortune</v>
          </cell>
          <cell r="B132">
            <v>38510000</v>
          </cell>
          <cell r="C132">
            <v>38519999</v>
          </cell>
        </row>
        <row r="133">
          <cell r="A133" t="str">
            <v>Language</v>
          </cell>
          <cell r="B133">
            <v>39000000</v>
          </cell>
          <cell r="C133">
            <v>39999999</v>
          </cell>
        </row>
        <row r="134">
          <cell r="A134" t="str">
            <v>BuildingNpc</v>
          </cell>
          <cell r="B134">
            <v>40000000</v>
          </cell>
          <cell r="C134">
            <v>40099999</v>
          </cell>
        </row>
        <row r="135">
          <cell r="A135" t="str">
            <v>BankInstallmentSavings</v>
          </cell>
          <cell r="B135">
            <v>40100000</v>
          </cell>
          <cell r="C135">
            <v>40199999</v>
          </cell>
        </row>
        <row r="136">
          <cell r="A136" t="str">
            <v>BankInsurance</v>
          </cell>
          <cell r="B136">
            <v>40200000</v>
          </cell>
          <cell r="C136">
            <v>40299999</v>
          </cell>
        </row>
        <row r="137">
          <cell r="A137" t="str">
            <v>DepartSupply</v>
          </cell>
          <cell r="B137">
            <v>40600000</v>
          </cell>
          <cell r="C137">
            <v>40699999</v>
          </cell>
        </row>
        <row r="138">
          <cell r="A138" t="str">
            <v>ShipyardBuild</v>
          </cell>
          <cell r="B138">
            <v>40800000</v>
          </cell>
          <cell r="C138">
            <v>40899999</v>
          </cell>
        </row>
        <row r="139">
          <cell r="A139" t="str">
            <v>ShipyardShop</v>
          </cell>
          <cell r="B139">
            <v>40900000</v>
          </cell>
          <cell r="C139">
            <v>40999999</v>
          </cell>
        </row>
        <row r="140">
          <cell r="A140" t="str">
            <v>SailorDraft</v>
          </cell>
          <cell r="B140">
            <v>41000000</v>
          </cell>
          <cell r="C140">
            <v>41099999</v>
          </cell>
        </row>
        <row r="141">
          <cell r="A141" t="str">
            <v>MateRecruiting</v>
          </cell>
          <cell r="B141">
            <v>41400000</v>
          </cell>
          <cell r="C141">
            <v>41499999</v>
          </cell>
        </row>
        <row r="142">
          <cell r="A142" t="str">
            <v>MateRecruitingGroup</v>
          </cell>
          <cell r="B142">
            <v>41500000</v>
          </cell>
          <cell r="C142">
            <v>41799999</v>
          </cell>
        </row>
        <row r="143">
          <cell r="A143" t="str">
            <v>AdmissionNpc</v>
          </cell>
          <cell r="B143">
            <v>42000000</v>
          </cell>
          <cell r="C143">
            <v>42099999</v>
          </cell>
        </row>
        <row r="144">
          <cell r="A144" t="str">
            <v>LinerShip</v>
          </cell>
          <cell r="B144">
            <v>43000000</v>
          </cell>
          <cell r="C144">
            <v>43499999</v>
          </cell>
        </row>
        <row r="145">
          <cell r="A145" t="str">
            <v>Shop</v>
          </cell>
          <cell r="B145">
            <v>44100000</v>
          </cell>
          <cell r="C145">
            <v>44399999</v>
          </cell>
        </row>
        <row r="146">
          <cell r="A146" t="str">
            <v>ShipBodyShape</v>
          </cell>
          <cell r="B146">
            <v>45000000</v>
          </cell>
          <cell r="C146">
            <v>45999999</v>
          </cell>
        </row>
        <row r="147">
          <cell r="A147" t="str">
            <v>ShipPartShape</v>
          </cell>
          <cell r="B147">
            <v>46000000</v>
          </cell>
          <cell r="C147">
            <v>46999999</v>
          </cell>
        </row>
        <row r="148">
          <cell r="A148" t="str">
            <v>SailCrest</v>
          </cell>
          <cell r="B148">
            <v>47100000</v>
          </cell>
          <cell r="C148">
            <v>47199999</v>
          </cell>
        </row>
        <row r="149">
          <cell r="A149" t="str">
            <v>SailPattern</v>
          </cell>
          <cell r="B149">
            <v>47200000</v>
          </cell>
          <cell r="C149">
            <v>47299999</v>
          </cell>
        </row>
        <row r="150">
          <cell r="A150" t="str">
            <v>SailPatternColor</v>
          </cell>
          <cell r="B150">
            <v>47300000</v>
          </cell>
          <cell r="C150">
            <v>47399999</v>
          </cell>
        </row>
        <row r="151">
          <cell r="A151" t="str">
            <v>ShipBodyFirstColor</v>
          </cell>
          <cell r="B151">
            <v>47400000</v>
          </cell>
          <cell r="C151">
            <v>47499999</v>
          </cell>
        </row>
        <row r="152">
          <cell r="A152" t="str">
            <v>ShipBodySecondColor</v>
          </cell>
          <cell r="B152">
            <v>47500000</v>
          </cell>
          <cell r="C152">
            <v>47599999</v>
          </cell>
        </row>
        <row r="153">
          <cell r="A153" t="str">
            <v>TownNpcGlobal</v>
          </cell>
          <cell r="B153">
            <v>51000000</v>
          </cell>
          <cell r="C153">
            <v>51999999</v>
          </cell>
        </row>
        <row r="154">
          <cell r="A154" t="str">
            <v>TownNpcGroup</v>
          </cell>
          <cell r="B154">
            <v>52000000</v>
          </cell>
          <cell r="C154">
            <v>52999999</v>
          </cell>
        </row>
        <row r="155">
          <cell r="A155" t="str">
            <v>TownNpcTemplate</v>
          </cell>
          <cell r="B155">
            <v>53000000</v>
          </cell>
          <cell r="C155">
            <v>53999999</v>
          </cell>
        </row>
        <row r="156">
          <cell r="A156" t="str">
            <v>TownAreaSpawner</v>
          </cell>
          <cell r="B156">
            <v>54000000</v>
          </cell>
          <cell r="C156">
            <v>54999999</v>
          </cell>
        </row>
        <row r="157">
          <cell r="A157" t="str">
            <v>TownNpcOnePick</v>
          </cell>
          <cell r="B157">
            <v>55000000</v>
          </cell>
          <cell r="C157">
            <v>55999999</v>
          </cell>
        </row>
        <row r="158">
          <cell r="A158" t="str">
            <v>TownNpcAnimType</v>
          </cell>
          <cell r="B158">
            <v>56000000</v>
          </cell>
          <cell r="C158">
            <v>56999999</v>
          </cell>
        </row>
        <row r="159">
          <cell r="A159" t="str">
            <v>BossRaid</v>
          </cell>
          <cell r="B159">
            <v>57000000</v>
          </cell>
          <cell r="C159">
            <v>57009999</v>
          </cell>
        </row>
        <row r="160">
          <cell r="A160" t="str">
            <v>BossRaidRanking</v>
          </cell>
          <cell r="B160">
            <v>57010000</v>
          </cell>
          <cell r="C160">
            <v>57019999</v>
          </cell>
        </row>
        <row r="161">
          <cell r="A161" t="str">
            <v>BossRaidGuideInfo</v>
          </cell>
          <cell r="B161">
            <v>57020000</v>
          </cell>
          <cell r="C161">
            <v>57029999</v>
          </cell>
        </row>
        <row r="162">
          <cell r="A162" t="str">
            <v>BossRaidTicket</v>
          </cell>
          <cell r="B162">
            <v>57030000</v>
          </cell>
          <cell r="C162">
            <v>57039999</v>
          </cell>
        </row>
        <row r="163">
          <cell r="A163" t="str">
            <v>BattleTile</v>
          </cell>
          <cell r="B163">
            <v>60000000</v>
          </cell>
          <cell r="C163">
            <v>60099999</v>
          </cell>
        </row>
        <row r="164">
          <cell r="A164" t="str">
            <v>BattleMapObject</v>
          </cell>
          <cell r="B164">
            <v>60200000</v>
          </cell>
          <cell r="C164">
            <v>60299999</v>
          </cell>
        </row>
        <row r="165">
          <cell r="A165" t="str">
            <v>BattleActionRange</v>
          </cell>
          <cell r="B165">
            <v>60300000</v>
          </cell>
          <cell r="C165">
            <v>60399999</v>
          </cell>
        </row>
        <row r="166">
          <cell r="A166" t="str">
            <v>BattleAoeRange</v>
          </cell>
          <cell r="B166">
            <v>60400000</v>
          </cell>
          <cell r="C166">
            <v>60499999</v>
          </cell>
        </row>
        <row r="167">
          <cell r="A167" t="str">
            <v>BattleAiMoveWeight</v>
          </cell>
          <cell r="B167">
            <v>60500000</v>
          </cell>
          <cell r="C167">
            <v>60599999</v>
          </cell>
        </row>
        <row r="168">
          <cell r="A168" t="str">
            <v>BattleAiActionWeight</v>
          </cell>
          <cell r="B168">
            <v>60600000</v>
          </cell>
          <cell r="C168">
            <v>60699999</v>
          </cell>
        </row>
        <row r="169">
          <cell r="A169" t="str">
            <v>AutoMatePassiveFixed</v>
          </cell>
          <cell r="B169">
            <v>60700000</v>
          </cell>
          <cell r="C169">
            <v>60799999</v>
          </cell>
        </row>
        <row r="170">
          <cell r="A170" t="str">
            <v>FleetTemplate</v>
          </cell>
          <cell r="B170">
            <v>61000000</v>
          </cell>
          <cell r="C170">
            <v>61999999</v>
          </cell>
        </row>
        <row r="171">
          <cell r="A171" t="str">
            <v>ShipTemplate</v>
          </cell>
          <cell r="B171">
            <v>62000000</v>
          </cell>
          <cell r="C171">
            <v>62999999</v>
          </cell>
        </row>
        <row r="172">
          <cell r="A172" t="str">
            <v>LoadageRatio</v>
          </cell>
          <cell r="B172">
            <v>62010000</v>
          </cell>
          <cell r="C172">
            <v>62019999</v>
          </cell>
        </row>
        <row r="173">
          <cell r="A173" t="str">
            <v>ShipTemplateGroup</v>
          </cell>
          <cell r="B173">
            <v>62020000</v>
          </cell>
          <cell r="C173">
            <v>62999999</v>
          </cell>
        </row>
        <row r="174">
          <cell r="A174" t="str">
            <v>MateTemplate</v>
          </cell>
          <cell r="B174">
            <v>63000000</v>
          </cell>
          <cell r="C174">
            <v>63999999</v>
          </cell>
        </row>
        <row r="175">
          <cell r="A175" t="str">
            <v>AutoShipEquip</v>
          </cell>
          <cell r="B175">
            <v>64000000</v>
          </cell>
          <cell r="C175">
            <v>64099999</v>
          </cell>
        </row>
        <row r="176">
          <cell r="A176" t="str">
            <v>AutoMateEquip</v>
          </cell>
          <cell r="B176">
            <v>64100000</v>
          </cell>
          <cell r="C176">
            <v>64199999</v>
          </cell>
        </row>
        <row r="177">
          <cell r="A177" t="str">
            <v>BattleFormation</v>
          </cell>
          <cell r="B177">
            <v>64200000</v>
          </cell>
          <cell r="C177">
            <v>64249999</v>
          </cell>
        </row>
        <row r="178">
          <cell r="A178" t="str">
            <v>AnchorTemplate</v>
          </cell>
          <cell r="B178">
            <v>64250000</v>
          </cell>
          <cell r="C178">
            <v>64299999</v>
          </cell>
        </row>
        <row r="179">
          <cell r="A179" t="str">
            <v>BattleMap</v>
          </cell>
          <cell r="B179">
            <v>64300000</v>
          </cell>
          <cell r="C179">
            <v>64499999</v>
          </cell>
        </row>
        <row r="180">
          <cell r="A180" t="str">
            <v>BattleMapGroup</v>
          </cell>
          <cell r="B180">
            <v>64500000</v>
          </cell>
          <cell r="C180">
            <v>64599999</v>
          </cell>
        </row>
        <row r="181">
          <cell r="A181" t="str">
            <v>AutoBattleSkill</v>
          </cell>
          <cell r="B181">
            <v>64600000</v>
          </cell>
          <cell r="C181">
            <v>64699999</v>
          </cell>
        </row>
        <row r="182">
          <cell r="A182" t="str">
            <v>AutoBattlePassive</v>
          </cell>
          <cell r="B182">
            <v>64700000</v>
          </cell>
          <cell r="C182">
            <v>64799999</v>
          </cell>
        </row>
        <row r="183">
          <cell r="A183" t="str">
            <v>EncounterDialog</v>
          </cell>
          <cell r="B183">
            <v>64800000</v>
          </cell>
          <cell r="C183">
            <v>64899999</v>
          </cell>
        </row>
        <row r="184">
          <cell r="A184" t="str">
            <v>AutoMatePassive</v>
          </cell>
          <cell r="B184">
            <v>64900000</v>
          </cell>
          <cell r="C184">
            <v>64999999</v>
          </cell>
        </row>
        <row r="185">
          <cell r="A185" t="str">
            <v>AutoMateSkill</v>
          </cell>
          <cell r="B185">
            <v>65000000</v>
          </cell>
          <cell r="C185">
            <v>65099999</v>
          </cell>
        </row>
        <row r="186">
          <cell r="A186" t="str">
            <v>AutoMateOrder</v>
          </cell>
          <cell r="B186">
            <v>65100000</v>
          </cell>
          <cell r="C186">
            <v>65199999</v>
          </cell>
        </row>
        <row r="187">
          <cell r="A187" t="str">
            <v>AutoJobPassive</v>
          </cell>
          <cell r="B187">
            <v>65200000</v>
          </cell>
          <cell r="C187">
            <v>65299999</v>
          </cell>
        </row>
        <row r="188">
          <cell r="A188" t="str">
            <v>BattleSkill</v>
          </cell>
          <cell r="B188">
            <v>65300000</v>
          </cell>
          <cell r="C188">
            <v>65499999</v>
          </cell>
        </row>
        <row r="189">
          <cell r="A189" t="str">
            <v>BattleBuff</v>
          </cell>
          <cell r="B189">
            <v>65500000</v>
          </cell>
          <cell r="C189">
            <v>65999999</v>
          </cell>
        </row>
        <row r="190">
          <cell r="A190" t="str">
            <v>BattleActiveEffect</v>
          </cell>
          <cell r="B190">
            <v>66000000</v>
          </cell>
          <cell r="C190">
            <v>66999999</v>
          </cell>
        </row>
        <row r="191">
          <cell r="A191" t="str">
            <v>BattlePassiveEffect</v>
          </cell>
          <cell r="B191">
            <v>66100000</v>
          </cell>
          <cell r="C191">
            <v>66199999</v>
          </cell>
        </row>
        <row r="192">
          <cell r="A192" t="str">
            <v>BattleturnBoost</v>
          </cell>
          <cell r="B192">
            <v>66200000</v>
          </cell>
          <cell r="C192">
            <v>66209999</v>
          </cell>
        </row>
        <row r="193">
          <cell r="A193" t="str">
            <v>BattleFaction</v>
          </cell>
          <cell r="B193">
            <v>67000000</v>
          </cell>
          <cell r="C193">
            <v>67000999</v>
          </cell>
        </row>
        <row r="194">
          <cell r="A194" t="str">
            <v>BattlePassive</v>
          </cell>
          <cell r="B194">
            <v>67000000</v>
          </cell>
          <cell r="C194">
            <v>67499999</v>
          </cell>
        </row>
        <row r="195">
          <cell r="A195" t="str">
            <v>AutoBattleOrder</v>
          </cell>
          <cell r="B195">
            <v>67500000</v>
          </cell>
          <cell r="C195">
            <v>67599999</v>
          </cell>
        </row>
        <row r="196">
          <cell r="A196" t="str">
            <v>BattleDuelSkill</v>
          </cell>
          <cell r="B196">
            <v>67600000</v>
          </cell>
          <cell r="C196">
            <v>67699999</v>
          </cell>
        </row>
        <row r="197">
          <cell r="A197" t="str">
            <v>BattleDuelEffect</v>
          </cell>
          <cell r="B197">
            <v>67700000</v>
          </cell>
          <cell r="C197">
            <v>67799999</v>
          </cell>
        </row>
        <row r="198">
          <cell r="A198" t="str">
            <v>BattleTerms</v>
          </cell>
          <cell r="B198">
            <v>67800000</v>
          </cell>
          <cell r="C198">
            <v>68799999</v>
          </cell>
        </row>
        <row r="199">
          <cell r="A199" t="str">
            <v>BattleTermsList</v>
          </cell>
          <cell r="B199">
            <v>68800000</v>
          </cell>
          <cell r="C199">
            <v>68899999</v>
          </cell>
        </row>
        <row r="200">
          <cell r="A200" t="str">
            <v>BattleTod</v>
          </cell>
          <cell r="B200">
            <v>68900000</v>
          </cell>
          <cell r="C200">
            <v>68999999</v>
          </cell>
        </row>
        <row r="201">
          <cell r="A201" t="str">
            <v>BattleTermsGroup</v>
          </cell>
          <cell r="B201">
            <v>69000000</v>
          </cell>
          <cell r="C201">
            <v>69099999</v>
          </cell>
        </row>
        <row r="202">
          <cell r="A202" t="str">
            <v>BattleMissionGroup</v>
          </cell>
          <cell r="B202">
            <v>69100000</v>
          </cell>
          <cell r="C202">
            <v>69199999</v>
          </cell>
        </row>
        <row r="203">
          <cell r="A203" t="str">
            <v>BattleAiPersonality</v>
          </cell>
          <cell r="B203">
            <v>69100000</v>
          </cell>
          <cell r="C203">
            <v>69199999</v>
          </cell>
        </row>
        <row r="204">
          <cell r="A204" t="str">
            <v>BattleAiWeightList</v>
          </cell>
          <cell r="B204">
            <v>69200000</v>
          </cell>
          <cell r="C204">
            <v>69399999</v>
          </cell>
        </row>
        <row r="205">
          <cell r="A205" t="str">
            <v>BattleMapLayer</v>
          </cell>
          <cell r="B205">
            <v>69200000</v>
          </cell>
          <cell r="C205">
            <v>69299999</v>
          </cell>
        </row>
        <row r="206">
          <cell r="A206" t="str">
            <v>ShipClass</v>
          </cell>
          <cell r="B206">
            <v>69300000</v>
          </cell>
          <cell r="C206">
            <v>69399999</v>
          </cell>
        </row>
        <row r="207">
          <cell r="A207" t="str">
            <v>BattleDirectionShipCost</v>
          </cell>
          <cell r="B207">
            <v>70000000</v>
          </cell>
          <cell r="C207">
            <v>70099999</v>
          </cell>
        </row>
        <row r="208">
          <cell r="A208" t="str">
            <v>BattleTileShipCost</v>
          </cell>
          <cell r="B208">
            <v>70000000</v>
          </cell>
          <cell r="C208">
            <v>70099999</v>
          </cell>
        </row>
        <row r="209">
          <cell r="A209" t="str">
            <v>Ship</v>
          </cell>
          <cell r="B209">
            <v>70000000</v>
          </cell>
          <cell r="C209">
            <v>70099999</v>
          </cell>
        </row>
        <row r="210">
          <cell r="A210" t="str">
            <v>ShipSlot</v>
          </cell>
          <cell r="B210">
            <v>70100000</v>
          </cell>
          <cell r="C210">
            <v>70199999</v>
          </cell>
        </row>
        <row r="211">
          <cell r="A211" t="str">
            <v>ShipBlueprint</v>
          </cell>
          <cell r="B211">
            <v>70200000</v>
          </cell>
          <cell r="C211">
            <v>70289999</v>
          </cell>
        </row>
        <row r="212">
          <cell r="A212" t="str">
            <v>ShipCabinRelation</v>
          </cell>
          <cell r="B212">
            <v>70300000</v>
          </cell>
          <cell r="C212">
            <v>70399999</v>
          </cell>
        </row>
        <row r="213">
          <cell r="A213" t="str">
            <v>Discovery</v>
          </cell>
          <cell r="B213">
            <v>70400000</v>
          </cell>
          <cell r="C213">
            <v>70499999</v>
          </cell>
        </row>
        <row r="214">
          <cell r="A214" t="str">
            <v>Village</v>
          </cell>
          <cell r="B214">
            <v>70500000</v>
          </cell>
          <cell r="C214">
            <v>70599999</v>
          </cell>
        </row>
        <row r="215">
          <cell r="A215" t="str">
            <v>VillageDiscoveryGroup</v>
          </cell>
          <cell r="B215">
            <v>70600000</v>
          </cell>
          <cell r="C215">
            <v>70699999</v>
          </cell>
        </row>
        <row r="216">
          <cell r="A216" t="str">
            <v>VillageFriendship</v>
          </cell>
          <cell r="B216">
            <v>70700000</v>
          </cell>
          <cell r="C216">
            <v>70799999</v>
          </cell>
        </row>
        <row r="217">
          <cell r="A217" t="str">
            <v>DiscoveryRanking</v>
          </cell>
          <cell r="B217">
            <v>70800000</v>
          </cell>
          <cell r="C217">
            <v>70899999</v>
          </cell>
        </row>
        <row r="218">
          <cell r="A218" t="str">
            <v>DiscoveryTalk</v>
          </cell>
          <cell r="B218">
            <v>70900000</v>
          </cell>
          <cell r="C218">
            <v>70949999</v>
          </cell>
        </row>
        <row r="219">
          <cell r="A219" t="str">
            <v>DiscoveryText</v>
          </cell>
          <cell r="B219">
            <v>70950000</v>
          </cell>
          <cell r="C219">
            <v>70999999</v>
          </cell>
        </row>
        <row r="220">
          <cell r="A220" t="str">
            <v>GlobalTalk</v>
          </cell>
          <cell r="B220">
            <v>71000000</v>
          </cell>
          <cell r="C220">
            <v>71099999</v>
          </cell>
        </row>
        <row r="221">
          <cell r="A221" t="str">
            <v>OceanTalk</v>
          </cell>
          <cell r="B221">
            <v>71100000</v>
          </cell>
          <cell r="C221">
            <v>71199999</v>
          </cell>
        </row>
        <row r="222">
          <cell r="A222" t="str">
            <v>TownTalk</v>
          </cell>
          <cell r="B222">
            <v>71200000</v>
          </cell>
          <cell r="C222">
            <v>71299999</v>
          </cell>
        </row>
        <row r="223">
          <cell r="A223" t="str">
            <v>BattleTalk</v>
          </cell>
          <cell r="B223">
            <v>71300000</v>
          </cell>
          <cell r="C223">
            <v>71399999</v>
          </cell>
        </row>
        <row r="224">
          <cell r="A224" t="str">
            <v>LandExplore</v>
          </cell>
          <cell r="B224">
            <v>71400000</v>
          </cell>
          <cell r="C224">
            <v>71499999</v>
          </cell>
        </row>
        <row r="225">
          <cell r="A225" t="str">
            <v>LandExploreDiscoveryGroup</v>
          </cell>
          <cell r="B225">
            <v>71500000</v>
          </cell>
          <cell r="C225">
            <v>71599999</v>
          </cell>
        </row>
        <row r="226">
          <cell r="A226" t="str">
            <v>PubStaffTalk</v>
          </cell>
          <cell r="B226">
            <v>71400000</v>
          </cell>
          <cell r="C226">
            <v>71419999</v>
          </cell>
        </row>
        <row r="227">
          <cell r="A227" t="str">
            <v>PubStaffReaction</v>
          </cell>
          <cell r="B227">
            <v>71420000</v>
          </cell>
          <cell r="C227">
            <v>71449999</v>
          </cell>
        </row>
        <row r="228">
          <cell r="A228" t="str">
            <v>PubStaffText</v>
          </cell>
          <cell r="B228">
            <v>71450000</v>
          </cell>
          <cell r="C228">
            <v>71499999</v>
          </cell>
        </row>
        <row r="229">
          <cell r="A229" t="str">
            <v>GlobalText</v>
          </cell>
          <cell r="B229">
            <v>72000000</v>
          </cell>
          <cell r="C229">
            <v>72499999</v>
          </cell>
        </row>
        <row r="230">
          <cell r="A230" t="str">
            <v>FishOceanTile</v>
          </cell>
          <cell r="B230">
            <v>72000000</v>
          </cell>
          <cell r="C230">
            <v>72099999</v>
          </cell>
        </row>
        <row r="231">
          <cell r="A231" t="str">
            <v>FishGrade</v>
          </cell>
          <cell r="B231">
            <v>72100000</v>
          </cell>
          <cell r="C231">
            <v>72199999</v>
          </cell>
        </row>
        <row r="232">
          <cell r="A232" t="str">
            <v>FishDiscoveryGroup</v>
          </cell>
          <cell r="B232">
            <v>72200000</v>
          </cell>
          <cell r="C232">
            <v>72299999</v>
          </cell>
        </row>
        <row r="233">
          <cell r="A233" t="str">
            <v>OceanText</v>
          </cell>
          <cell r="B233">
            <v>72500000</v>
          </cell>
          <cell r="C233">
            <v>72999999</v>
          </cell>
        </row>
        <row r="234">
          <cell r="A234" t="str">
            <v>TownText</v>
          </cell>
          <cell r="B234">
            <v>73000000</v>
          </cell>
          <cell r="C234">
            <v>73499999</v>
          </cell>
        </row>
        <row r="235">
          <cell r="A235" t="str">
            <v>BattleText</v>
          </cell>
          <cell r="B235">
            <v>73500000</v>
          </cell>
          <cell r="C235">
            <v>73999999</v>
          </cell>
        </row>
        <row r="236">
          <cell r="A236" t="str">
            <v>ActiveAction</v>
          </cell>
          <cell r="B236">
            <v>74900000</v>
          </cell>
          <cell r="C236">
            <v>74999999</v>
          </cell>
        </row>
        <row r="237">
          <cell r="A237" t="str">
            <v>WorldSkill</v>
          </cell>
          <cell r="B237">
            <v>75000000</v>
          </cell>
          <cell r="C237">
            <v>75099999</v>
          </cell>
        </row>
        <row r="238">
          <cell r="A238" t="str">
            <v>WorldActiveEffect</v>
          </cell>
          <cell r="B238">
            <v>75100000</v>
          </cell>
          <cell r="C238">
            <v>75199999</v>
          </cell>
        </row>
        <row r="239">
          <cell r="A239" t="str">
            <v>WorldPassive</v>
          </cell>
          <cell r="B239">
            <v>75200000</v>
          </cell>
          <cell r="C239">
            <v>75299999</v>
          </cell>
        </row>
        <row r="240">
          <cell r="A240" t="str">
            <v>WorldPassiveEffect</v>
          </cell>
          <cell r="B240">
            <v>75300000</v>
          </cell>
          <cell r="C240">
            <v>75399999</v>
          </cell>
        </row>
        <row r="241">
          <cell r="A241" t="str">
            <v>WorldTrigger</v>
          </cell>
          <cell r="B241">
            <v>75400000</v>
          </cell>
          <cell r="C241">
            <v>75499999</v>
          </cell>
        </row>
        <row r="242">
          <cell r="A242" t="str">
            <v>ShipEnchant</v>
          </cell>
          <cell r="B242">
            <v>76000000</v>
          </cell>
          <cell r="C242">
            <v>76099999</v>
          </cell>
        </row>
        <row r="243">
          <cell r="A243" t="str">
            <v>ShipEnchantStatRatio</v>
          </cell>
          <cell r="B243">
            <v>76100000</v>
          </cell>
          <cell r="C243">
            <v>76199999</v>
          </cell>
        </row>
        <row r="244">
          <cell r="A244" t="str">
            <v>MaterialEffect</v>
          </cell>
          <cell r="B244">
            <v>76200000</v>
          </cell>
          <cell r="C244">
            <v>76210000</v>
          </cell>
        </row>
        <row r="245">
          <cell r="A245" t="str">
            <v>LandFeature</v>
          </cell>
          <cell r="B245">
            <v>77000000</v>
          </cell>
          <cell r="C245">
            <v>77099999</v>
          </cell>
        </row>
        <row r="246">
          <cell r="A246" t="str">
            <v>LandFeatureGroup</v>
          </cell>
          <cell r="B246">
            <v>77100000</v>
          </cell>
          <cell r="C246">
            <v>77199999</v>
          </cell>
        </row>
        <row r="247">
          <cell r="A247" t="str">
            <v>AdventureEventSpot</v>
          </cell>
          <cell r="B247">
            <v>77200000</v>
          </cell>
          <cell r="C247">
            <v>77299999</v>
          </cell>
        </row>
        <row r="248">
          <cell r="A248" t="str">
            <v>AdventureEventReward</v>
          </cell>
          <cell r="B248">
            <v>77300000</v>
          </cell>
          <cell r="C248">
            <v>77399999</v>
          </cell>
        </row>
        <row r="249">
          <cell r="A249" t="str">
            <v>AdventureSpecialEffect</v>
          </cell>
          <cell r="B249">
            <v>77400000</v>
          </cell>
          <cell r="C249">
            <v>77499999</v>
          </cell>
        </row>
        <row r="250">
          <cell r="A250" t="str">
            <v>AdventureItemFunction</v>
          </cell>
          <cell r="B250">
            <v>77500000</v>
          </cell>
          <cell r="C250">
            <v>77599999</v>
          </cell>
        </row>
        <row r="251">
          <cell r="A251" t="str">
            <v>AdventureDiscoveryGroup</v>
          </cell>
          <cell r="B251">
            <v>77600000</v>
          </cell>
          <cell r="C251">
            <v>77699999</v>
          </cell>
        </row>
        <row r="252">
          <cell r="A252" t="str">
            <v>AdventureEventMode</v>
          </cell>
          <cell r="B252">
            <v>77700000</v>
          </cell>
          <cell r="C252">
            <v>77799999</v>
          </cell>
        </row>
        <row r="253">
          <cell r="A253" t="str">
            <v>BattleChallenge</v>
          </cell>
          <cell r="B253">
            <v>79000000</v>
          </cell>
          <cell r="C253">
            <v>79099999</v>
          </cell>
        </row>
        <row r="254">
          <cell r="A254" t="str">
            <v>Achievement</v>
          </cell>
          <cell r="B254">
            <v>80000000</v>
          </cell>
          <cell r="C254">
            <v>80999999</v>
          </cell>
        </row>
        <row r="255">
          <cell r="A255" t="str">
            <v>ContentsTerms</v>
          </cell>
          <cell r="B255">
            <v>81000000</v>
          </cell>
          <cell r="C255">
            <v>81999999</v>
          </cell>
        </row>
        <row r="256">
          <cell r="A256" t="str">
            <v>Quest</v>
          </cell>
          <cell r="B256">
            <v>82000000</v>
          </cell>
          <cell r="C256">
            <v>82999999</v>
          </cell>
        </row>
        <row r="257">
          <cell r="A257" t="str">
            <v>QuestNode</v>
          </cell>
          <cell r="B257">
            <v>83000000</v>
          </cell>
          <cell r="C257">
            <v>83999999</v>
          </cell>
        </row>
        <row r="258">
          <cell r="A258" t="str">
            <v>RequestGroup</v>
          </cell>
          <cell r="B258">
            <v>84000000</v>
          </cell>
          <cell r="C258">
            <v>84499999</v>
          </cell>
        </row>
        <row r="259">
          <cell r="A259" t="str">
            <v>BurstGroup</v>
          </cell>
          <cell r="B259">
            <v>84500000</v>
          </cell>
          <cell r="C259">
            <v>84999999</v>
          </cell>
        </row>
        <row r="260">
          <cell r="A260" t="str">
            <v>Task</v>
          </cell>
          <cell r="B260">
            <v>85000000</v>
          </cell>
          <cell r="C260">
            <v>85999999</v>
          </cell>
        </row>
        <row r="261">
          <cell r="A261" t="str">
            <v>QuestTerms</v>
          </cell>
          <cell r="B261">
            <v>86000000</v>
          </cell>
          <cell r="C261">
            <v>86999999</v>
          </cell>
        </row>
        <row r="262">
          <cell r="A262" t="str">
            <v>AchievementTerms</v>
          </cell>
          <cell r="B262">
            <v>87000000</v>
          </cell>
          <cell r="C262">
            <v>87999999</v>
          </cell>
        </row>
        <row r="263">
          <cell r="A263" t="str">
            <v>RoyalOrderGroup</v>
          </cell>
          <cell r="B263">
            <v>88000000</v>
          </cell>
          <cell r="C263">
            <v>88999999</v>
          </cell>
        </row>
        <row r="264">
          <cell r="A264" t="str">
            <v>QuestGoal</v>
          </cell>
          <cell r="B264">
            <v>89000000</v>
          </cell>
          <cell r="C264">
            <v>89999999</v>
          </cell>
        </row>
        <row r="265">
          <cell r="A265" t="str">
            <v>Reward</v>
          </cell>
          <cell r="B265">
            <v>90000000</v>
          </cell>
          <cell r="C265">
            <v>90999999</v>
          </cell>
        </row>
        <row r="266">
          <cell r="A266" t="str">
            <v>RewardDropPool</v>
          </cell>
          <cell r="B266">
            <v>91000000</v>
          </cell>
          <cell r="C266">
            <v>91999999</v>
          </cell>
        </row>
        <row r="267">
          <cell r="A267" t="str">
            <v>Mail</v>
          </cell>
          <cell r="B267">
            <v>92000000</v>
          </cell>
          <cell r="C267">
            <v>92999999</v>
          </cell>
        </row>
        <row r="268">
          <cell r="A268" t="str">
            <v>QuestPayment</v>
          </cell>
          <cell r="B268">
            <v>93000000</v>
          </cell>
          <cell r="C268">
            <v>93999999</v>
          </cell>
        </row>
        <row r="269">
          <cell r="A269" t="str">
            <v>RewardFixed</v>
          </cell>
          <cell r="B269">
            <v>94000000</v>
          </cell>
          <cell r="C269">
            <v>95999999</v>
          </cell>
        </row>
        <row r="270">
          <cell r="A270" t="str">
            <v>SoundEvent</v>
          </cell>
          <cell r="B270">
            <v>96000000</v>
          </cell>
          <cell r="C270">
            <v>96999999</v>
          </cell>
        </row>
        <row r="271">
          <cell r="A271" t="str">
            <v>SoundGroup</v>
          </cell>
          <cell r="B271">
            <v>97000000</v>
          </cell>
          <cell r="C271">
            <v>97999999</v>
          </cell>
        </row>
        <row r="272">
          <cell r="A272" t="str">
            <v>Sound</v>
          </cell>
          <cell r="B272">
            <v>98000000</v>
          </cell>
          <cell r="C272">
            <v>98999999</v>
          </cell>
        </row>
        <row r="273">
          <cell r="A273" t="str">
            <v>SoundManagement</v>
          </cell>
          <cell r="B273">
            <v>99000000</v>
          </cell>
          <cell r="C273">
            <v>99099999</v>
          </cell>
        </row>
        <row r="274">
          <cell r="A274" t="str">
            <v>QuestPass</v>
          </cell>
          <cell r="B274">
            <v>99100000</v>
          </cell>
          <cell r="C274">
            <v>99199999</v>
          </cell>
        </row>
        <row r="275">
          <cell r="A275" t="str">
            <v>ButtonStatus</v>
          </cell>
          <cell r="B275">
            <v>99200000</v>
          </cell>
          <cell r="C275">
            <v>99209999</v>
          </cell>
        </row>
        <row r="276">
          <cell r="A276" t="str">
            <v>Emoticon</v>
          </cell>
          <cell r="B276">
            <v>99210000</v>
          </cell>
          <cell r="C276">
            <v>99219999</v>
          </cell>
        </row>
        <row r="277">
          <cell r="A277" t="str">
            <v>SystemMessage</v>
          </cell>
          <cell r="B277">
            <v>99220000</v>
          </cell>
          <cell r="C277">
            <v>99229999</v>
          </cell>
        </row>
        <row r="278">
          <cell r="A278" t="str">
            <v>ButtonStatusTerms</v>
          </cell>
          <cell r="B278">
            <v>99230000</v>
          </cell>
          <cell r="C278">
            <v>99239999</v>
          </cell>
        </row>
        <row r="279">
          <cell r="A279" t="str">
            <v>EventPage</v>
          </cell>
          <cell r="B279">
            <v>99300000</v>
          </cell>
          <cell r="C279">
            <v>99399999</v>
          </cell>
        </row>
        <row r="280">
          <cell r="A280" t="str">
            <v>Attendance</v>
          </cell>
          <cell r="B280">
            <v>99400000</v>
          </cell>
          <cell r="C280">
            <v>99499999</v>
          </cell>
        </row>
        <row r="281">
          <cell r="A281" t="str">
            <v>EventMission</v>
          </cell>
          <cell r="B281">
            <v>99500000</v>
          </cell>
          <cell r="C281">
            <v>99599999</v>
          </cell>
        </row>
        <row r="282">
          <cell r="A282" t="str">
            <v>SocialAnimation</v>
          </cell>
          <cell r="B282">
            <v>99600000</v>
          </cell>
          <cell r="C282">
            <v>99699999</v>
          </cell>
        </row>
        <row r="283">
          <cell r="A283" t="str">
            <v>EventTask</v>
          </cell>
          <cell r="B283">
            <v>99700000</v>
          </cell>
          <cell r="C283">
            <v>99799999</v>
          </cell>
        </row>
        <row r="284">
          <cell r="A284" t="str">
            <v>LiveEvent</v>
          </cell>
          <cell r="B284">
            <v>99800000</v>
          </cell>
          <cell r="C284">
            <v>99809999</v>
          </cell>
        </row>
        <row r="285">
          <cell r="A285" t="str">
            <v>EventRequestGroup</v>
          </cell>
          <cell r="B285">
            <v>99810000</v>
          </cell>
          <cell r="C285">
            <v>99849999</v>
          </cell>
        </row>
        <row r="286">
          <cell r="A286" t="str">
            <v>UWO 테이블 정리 - Google Sheets</v>
          </cell>
        </row>
        <row r="287">
          <cell r="A287" t="str">
            <v>로 이전 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">
          <cell r="A1" t="str">
            <v>id</v>
          </cell>
        </row>
        <row r="2">
          <cell r="A2" t="str">
            <v>key:24000000~24999999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:asset</v>
          </cell>
        </row>
        <row r="8">
          <cell r="A8" t="str">
            <v>:links</v>
          </cell>
        </row>
        <row r="9">
          <cell r="A9">
            <v>24000000</v>
          </cell>
          <cell r="B9" t="str">
            <v>감자</v>
          </cell>
        </row>
        <row r="10">
          <cell r="A10">
            <v>24000001</v>
          </cell>
          <cell r="B10" t="str">
            <v>개암</v>
          </cell>
        </row>
        <row r="11">
          <cell r="A11">
            <v>24000002</v>
          </cell>
          <cell r="B11" t="str">
            <v>게</v>
          </cell>
        </row>
        <row r="12">
          <cell r="A12">
            <v>24000003</v>
          </cell>
          <cell r="B12" t="str">
            <v>고구마</v>
          </cell>
        </row>
        <row r="13">
          <cell r="A13">
            <v>24000004</v>
          </cell>
          <cell r="B13" t="str">
            <v>굴</v>
          </cell>
        </row>
        <row r="14">
          <cell r="A14">
            <v>24000005</v>
          </cell>
          <cell r="B14" t="str">
            <v>누에콩</v>
          </cell>
        </row>
        <row r="15">
          <cell r="A15">
            <v>24000006</v>
          </cell>
          <cell r="B15" t="str">
            <v>다시마</v>
          </cell>
        </row>
        <row r="16">
          <cell r="A16">
            <v>24000007</v>
          </cell>
          <cell r="B16" t="str">
            <v>달걀</v>
          </cell>
        </row>
        <row r="17">
          <cell r="A17">
            <v>24000008</v>
          </cell>
          <cell r="B17" t="str">
            <v>닭고기</v>
          </cell>
        </row>
        <row r="18">
          <cell r="A18">
            <v>24000009</v>
          </cell>
          <cell r="B18" t="str">
            <v>당근</v>
          </cell>
        </row>
        <row r="19">
          <cell r="A19">
            <v>24000010</v>
          </cell>
          <cell r="B19" t="str">
            <v>대추야자</v>
          </cell>
        </row>
        <row r="20">
          <cell r="A20">
            <v>24000011</v>
          </cell>
          <cell r="B20" t="str">
            <v>돼지고기</v>
          </cell>
        </row>
        <row r="21">
          <cell r="A21">
            <v>24000012</v>
          </cell>
          <cell r="B21" t="str">
            <v>레몬</v>
          </cell>
        </row>
        <row r="22">
          <cell r="A22">
            <v>24000013</v>
          </cell>
          <cell r="B22" t="str">
            <v>메귀리</v>
          </cell>
        </row>
        <row r="23">
          <cell r="A23">
            <v>24000014</v>
          </cell>
          <cell r="B23" t="str">
            <v>모차렐라</v>
          </cell>
        </row>
        <row r="24">
          <cell r="A24">
            <v>24000015</v>
          </cell>
          <cell r="B24" t="str">
            <v>문어</v>
          </cell>
        </row>
        <row r="25">
          <cell r="A25">
            <v>24000016</v>
          </cell>
          <cell r="B25" t="str">
            <v>밀</v>
          </cell>
        </row>
        <row r="26">
          <cell r="A26">
            <v>24000017</v>
          </cell>
          <cell r="B26" t="str">
            <v>밀가루</v>
          </cell>
        </row>
        <row r="27">
          <cell r="A27">
            <v>24000018</v>
          </cell>
          <cell r="B27" t="str">
            <v>버섯</v>
          </cell>
        </row>
        <row r="28">
          <cell r="A28">
            <v>24000019</v>
          </cell>
          <cell r="B28" t="str">
            <v>베이컨</v>
          </cell>
        </row>
        <row r="29">
          <cell r="A29">
            <v>24000020</v>
          </cell>
          <cell r="B29" t="str">
            <v>벼</v>
          </cell>
        </row>
        <row r="30">
          <cell r="A30">
            <v>24000021</v>
          </cell>
          <cell r="B30" t="str">
            <v>보리</v>
          </cell>
        </row>
        <row r="31">
          <cell r="A31">
            <v>24000022</v>
          </cell>
          <cell r="B31" t="str">
            <v>사탕무</v>
          </cell>
        </row>
        <row r="32">
          <cell r="A32">
            <v>24000023</v>
          </cell>
          <cell r="B32" t="str">
            <v>사탕수수</v>
          </cell>
        </row>
        <row r="33">
          <cell r="A33">
            <v>24000024</v>
          </cell>
          <cell r="B33" t="str">
            <v>석류</v>
          </cell>
        </row>
        <row r="34">
          <cell r="A34">
            <v>24000025</v>
          </cell>
          <cell r="B34" t="str">
            <v>선인장</v>
          </cell>
        </row>
        <row r="35">
          <cell r="A35">
            <v>24000026</v>
          </cell>
          <cell r="B35" t="str">
            <v>소바</v>
          </cell>
        </row>
        <row r="36">
          <cell r="A36">
            <v>24000027</v>
          </cell>
          <cell r="B36" t="str">
            <v>소시지</v>
          </cell>
        </row>
        <row r="37">
          <cell r="A37">
            <v>24000028</v>
          </cell>
          <cell r="B37" t="str">
            <v>쇠고기</v>
          </cell>
        </row>
        <row r="38">
          <cell r="A38">
            <v>24000029</v>
          </cell>
          <cell r="B38" t="str">
            <v>수단</v>
          </cell>
        </row>
        <row r="39">
          <cell r="A39">
            <v>24000030</v>
          </cell>
          <cell r="B39" t="str">
            <v>순무</v>
          </cell>
        </row>
        <row r="40">
          <cell r="A40">
            <v>24000031</v>
          </cell>
          <cell r="B40" t="str">
            <v>진주조</v>
          </cell>
        </row>
        <row r="41">
          <cell r="A41">
            <v>24000032</v>
          </cell>
          <cell r="B41" t="str">
            <v>악어고기</v>
          </cell>
        </row>
        <row r="42">
          <cell r="A42">
            <v>24000033</v>
          </cell>
          <cell r="B42" t="str">
            <v>양고기</v>
          </cell>
        </row>
        <row r="43">
          <cell r="A43">
            <v>24000034</v>
          </cell>
          <cell r="B43" t="str">
            <v>밤</v>
          </cell>
        </row>
        <row r="44">
          <cell r="A44">
            <v>24000035</v>
          </cell>
          <cell r="B44" t="str">
            <v>양파</v>
          </cell>
        </row>
        <row r="45">
          <cell r="A45">
            <v>24000036</v>
          </cell>
          <cell r="B45" t="str">
            <v>어육</v>
          </cell>
        </row>
        <row r="46">
          <cell r="A46">
            <v>24000037</v>
          </cell>
          <cell r="B46" t="str">
            <v>오리고기</v>
          </cell>
        </row>
        <row r="47">
          <cell r="A47">
            <v>24000038</v>
          </cell>
          <cell r="B47" t="str">
            <v>옥수수</v>
          </cell>
        </row>
        <row r="48">
          <cell r="A48">
            <v>24000039</v>
          </cell>
          <cell r="B48" t="str">
            <v>올리브</v>
          </cell>
        </row>
        <row r="49">
          <cell r="A49">
            <v>24000040</v>
          </cell>
          <cell r="B49" t="str">
            <v>우유</v>
          </cell>
        </row>
        <row r="50">
          <cell r="A50">
            <v>24000041</v>
          </cell>
          <cell r="B50" t="str">
            <v>진주조개</v>
          </cell>
        </row>
        <row r="51">
          <cell r="A51">
            <v>24000042</v>
          </cell>
          <cell r="B51" t="str">
            <v>찹쌀</v>
          </cell>
        </row>
        <row r="52">
          <cell r="A52">
            <v>24000043</v>
          </cell>
          <cell r="B52" t="str">
            <v>치즈</v>
          </cell>
        </row>
        <row r="53">
          <cell r="A53">
            <v>24000044</v>
          </cell>
          <cell r="B53" t="str">
            <v>카사바</v>
          </cell>
        </row>
        <row r="54">
          <cell r="A54">
            <v>24000045</v>
          </cell>
          <cell r="B54" t="str">
            <v>캥거루고기</v>
          </cell>
        </row>
        <row r="55">
          <cell r="A55">
            <v>24000046</v>
          </cell>
          <cell r="B55" t="str">
            <v>콩</v>
          </cell>
        </row>
        <row r="56">
          <cell r="A56">
            <v>24000047</v>
          </cell>
          <cell r="B56" t="str">
            <v>퀴노아</v>
          </cell>
        </row>
        <row r="57">
          <cell r="A57">
            <v>24000048</v>
          </cell>
          <cell r="B57" t="str">
            <v>토란</v>
          </cell>
        </row>
        <row r="58">
          <cell r="A58">
            <v>24000049</v>
          </cell>
          <cell r="B58" t="str">
            <v>토마토</v>
          </cell>
        </row>
        <row r="59">
          <cell r="A59">
            <v>24000050</v>
          </cell>
          <cell r="B59" t="str">
            <v>파스타</v>
          </cell>
        </row>
        <row r="60">
          <cell r="A60">
            <v>24000051</v>
          </cell>
          <cell r="B60" t="str">
            <v>팥</v>
          </cell>
        </row>
        <row r="61">
          <cell r="A61">
            <v>24000052</v>
          </cell>
          <cell r="B61" t="str">
            <v>햄</v>
          </cell>
        </row>
        <row r="62">
          <cell r="A62">
            <v>24000053</v>
          </cell>
          <cell r="B62" t="str">
            <v>호밀</v>
          </cell>
        </row>
        <row r="63">
          <cell r="A63">
            <v>24000054</v>
          </cell>
          <cell r="B63" t="str">
            <v>단호박</v>
          </cell>
        </row>
        <row r="64">
          <cell r="A64">
            <v>24000055</v>
          </cell>
          <cell r="B64" t="str">
            <v>간장</v>
          </cell>
        </row>
        <row r="65">
          <cell r="A65">
            <v>24000056</v>
          </cell>
          <cell r="B65" t="str">
            <v>꿀</v>
          </cell>
        </row>
        <row r="66">
          <cell r="A66">
            <v>24000057</v>
          </cell>
          <cell r="B66" t="str">
            <v>돌소금</v>
          </cell>
        </row>
        <row r="67">
          <cell r="A67">
            <v>24000058</v>
          </cell>
          <cell r="B67" t="str">
            <v>된장</v>
          </cell>
        </row>
        <row r="68">
          <cell r="A68">
            <v>24000059</v>
          </cell>
          <cell r="B68" t="str">
            <v>두반장</v>
          </cell>
        </row>
        <row r="69">
          <cell r="A69">
            <v>24000060</v>
          </cell>
          <cell r="B69" t="str">
            <v>돼지기름</v>
          </cell>
        </row>
        <row r="70">
          <cell r="A70">
            <v>24000061</v>
          </cell>
          <cell r="B70" t="str">
            <v>맥아식초</v>
          </cell>
        </row>
        <row r="71">
          <cell r="A71">
            <v>24000062</v>
          </cell>
          <cell r="B71" t="str">
            <v>메이플시럽</v>
          </cell>
        </row>
        <row r="72">
          <cell r="A72">
            <v>24000063</v>
          </cell>
          <cell r="B72" t="str">
            <v>버터</v>
          </cell>
        </row>
        <row r="73">
          <cell r="A73">
            <v>24000064</v>
          </cell>
          <cell r="B73" t="str">
            <v>부케가르니</v>
          </cell>
        </row>
        <row r="74">
          <cell r="A74">
            <v>24000065</v>
          </cell>
          <cell r="B74" t="str">
            <v>사과식초</v>
          </cell>
        </row>
        <row r="75">
          <cell r="A75">
            <v>24000066</v>
          </cell>
          <cell r="B75" t="str">
            <v>설탕</v>
          </cell>
        </row>
        <row r="76">
          <cell r="A76">
            <v>24000067</v>
          </cell>
          <cell r="B76" t="str">
            <v>소금</v>
          </cell>
        </row>
        <row r="77">
          <cell r="A77">
            <v>24000068</v>
          </cell>
          <cell r="B77" t="str">
            <v>아몬드기름</v>
          </cell>
        </row>
        <row r="78">
          <cell r="A78">
            <v>24000069</v>
          </cell>
          <cell r="B78" t="str">
            <v>안초비</v>
          </cell>
        </row>
        <row r="79">
          <cell r="A79">
            <v>24000070</v>
          </cell>
          <cell r="B79" t="str">
            <v>야자기름</v>
          </cell>
        </row>
        <row r="80">
          <cell r="A80">
            <v>24000071</v>
          </cell>
          <cell r="B80" t="str">
            <v>옥수수기름</v>
          </cell>
        </row>
        <row r="81">
          <cell r="A81">
            <v>24000072</v>
          </cell>
          <cell r="B81" t="str">
            <v>올리브기름</v>
          </cell>
        </row>
        <row r="82">
          <cell r="A82">
            <v>24000073</v>
          </cell>
          <cell r="B82" t="str">
            <v>잼</v>
          </cell>
        </row>
        <row r="83">
          <cell r="A83">
            <v>24000074</v>
          </cell>
          <cell r="B83" t="str">
            <v>참기름</v>
          </cell>
        </row>
        <row r="84">
          <cell r="A84">
            <v>24000075</v>
          </cell>
          <cell r="B84" t="str">
            <v>참깨</v>
          </cell>
        </row>
        <row r="85">
          <cell r="A85">
            <v>24000076</v>
          </cell>
          <cell r="B85" t="str">
            <v>코코넛식초</v>
          </cell>
        </row>
        <row r="86">
          <cell r="A86">
            <v>24000077</v>
          </cell>
          <cell r="B86" t="str">
            <v>콩소메</v>
          </cell>
        </row>
        <row r="87">
          <cell r="A87">
            <v>24000078</v>
          </cell>
          <cell r="B87" t="str">
            <v>타마린드</v>
          </cell>
        </row>
        <row r="88">
          <cell r="A88">
            <v>24000079</v>
          </cell>
          <cell r="B88" t="str">
            <v>포도주식초</v>
          </cell>
        </row>
        <row r="89">
          <cell r="A89">
            <v>24000080</v>
          </cell>
          <cell r="B89" t="str">
            <v>허브기름</v>
          </cell>
        </row>
        <row r="90">
          <cell r="A90">
            <v>24000081</v>
          </cell>
          <cell r="B90" t="str">
            <v>허브소금</v>
          </cell>
        </row>
        <row r="91">
          <cell r="A91">
            <v>24000082</v>
          </cell>
          <cell r="B91" t="str">
            <v>허브식초</v>
          </cell>
        </row>
        <row r="92">
          <cell r="A92">
            <v>24000083</v>
          </cell>
          <cell r="B92" t="str">
            <v>흑식초</v>
          </cell>
        </row>
        <row r="93">
          <cell r="A93">
            <v>24000084</v>
          </cell>
          <cell r="B93" t="str">
            <v>닭</v>
          </cell>
        </row>
        <row r="94">
          <cell r="A94">
            <v>24000085</v>
          </cell>
          <cell r="B94" t="str">
            <v>돼지</v>
          </cell>
        </row>
        <row r="95">
          <cell r="A95">
            <v>24000086</v>
          </cell>
          <cell r="B95" t="str">
            <v>소</v>
          </cell>
        </row>
        <row r="96">
          <cell r="A96">
            <v>24000087</v>
          </cell>
          <cell r="B96" t="str">
            <v>양</v>
          </cell>
        </row>
        <row r="97">
          <cell r="A97">
            <v>24000088</v>
          </cell>
          <cell r="B97" t="str">
            <v>오리</v>
          </cell>
        </row>
        <row r="98">
          <cell r="A98">
            <v>24000089</v>
          </cell>
          <cell r="B98" t="str">
            <v>감초</v>
          </cell>
        </row>
        <row r="99">
          <cell r="A99">
            <v>24000090</v>
          </cell>
          <cell r="B99" t="str">
            <v>깨꽃</v>
          </cell>
        </row>
        <row r="100">
          <cell r="A100">
            <v>24000091</v>
          </cell>
          <cell r="B100" t="str">
            <v>노니</v>
          </cell>
        </row>
        <row r="101">
          <cell r="A101">
            <v>24000092</v>
          </cell>
          <cell r="B101" t="str">
            <v>녹용</v>
          </cell>
        </row>
        <row r="102">
          <cell r="A102">
            <v>24000093</v>
          </cell>
          <cell r="B102" t="str">
            <v>대황</v>
          </cell>
        </row>
        <row r="103">
          <cell r="A103">
            <v>24000094</v>
          </cell>
          <cell r="B103" t="str">
            <v>동충하초</v>
          </cell>
        </row>
        <row r="104">
          <cell r="A104">
            <v>24000095</v>
          </cell>
          <cell r="B104" t="str">
            <v>디기탈리스</v>
          </cell>
        </row>
        <row r="105">
          <cell r="A105">
            <v>24000096</v>
          </cell>
          <cell r="B105" t="str">
            <v>레몬밤</v>
          </cell>
        </row>
        <row r="106">
          <cell r="A106">
            <v>24000097</v>
          </cell>
          <cell r="B106" t="str">
            <v>마누카</v>
          </cell>
        </row>
        <row r="107">
          <cell r="A107">
            <v>24000098</v>
          </cell>
          <cell r="B107" t="str">
            <v>마카</v>
          </cell>
        </row>
        <row r="108">
          <cell r="A108">
            <v>24000099</v>
          </cell>
          <cell r="B108" t="str">
            <v>마황</v>
          </cell>
        </row>
        <row r="109">
          <cell r="A109">
            <v>24000100</v>
          </cell>
          <cell r="B109" t="str">
            <v>몰약</v>
          </cell>
        </row>
        <row r="110">
          <cell r="A110">
            <v>24000101</v>
          </cell>
          <cell r="B110" t="str">
            <v>민들레</v>
          </cell>
        </row>
        <row r="111">
          <cell r="A111">
            <v>24000102</v>
          </cell>
          <cell r="B111" t="str">
            <v>백단향</v>
          </cell>
        </row>
        <row r="112">
          <cell r="A112">
            <v>24000103</v>
          </cell>
          <cell r="B112" t="str">
            <v>벨라도나</v>
          </cell>
        </row>
        <row r="113">
          <cell r="A113">
            <v>24000104</v>
          </cell>
          <cell r="B113" t="str">
            <v>부채선인장</v>
          </cell>
        </row>
        <row r="114">
          <cell r="A114">
            <v>24000105</v>
          </cell>
          <cell r="B114" t="str">
            <v>붓꽃</v>
          </cell>
        </row>
        <row r="115">
          <cell r="A115">
            <v>24000106</v>
          </cell>
          <cell r="B115" t="str">
            <v>살구씨</v>
          </cell>
        </row>
        <row r="116">
          <cell r="A116">
            <v>24000107</v>
          </cell>
          <cell r="B116" t="str">
            <v>서각</v>
          </cell>
        </row>
        <row r="117">
          <cell r="A117">
            <v>24000108</v>
          </cell>
          <cell r="B117" t="str">
            <v>세이지</v>
          </cell>
        </row>
        <row r="118">
          <cell r="A118">
            <v>24000109</v>
          </cell>
          <cell r="B118" t="str">
            <v>센나</v>
          </cell>
        </row>
        <row r="119">
          <cell r="A119">
            <v>24000110</v>
          </cell>
          <cell r="B119" t="str">
            <v>아니스</v>
          </cell>
        </row>
        <row r="120">
          <cell r="A120">
            <v>24000111</v>
          </cell>
          <cell r="B120" t="str">
            <v>에리카</v>
          </cell>
        </row>
        <row r="121">
          <cell r="A121">
            <v>24000112</v>
          </cell>
          <cell r="B121" t="str">
            <v>용골</v>
          </cell>
        </row>
        <row r="122">
          <cell r="A122">
            <v>24000113</v>
          </cell>
          <cell r="B122" t="str">
            <v>용혈</v>
          </cell>
        </row>
        <row r="123">
          <cell r="A123">
            <v>24000114</v>
          </cell>
          <cell r="B123" t="str">
            <v>우황</v>
          </cell>
        </row>
        <row r="124">
          <cell r="A124">
            <v>24000115</v>
          </cell>
          <cell r="B124" t="str">
            <v>헛개나무 열매</v>
          </cell>
        </row>
        <row r="125">
          <cell r="A125">
            <v>24000116</v>
          </cell>
          <cell r="B125" t="str">
            <v>인삼</v>
          </cell>
        </row>
        <row r="126">
          <cell r="A126">
            <v>24000117</v>
          </cell>
          <cell r="B126" t="str">
            <v>작약</v>
          </cell>
        </row>
        <row r="127">
          <cell r="A127">
            <v>24000118</v>
          </cell>
          <cell r="B127" t="str">
            <v>지리바꽃</v>
          </cell>
        </row>
        <row r="128">
          <cell r="A128">
            <v>24000119</v>
          </cell>
          <cell r="B128" t="str">
            <v>콜키쿰</v>
          </cell>
        </row>
        <row r="129">
          <cell r="A129">
            <v>24000120</v>
          </cell>
          <cell r="B129" t="str">
            <v>향쑥</v>
          </cell>
        </row>
        <row r="130">
          <cell r="A130">
            <v>24000121</v>
          </cell>
          <cell r="B130" t="str">
            <v>대모갑</v>
          </cell>
        </row>
        <row r="131">
          <cell r="A131">
            <v>24000122</v>
          </cell>
          <cell r="B131" t="str">
            <v>등세공</v>
          </cell>
        </row>
        <row r="132">
          <cell r="A132">
            <v>24000123</v>
          </cell>
          <cell r="B132" t="str">
            <v>솔먹</v>
          </cell>
        </row>
        <row r="133">
          <cell r="A133">
            <v>24000124</v>
          </cell>
          <cell r="B133" t="str">
            <v>인쇄물</v>
          </cell>
        </row>
        <row r="134">
          <cell r="A134">
            <v>24000125</v>
          </cell>
          <cell r="B134" t="str">
            <v>초롱</v>
          </cell>
        </row>
        <row r="135">
          <cell r="A135">
            <v>24000126</v>
          </cell>
          <cell r="B135" t="str">
            <v>이슬람의 경전</v>
          </cell>
        </row>
        <row r="136">
          <cell r="A136">
            <v>24000127</v>
          </cell>
          <cell r="B136" t="str">
            <v>럼</v>
          </cell>
        </row>
        <row r="137">
          <cell r="A137">
            <v>24000128</v>
          </cell>
          <cell r="B137" t="str">
            <v>맥주</v>
          </cell>
        </row>
        <row r="138">
          <cell r="A138">
            <v>24000129</v>
          </cell>
          <cell r="B138" t="str">
            <v>미주</v>
          </cell>
        </row>
        <row r="139">
          <cell r="A139">
            <v>24000130</v>
          </cell>
          <cell r="B139" t="str">
            <v>보드카</v>
          </cell>
        </row>
        <row r="140">
          <cell r="A140">
            <v>24000131</v>
          </cell>
          <cell r="B140" t="str">
            <v>브랜디</v>
          </cell>
        </row>
        <row r="141">
          <cell r="A141">
            <v>24000132</v>
          </cell>
          <cell r="B141" t="str">
            <v>사오싱주</v>
          </cell>
        </row>
        <row r="142">
          <cell r="A142">
            <v>24000133</v>
          </cell>
          <cell r="B142" t="str">
            <v>셰리</v>
          </cell>
        </row>
        <row r="143">
          <cell r="A143">
            <v>24000134</v>
          </cell>
          <cell r="B143" t="str">
            <v>아콰비트</v>
          </cell>
        </row>
        <row r="144">
          <cell r="A144">
            <v>24000135</v>
          </cell>
          <cell r="B144" t="str">
            <v>막걸리</v>
          </cell>
        </row>
        <row r="145">
          <cell r="A145">
            <v>24000136</v>
          </cell>
          <cell r="B145" t="str">
            <v>위스키</v>
          </cell>
        </row>
        <row r="146">
          <cell r="A146">
            <v>24000137</v>
          </cell>
          <cell r="B146" t="str">
            <v>진</v>
          </cell>
        </row>
        <row r="147">
          <cell r="A147">
            <v>24000138</v>
          </cell>
          <cell r="B147" t="str">
            <v>청주</v>
          </cell>
        </row>
        <row r="148">
          <cell r="A148">
            <v>24000139</v>
          </cell>
          <cell r="B148" t="str">
            <v>테킬라</v>
          </cell>
        </row>
        <row r="149">
          <cell r="A149">
            <v>24000140</v>
          </cell>
          <cell r="B149" t="str">
            <v>포도주</v>
          </cell>
        </row>
        <row r="150">
          <cell r="A150">
            <v>24000141</v>
          </cell>
          <cell r="B150" t="str">
            <v>강황</v>
          </cell>
        </row>
        <row r="151">
          <cell r="A151">
            <v>24000142</v>
          </cell>
          <cell r="B151" t="str">
            <v>다목</v>
          </cell>
        </row>
        <row r="152">
          <cell r="A152">
            <v>24000143</v>
          </cell>
          <cell r="B152" t="str">
            <v>망고스틴</v>
          </cell>
        </row>
        <row r="153">
          <cell r="A153">
            <v>24000144</v>
          </cell>
          <cell r="B153" t="str">
            <v>아나토</v>
          </cell>
        </row>
        <row r="154">
          <cell r="A154">
            <v>24000145</v>
          </cell>
          <cell r="B154" t="str">
            <v>오배자</v>
          </cell>
        </row>
        <row r="155">
          <cell r="A155">
            <v>24000146</v>
          </cell>
          <cell r="B155" t="str">
            <v>인디고</v>
          </cell>
        </row>
        <row r="156">
          <cell r="A156">
            <v>24000147</v>
          </cell>
          <cell r="B156" t="str">
            <v>잇꽃</v>
          </cell>
        </row>
        <row r="157">
          <cell r="A157">
            <v>24000148</v>
          </cell>
          <cell r="B157" t="str">
            <v>자근</v>
          </cell>
        </row>
        <row r="158">
          <cell r="A158">
            <v>24000149</v>
          </cell>
          <cell r="B158" t="str">
            <v>카민</v>
          </cell>
        </row>
        <row r="159">
          <cell r="A159">
            <v>24000150</v>
          </cell>
          <cell r="B159" t="str">
            <v>푸스틱</v>
          </cell>
        </row>
        <row r="160">
          <cell r="A160">
            <v>24000151</v>
          </cell>
          <cell r="B160" t="str">
            <v>구리 광석</v>
          </cell>
        </row>
        <row r="161">
          <cell r="A161">
            <v>24000152</v>
          </cell>
          <cell r="B161" t="str">
            <v>구아노</v>
          </cell>
        </row>
        <row r="162">
          <cell r="A162">
            <v>24000153</v>
          </cell>
          <cell r="B162" t="str">
            <v>납 광석</v>
          </cell>
        </row>
        <row r="163">
          <cell r="A163">
            <v>24000154</v>
          </cell>
          <cell r="B163" t="str">
            <v>맥반석</v>
          </cell>
        </row>
        <row r="164">
          <cell r="A164">
            <v>24000155</v>
          </cell>
          <cell r="B164" t="str">
            <v>아연 광석</v>
          </cell>
        </row>
        <row r="165">
          <cell r="A165">
            <v>24000156</v>
          </cell>
          <cell r="B165" t="str">
            <v>주석 광석</v>
          </cell>
        </row>
        <row r="166">
          <cell r="A166">
            <v>24000157</v>
          </cell>
          <cell r="B166" t="str">
            <v>진사</v>
          </cell>
        </row>
        <row r="167">
          <cell r="A167">
            <v>24000158</v>
          </cell>
          <cell r="B167" t="str">
            <v>철광석</v>
          </cell>
        </row>
        <row r="168">
          <cell r="A168">
            <v>24000159</v>
          </cell>
          <cell r="B168" t="str">
            <v>강철</v>
          </cell>
        </row>
        <row r="169">
          <cell r="A169">
            <v>24000160</v>
          </cell>
          <cell r="B169" t="str">
            <v>고무</v>
          </cell>
        </row>
        <row r="170">
          <cell r="A170">
            <v>24000161</v>
          </cell>
          <cell r="B170" t="str">
            <v>납</v>
          </cell>
        </row>
        <row r="171">
          <cell r="A171">
            <v>24000162</v>
          </cell>
          <cell r="B171" t="str">
            <v>놋쇠</v>
          </cell>
        </row>
        <row r="172">
          <cell r="A172">
            <v>24000163</v>
          </cell>
          <cell r="B172" t="str">
            <v>대나무</v>
          </cell>
        </row>
        <row r="173">
          <cell r="A173">
            <v>24000164</v>
          </cell>
          <cell r="B173" t="str">
            <v>대리석</v>
          </cell>
        </row>
        <row r="174">
          <cell r="A174">
            <v>24000165</v>
          </cell>
          <cell r="B174" t="str">
            <v>동판</v>
          </cell>
        </row>
        <row r="175">
          <cell r="A175">
            <v>24000166</v>
          </cell>
          <cell r="B175" t="str">
            <v>등</v>
          </cell>
        </row>
        <row r="176">
          <cell r="A176">
            <v>24000167</v>
          </cell>
          <cell r="B176" t="str">
            <v>목재</v>
          </cell>
        </row>
        <row r="177">
          <cell r="A177">
            <v>24000168</v>
          </cell>
          <cell r="B177" t="str">
            <v>밀랍</v>
          </cell>
        </row>
        <row r="178">
          <cell r="A178">
            <v>24000169</v>
          </cell>
          <cell r="B178" t="str">
            <v>석유</v>
          </cell>
        </row>
        <row r="179">
          <cell r="A179">
            <v>24000170</v>
          </cell>
          <cell r="B179" t="str">
            <v>석재</v>
          </cell>
        </row>
        <row r="180">
          <cell r="A180">
            <v>24000171</v>
          </cell>
          <cell r="B180" t="str">
            <v>석탄</v>
          </cell>
        </row>
        <row r="181">
          <cell r="A181">
            <v>24000172</v>
          </cell>
          <cell r="B181" t="str">
            <v>설화 석고</v>
          </cell>
        </row>
        <row r="182">
          <cell r="A182">
            <v>24000173</v>
          </cell>
          <cell r="B182" t="str">
            <v>소가죽</v>
          </cell>
        </row>
        <row r="183">
          <cell r="A183">
            <v>24000174</v>
          </cell>
          <cell r="B183" t="str">
            <v>수은</v>
          </cell>
        </row>
        <row r="184">
          <cell r="A184">
            <v>24000175</v>
          </cell>
          <cell r="B184" t="str">
            <v>양피지</v>
          </cell>
        </row>
        <row r="185">
          <cell r="A185">
            <v>24000176</v>
          </cell>
          <cell r="B185" t="str">
            <v>옻</v>
          </cell>
        </row>
        <row r="186">
          <cell r="A186">
            <v>24000177</v>
          </cell>
          <cell r="B186" t="str">
            <v>와시</v>
          </cell>
        </row>
        <row r="187">
          <cell r="A187">
            <v>24000178</v>
          </cell>
          <cell r="B187" t="str">
            <v>유황</v>
          </cell>
        </row>
        <row r="188">
          <cell r="A188">
            <v>24000179</v>
          </cell>
          <cell r="B188" t="str">
            <v>종이</v>
          </cell>
        </row>
        <row r="189">
          <cell r="A189">
            <v>24000180</v>
          </cell>
          <cell r="B189" t="str">
            <v>주석</v>
          </cell>
        </row>
        <row r="190">
          <cell r="A190">
            <v>24000181</v>
          </cell>
          <cell r="B190" t="str">
            <v>철재</v>
          </cell>
        </row>
        <row r="191">
          <cell r="A191">
            <v>24000182</v>
          </cell>
          <cell r="B191" t="str">
            <v>청동</v>
          </cell>
        </row>
        <row r="192">
          <cell r="A192">
            <v>24000183</v>
          </cell>
          <cell r="B192" t="str">
            <v>통나무</v>
          </cell>
        </row>
        <row r="193">
          <cell r="A193">
            <v>24000184</v>
          </cell>
          <cell r="B193" t="str">
            <v>파피루스</v>
          </cell>
        </row>
        <row r="194">
          <cell r="A194">
            <v>24000185</v>
          </cell>
          <cell r="B194" t="str">
            <v>한지</v>
          </cell>
        </row>
        <row r="195">
          <cell r="A195">
            <v>24000186</v>
          </cell>
          <cell r="B195" t="str">
            <v>흑단</v>
          </cell>
        </row>
        <row r="196">
          <cell r="A196">
            <v>24000187</v>
          </cell>
          <cell r="B196" t="str">
            <v>흑연</v>
          </cell>
        </row>
        <row r="197">
          <cell r="A197">
            <v>24000188</v>
          </cell>
          <cell r="B197" t="str">
            <v>가지</v>
          </cell>
        </row>
        <row r="198">
          <cell r="A198">
            <v>24000189</v>
          </cell>
          <cell r="B198" t="str">
            <v>건포도</v>
          </cell>
        </row>
        <row r="199">
          <cell r="A199">
            <v>24000190</v>
          </cell>
          <cell r="B199" t="str">
            <v>담배</v>
          </cell>
        </row>
        <row r="200">
          <cell r="A200">
            <v>24000191</v>
          </cell>
          <cell r="B200" t="str">
            <v>두리안</v>
          </cell>
        </row>
        <row r="201">
          <cell r="A201">
            <v>24000192</v>
          </cell>
          <cell r="B201" t="str">
            <v>땅콩</v>
          </cell>
        </row>
        <row r="202">
          <cell r="A202">
            <v>24000193</v>
          </cell>
          <cell r="B202" t="str">
            <v>레몬머틀</v>
          </cell>
        </row>
        <row r="203">
          <cell r="A203">
            <v>24000194</v>
          </cell>
          <cell r="B203" t="str">
            <v>로쿰</v>
          </cell>
        </row>
        <row r="204">
          <cell r="A204">
            <v>24000195</v>
          </cell>
          <cell r="B204" t="str">
            <v>루이보스</v>
          </cell>
        </row>
        <row r="205">
          <cell r="A205">
            <v>24000196</v>
          </cell>
          <cell r="B205" t="str">
            <v>마떼</v>
          </cell>
        </row>
        <row r="206">
          <cell r="A206">
            <v>24000197</v>
          </cell>
          <cell r="B206" t="str">
            <v>마카다미아</v>
          </cell>
        </row>
        <row r="207">
          <cell r="A207">
            <v>24000198</v>
          </cell>
          <cell r="B207" t="str">
            <v>말린 망고</v>
          </cell>
        </row>
        <row r="208">
          <cell r="A208">
            <v>24000199</v>
          </cell>
          <cell r="B208" t="str">
            <v>망고</v>
          </cell>
        </row>
        <row r="209">
          <cell r="A209">
            <v>24000200</v>
          </cell>
          <cell r="B209" t="str">
            <v>무화과</v>
          </cell>
        </row>
        <row r="210">
          <cell r="A210">
            <v>24000201</v>
          </cell>
          <cell r="B210" t="str">
            <v>바나나</v>
          </cell>
        </row>
        <row r="211">
          <cell r="A211">
            <v>24000202</v>
          </cell>
          <cell r="B211" t="str">
            <v>복분자</v>
          </cell>
        </row>
        <row r="212">
          <cell r="A212">
            <v>24000203</v>
          </cell>
          <cell r="B212" t="str">
            <v>블루베리</v>
          </cell>
        </row>
        <row r="213">
          <cell r="A213">
            <v>24000204</v>
          </cell>
          <cell r="B213" t="str">
            <v>산딸기</v>
          </cell>
        </row>
        <row r="214">
          <cell r="A214">
            <v>24000205</v>
          </cell>
          <cell r="B214" t="str">
            <v>아몬드</v>
          </cell>
        </row>
        <row r="215">
          <cell r="A215">
            <v>24000206</v>
          </cell>
          <cell r="B215" t="str">
            <v>자두</v>
          </cell>
        </row>
        <row r="216">
          <cell r="A216">
            <v>24000207</v>
          </cell>
          <cell r="B216" t="str">
            <v>중국차</v>
          </cell>
        </row>
        <row r="217">
          <cell r="A217">
            <v>24000208</v>
          </cell>
          <cell r="B217" t="str">
            <v>차</v>
          </cell>
        </row>
        <row r="218">
          <cell r="A218">
            <v>24000209</v>
          </cell>
          <cell r="B218" t="str">
            <v>치클</v>
          </cell>
        </row>
        <row r="219">
          <cell r="A219">
            <v>24000210</v>
          </cell>
          <cell r="B219" t="str">
            <v>카카오</v>
          </cell>
        </row>
        <row r="220">
          <cell r="A220">
            <v>24000211</v>
          </cell>
          <cell r="B220" t="str">
            <v>캐비아</v>
          </cell>
        </row>
        <row r="221">
          <cell r="A221">
            <v>24000212</v>
          </cell>
          <cell r="B221" t="str">
            <v>캐슈너트</v>
          </cell>
        </row>
        <row r="222">
          <cell r="A222">
            <v>24000213</v>
          </cell>
          <cell r="B222" t="str">
            <v>커피</v>
          </cell>
        </row>
        <row r="223">
          <cell r="A223">
            <v>24000214</v>
          </cell>
          <cell r="B223" t="str">
            <v>코코넛</v>
          </cell>
        </row>
        <row r="224">
          <cell r="A224">
            <v>24000215</v>
          </cell>
          <cell r="B224" t="str">
            <v>크랜베리</v>
          </cell>
        </row>
        <row r="225">
          <cell r="A225">
            <v>24000216</v>
          </cell>
          <cell r="B225" t="str">
            <v>파인애플</v>
          </cell>
        </row>
        <row r="226">
          <cell r="A226">
            <v>24000217</v>
          </cell>
          <cell r="B226" t="str">
            <v>파파야</v>
          </cell>
        </row>
        <row r="227">
          <cell r="A227">
            <v>24000218</v>
          </cell>
          <cell r="B227" t="str">
            <v>피스타치오</v>
          </cell>
        </row>
        <row r="228">
          <cell r="A228">
            <v>24000219</v>
          </cell>
          <cell r="B228" t="str">
            <v>피클</v>
          </cell>
        </row>
        <row r="229">
          <cell r="A229">
            <v>24000220</v>
          </cell>
          <cell r="B229" t="str">
            <v>호두</v>
          </cell>
        </row>
        <row r="230">
          <cell r="A230">
            <v>24000221</v>
          </cell>
          <cell r="B230" t="str">
            <v>홍차</v>
          </cell>
        </row>
        <row r="231">
          <cell r="A231">
            <v>24000222</v>
          </cell>
          <cell r="B231" t="str">
            <v>골풀</v>
          </cell>
        </row>
        <row r="232">
          <cell r="A232">
            <v>24000223</v>
          </cell>
          <cell r="B232" t="str">
            <v>깃털</v>
          </cell>
        </row>
        <row r="233">
          <cell r="A233">
            <v>24000224</v>
          </cell>
          <cell r="B233" t="str">
            <v>낙타털</v>
          </cell>
        </row>
        <row r="234">
          <cell r="A234">
            <v>24000225</v>
          </cell>
          <cell r="B234" t="str">
            <v>마닐라삼</v>
          </cell>
        </row>
        <row r="235">
          <cell r="A235">
            <v>24000226</v>
          </cell>
          <cell r="B235" t="str">
            <v>모시풀</v>
          </cell>
        </row>
        <row r="236">
          <cell r="A236">
            <v>24000227</v>
          </cell>
          <cell r="B236" t="str">
            <v>모피</v>
          </cell>
        </row>
        <row r="237">
          <cell r="A237">
            <v>24000228</v>
          </cell>
          <cell r="B237" t="str">
            <v>산양모</v>
          </cell>
        </row>
        <row r="238">
          <cell r="A238">
            <v>24000229</v>
          </cell>
          <cell r="B238" t="str">
            <v>삼</v>
          </cell>
        </row>
        <row r="239">
          <cell r="A239">
            <v>24000230</v>
          </cell>
          <cell r="B239" t="str">
            <v>생사</v>
          </cell>
        </row>
        <row r="240">
          <cell r="A240">
            <v>24000231</v>
          </cell>
          <cell r="B240" t="str">
            <v>아마</v>
          </cell>
        </row>
        <row r="241">
          <cell r="A241">
            <v>24000232</v>
          </cell>
          <cell r="B241" t="str">
            <v>알파카 털실</v>
          </cell>
        </row>
        <row r="242">
          <cell r="A242">
            <v>24000233</v>
          </cell>
          <cell r="B242" t="str">
            <v>야자섬유</v>
          </cell>
        </row>
        <row r="243">
          <cell r="A243">
            <v>24000234</v>
          </cell>
          <cell r="B243" t="str">
            <v>양마</v>
          </cell>
        </row>
        <row r="244">
          <cell r="A244">
            <v>24000235</v>
          </cell>
          <cell r="B244" t="str">
            <v>양모</v>
          </cell>
        </row>
        <row r="245">
          <cell r="A245">
            <v>24000236</v>
          </cell>
          <cell r="B245" t="str">
            <v>토끼털</v>
          </cell>
        </row>
        <row r="246">
          <cell r="A246">
            <v>24000237</v>
          </cell>
          <cell r="B246" t="str">
            <v>파초</v>
          </cell>
        </row>
        <row r="247">
          <cell r="A247">
            <v>24000238</v>
          </cell>
          <cell r="B247" t="str">
            <v>판야</v>
          </cell>
        </row>
        <row r="248">
          <cell r="A248">
            <v>24000239</v>
          </cell>
          <cell r="B248" t="str">
            <v>황마</v>
          </cell>
        </row>
        <row r="249">
          <cell r="A249">
            <v>24000240</v>
          </cell>
          <cell r="B249" t="str">
            <v>고블랭</v>
          </cell>
        </row>
        <row r="250">
          <cell r="A250">
            <v>24000241</v>
          </cell>
          <cell r="B250" t="str">
            <v>공단</v>
          </cell>
        </row>
        <row r="251">
          <cell r="A251">
            <v>24000242</v>
          </cell>
          <cell r="B251" t="str">
            <v>니시진오리</v>
          </cell>
        </row>
        <row r="252">
          <cell r="A252">
            <v>24000243</v>
          </cell>
          <cell r="B252" t="str">
            <v>니트</v>
          </cell>
        </row>
        <row r="253">
          <cell r="A253">
            <v>24000244</v>
          </cell>
          <cell r="B253" t="str">
            <v>다마스크</v>
          </cell>
        </row>
        <row r="254">
          <cell r="A254">
            <v>24000245</v>
          </cell>
          <cell r="B254" t="str">
            <v>레이스</v>
          </cell>
        </row>
        <row r="255">
          <cell r="A255">
            <v>24000246</v>
          </cell>
          <cell r="B255" t="str">
            <v>마직물</v>
          </cell>
        </row>
        <row r="256">
          <cell r="A256">
            <v>24000247</v>
          </cell>
          <cell r="B256" t="str">
            <v>명주</v>
          </cell>
        </row>
        <row r="257">
          <cell r="A257">
            <v>24000248</v>
          </cell>
          <cell r="B257" t="str">
            <v>모슬린</v>
          </cell>
        </row>
        <row r="258">
          <cell r="A258">
            <v>24000249</v>
          </cell>
          <cell r="B258" t="str">
            <v>모시</v>
          </cell>
        </row>
        <row r="259">
          <cell r="A259">
            <v>24000250</v>
          </cell>
          <cell r="B259" t="str">
            <v>무명</v>
          </cell>
        </row>
        <row r="260">
          <cell r="A260">
            <v>24000251</v>
          </cell>
          <cell r="B260" t="str">
            <v>벨벳</v>
          </cell>
        </row>
        <row r="261">
          <cell r="A261">
            <v>24000252</v>
          </cell>
          <cell r="B261" t="str">
            <v>비단</v>
          </cell>
        </row>
        <row r="262">
          <cell r="A262">
            <v>24000253</v>
          </cell>
          <cell r="B262" t="str">
            <v>빈가타</v>
          </cell>
        </row>
        <row r="263">
          <cell r="A263">
            <v>24000254</v>
          </cell>
          <cell r="B263" t="str">
            <v>조젯</v>
          </cell>
        </row>
        <row r="264">
          <cell r="A264">
            <v>24000255</v>
          </cell>
          <cell r="B264" t="str">
            <v>융단</v>
          </cell>
        </row>
        <row r="265">
          <cell r="A265">
            <v>24000256</v>
          </cell>
          <cell r="B265" t="str">
            <v>캐시미어</v>
          </cell>
        </row>
        <row r="266">
          <cell r="A266">
            <v>24000257</v>
          </cell>
          <cell r="B266" t="str">
            <v>코듀로이</v>
          </cell>
        </row>
        <row r="267">
          <cell r="A267">
            <v>24000258</v>
          </cell>
          <cell r="B267" t="str">
            <v>트위드</v>
          </cell>
        </row>
        <row r="268">
          <cell r="A268">
            <v>24000259</v>
          </cell>
          <cell r="B268" t="str">
            <v>펠트</v>
          </cell>
        </row>
        <row r="269">
          <cell r="A269">
            <v>24000260</v>
          </cell>
          <cell r="B269" t="str">
            <v>플란넬</v>
          </cell>
        </row>
        <row r="270">
          <cell r="A270">
            <v>24000261</v>
          </cell>
          <cell r="B270" t="str">
            <v>호박단</v>
          </cell>
        </row>
        <row r="271">
          <cell r="A271">
            <v>24000262</v>
          </cell>
          <cell r="B271" t="str">
            <v>각세공</v>
          </cell>
        </row>
        <row r="272">
          <cell r="A272">
            <v>24000263</v>
          </cell>
          <cell r="B272" t="str">
            <v>고려청자</v>
          </cell>
        </row>
        <row r="273">
          <cell r="A273">
            <v>24000264</v>
          </cell>
          <cell r="B273" t="str">
            <v>당금</v>
          </cell>
        </row>
        <row r="274">
          <cell r="A274">
            <v>24000265</v>
          </cell>
          <cell r="B274" t="str">
            <v>도자기</v>
          </cell>
        </row>
        <row r="275">
          <cell r="A275">
            <v>24000266</v>
          </cell>
          <cell r="B275" t="str">
            <v>세공 장식품</v>
          </cell>
        </row>
        <row r="276">
          <cell r="A276">
            <v>24000267</v>
          </cell>
          <cell r="B276" t="str">
            <v>유리구슬</v>
          </cell>
        </row>
        <row r="277">
          <cell r="A277">
            <v>24000268</v>
          </cell>
          <cell r="B277" t="str">
            <v>유리그릇</v>
          </cell>
        </row>
        <row r="278">
          <cell r="A278">
            <v>24000269</v>
          </cell>
          <cell r="B278" t="str">
            <v>은 식기</v>
          </cell>
        </row>
        <row r="279">
          <cell r="A279">
            <v>24000270</v>
          </cell>
          <cell r="B279" t="str">
            <v>칠기</v>
          </cell>
        </row>
        <row r="280">
          <cell r="A280">
            <v>24000271</v>
          </cell>
          <cell r="B280" t="str">
            <v>순백자</v>
          </cell>
        </row>
        <row r="281">
          <cell r="A281">
            <v>24000272</v>
          </cell>
          <cell r="B281" t="str">
            <v>호필</v>
          </cell>
        </row>
        <row r="282">
          <cell r="A282">
            <v>24000273</v>
          </cell>
          <cell r="B282" t="str">
            <v>나전 칠기</v>
          </cell>
        </row>
        <row r="283">
          <cell r="A283">
            <v>24000274</v>
          </cell>
          <cell r="B283" t="str">
            <v>대리석상</v>
          </cell>
        </row>
        <row r="284">
          <cell r="A284">
            <v>24000275</v>
          </cell>
          <cell r="B284" t="str">
            <v>동판화</v>
          </cell>
        </row>
        <row r="285">
          <cell r="A285">
            <v>24000276</v>
          </cell>
          <cell r="B285" t="str">
            <v>목상</v>
          </cell>
        </row>
        <row r="286">
          <cell r="A286">
            <v>24000277</v>
          </cell>
          <cell r="B286" t="str">
            <v>서화</v>
          </cell>
        </row>
        <row r="287">
          <cell r="A287">
            <v>24000278</v>
          </cell>
          <cell r="B287" t="str">
            <v>석상</v>
          </cell>
        </row>
        <row r="288">
          <cell r="A288">
            <v>24000279</v>
          </cell>
          <cell r="B288" t="str">
            <v>유화</v>
          </cell>
        </row>
        <row r="289">
          <cell r="A289">
            <v>24000280</v>
          </cell>
          <cell r="B289" t="str">
            <v>일본화</v>
          </cell>
        </row>
        <row r="290">
          <cell r="A290">
            <v>24000281</v>
          </cell>
          <cell r="B290" t="str">
            <v>중국화</v>
          </cell>
        </row>
        <row r="291">
          <cell r="A291">
            <v>24000282</v>
          </cell>
          <cell r="B291" t="str">
            <v>청동상</v>
          </cell>
        </row>
        <row r="292">
          <cell r="A292">
            <v>24000283</v>
          </cell>
          <cell r="B292" t="str">
            <v>겨자</v>
          </cell>
        </row>
        <row r="293">
          <cell r="A293">
            <v>24000284</v>
          </cell>
          <cell r="B293" t="str">
            <v>계피</v>
          </cell>
        </row>
        <row r="294">
          <cell r="A294">
            <v>24000285</v>
          </cell>
          <cell r="B294" t="str">
            <v>고수</v>
          </cell>
        </row>
        <row r="295">
          <cell r="A295">
            <v>24000286</v>
          </cell>
          <cell r="B295" t="str">
            <v>고추</v>
          </cell>
        </row>
        <row r="296">
          <cell r="A296">
            <v>24000287</v>
          </cell>
          <cell r="B296" t="str">
            <v>고추냉이</v>
          </cell>
        </row>
        <row r="297">
          <cell r="A297">
            <v>24000288</v>
          </cell>
          <cell r="B297" t="str">
            <v>딜</v>
          </cell>
        </row>
        <row r="298">
          <cell r="A298">
            <v>24000289</v>
          </cell>
          <cell r="B298" t="str">
            <v>레몬그라스</v>
          </cell>
        </row>
        <row r="299">
          <cell r="A299">
            <v>24000290</v>
          </cell>
          <cell r="B299" t="str">
            <v>로즈메리</v>
          </cell>
        </row>
        <row r="300">
          <cell r="A300">
            <v>24000291</v>
          </cell>
          <cell r="B300" t="str">
            <v>마늘</v>
          </cell>
        </row>
        <row r="301">
          <cell r="A301">
            <v>24000292</v>
          </cell>
          <cell r="B301" t="str">
            <v>마살라</v>
          </cell>
        </row>
        <row r="302">
          <cell r="A302">
            <v>24000293</v>
          </cell>
          <cell r="B302" t="str">
            <v>메이스</v>
          </cell>
        </row>
        <row r="303">
          <cell r="A303">
            <v>24000294</v>
          </cell>
          <cell r="B303" t="str">
            <v>바닐라</v>
          </cell>
        </row>
        <row r="304">
          <cell r="A304">
            <v>24000295</v>
          </cell>
          <cell r="B304" t="str">
            <v>바질</v>
          </cell>
        </row>
        <row r="305">
          <cell r="A305">
            <v>24000296</v>
          </cell>
          <cell r="B305" t="str">
            <v>박하</v>
          </cell>
        </row>
        <row r="306">
          <cell r="A306">
            <v>24000297</v>
          </cell>
          <cell r="B306" t="str">
            <v>사프란</v>
          </cell>
        </row>
        <row r="307">
          <cell r="A307">
            <v>24000298</v>
          </cell>
          <cell r="B307" t="str">
            <v>산초씨</v>
          </cell>
        </row>
        <row r="308">
          <cell r="A308">
            <v>24000299</v>
          </cell>
          <cell r="B308" t="str">
            <v>산초</v>
          </cell>
        </row>
        <row r="309">
          <cell r="A309">
            <v>24000300</v>
          </cell>
          <cell r="B309" t="str">
            <v>생강</v>
          </cell>
        </row>
        <row r="310">
          <cell r="A310">
            <v>24000301</v>
          </cell>
          <cell r="B310" t="str">
            <v>셀러리</v>
          </cell>
        </row>
        <row r="311">
          <cell r="A311">
            <v>24000302</v>
          </cell>
          <cell r="B311" t="str">
            <v>오레가노</v>
          </cell>
        </row>
        <row r="312">
          <cell r="A312">
            <v>24000303</v>
          </cell>
          <cell r="B312" t="str">
            <v>올스파이스</v>
          </cell>
        </row>
        <row r="313">
          <cell r="A313">
            <v>24000304</v>
          </cell>
          <cell r="B313" t="str">
            <v>월계수</v>
          </cell>
        </row>
        <row r="314">
          <cell r="A314">
            <v>24000305</v>
          </cell>
          <cell r="B314" t="str">
            <v>유자</v>
          </cell>
        </row>
        <row r="315">
          <cell r="A315">
            <v>24000306</v>
          </cell>
          <cell r="B315" t="str">
            <v>육두구</v>
          </cell>
        </row>
        <row r="316">
          <cell r="A316">
            <v>24000307</v>
          </cell>
          <cell r="B316" t="str">
            <v>정향</v>
          </cell>
        </row>
        <row r="317">
          <cell r="A317">
            <v>24000308</v>
          </cell>
          <cell r="B317" t="str">
            <v>커민</v>
          </cell>
        </row>
        <row r="318">
          <cell r="A318">
            <v>24000309</v>
          </cell>
          <cell r="B318" t="str">
            <v>타임</v>
          </cell>
        </row>
        <row r="319">
          <cell r="A319">
            <v>24000310</v>
          </cell>
          <cell r="B319" t="str">
            <v>파슬리</v>
          </cell>
        </row>
        <row r="320">
          <cell r="A320">
            <v>24000311</v>
          </cell>
          <cell r="B320" t="str">
            <v>팔각</v>
          </cell>
        </row>
        <row r="321">
          <cell r="A321">
            <v>24000312</v>
          </cell>
          <cell r="B321" t="str">
            <v>펜넬</v>
          </cell>
        </row>
        <row r="322">
          <cell r="A322">
            <v>24000313</v>
          </cell>
          <cell r="B322" t="str">
            <v>풋고추</v>
          </cell>
        </row>
        <row r="323">
          <cell r="A323">
            <v>24000314</v>
          </cell>
          <cell r="B323" t="str">
            <v>피망</v>
          </cell>
        </row>
        <row r="324">
          <cell r="A324">
            <v>24000315</v>
          </cell>
          <cell r="B324" t="str">
            <v>홍두</v>
          </cell>
        </row>
        <row r="325">
          <cell r="A325">
            <v>24000316</v>
          </cell>
          <cell r="B325" t="str">
            <v>후추</v>
          </cell>
        </row>
        <row r="326">
          <cell r="A326">
            <v>24000317</v>
          </cell>
          <cell r="B326" t="str">
            <v>금</v>
          </cell>
        </row>
        <row r="327">
          <cell r="A327">
            <v>24000318</v>
          </cell>
          <cell r="B327" t="str">
            <v>백금</v>
          </cell>
        </row>
        <row r="328">
          <cell r="A328">
            <v>24000319</v>
          </cell>
          <cell r="B328" t="str">
            <v>사금</v>
          </cell>
        </row>
        <row r="329">
          <cell r="A329">
            <v>24000320</v>
          </cell>
          <cell r="B329" t="str">
            <v>은</v>
          </cell>
        </row>
        <row r="330">
          <cell r="A330">
            <v>24000321</v>
          </cell>
          <cell r="B330" t="str">
            <v>감송</v>
          </cell>
        </row>
        <row r="331">
          <cell r="A331">
            <v>24000322</v>
          </cell>
          <cell r="B331" t="str">
            <v>금목서</v>
          </cell>
        </row>
        <row r="332">
          <cell r="A332">
            <v>24000323</v>
          </cell>
          <cell r="B332" t="str">
            <v>라벤더</v>
          </cell>
        </row>
        <row r="333">
          <cell r="A333">
            <v>24000324</v>
          </cell>
          <cell r="B333" t="str">
            <v>라일락</v>
          </cell>
        </row>
        <row r="334">
          <cell r="A334">
            <v>24000325</v>
          </cell>
          <cell r="B334" t="str">
            <v>레몬기름</v>
          </cell>
        </row>
        <row r="335">
          <cell r="A335">
            <v>24000326</v>
          </cell>
          <cell r="B335" t="str">
            <v>사향</v>
          </cell>
        </row>
        <row r="336">
          <cell r="A336">
            <v>24000327</v>
          </cell>
          <cell r="B336" t="str">
            <v>수선화</v>
          </cell>
        </row>
        <row r="337">
          <cell r="A337">
            <v>24000328</v>
          </cell>
          <cell r="B337" t="str">
            <v>시벳</v>
          </cell>
        </row>
        <row r="338">
          <cell r="A338">
            <v>24000329</v>
          </cell>
          <cell r="B338" t="str">
            <v>안식향</v>
          </cell>
        </row>
        <row r="339">
          <cell r="A339">
            <v>24000330</v>
          </cell>
          <cell r="B339" t="str">
            <v>오렌지기름</v>
          </cell>
        </row>
        <row r="340">
          <cell r="A340">
            <v>24000331</v>
          </cell>
          <cell r="B340" t="str">
            <v>용연향</v>
          </cell>
        </row>
        <row r="341">
          <cell r="A341">
            <v>24000332</v>
          </cell>
          <cell r="B341" t="str">
            <v>월하향</v>
          </cell>
        </row>
        <row r="342">
          <cell r="A342">
            <v>24000333</v>
          </cell>
          <cell r="B342" t="str">
            <v>유칼립투스</v>
          </cell>
        </row>
        <row r="343">
          <cell r="A343">
            <v>24000334</v>
          </cell>
          <cell r="B343" t="str">
            <v>유향</v>
          </cell>
        </row>
        <row r="344">
          <cell r="A344">
            <v>24000335</v>
          </cell>
          <cell r="B344" t="str">
            <v>은방울꽃</v>
          </cell>
        </row>
        <row r="345">
          <cell r="A345">
            <v>24000336</v>
          </cell>
          <cell r="B345" t="str">
            <v>일랑일랑</v>
          </cell>
        </row>
        <row r="346">
          <cell r="A346">
            <v>24000337</v>
          </cell>
          <cell r="B346" t="str">
            <v>장뇌</v>
          </cell>
        </row>
        <row r="347">
          <cell r="A347">
            <v>24000338</v>
          </cell>
          <cell r="B347" t="str">
            <v>장미</v>
          </cell>
        </row>
        <row r="348">
          <cell r="A348">
            <v>24000339</v>
          </cell>
          <cell r="B348" t="str">
            <v>재스민</v>
          </cell>
        </row>
        <row r="349">
          <cell r="A349">
            <v>24000340</v>
          </cell>
          <cell r="B349" t="str">
            <v>제라늄</v>
          </cell>
        </row>
        <row r="350">
          <cell r="A350">
            <v>24000341</v>
          </cell>
          <cell r="B350" t="str">
            <v>진달래</v>
          </cell>
        </row>
        <row r="351">
          <cell r="A351">
            <v>24000342</v>
          </cell>
          <cell r="B351" t="str">
            <v>치자나무</v>
          </cell>
        </row>
        <row r="352">
          <cell r="A352">
            <v>24000343</v>
          </cell>
          <cell r="B352" t="str">
            <v>침향</v>
          </cell>
        </row>
        <row r="353">
          <cell r="A353">
            <v>24000344</v>
          </cell>
          <cell r="B353" t="str">
            <v>해당화</v>
          </cell>
        </row>
        <row r="354">
          <cell r="A354">
            <v>24000345</v>
          </cell>
          <cell r="B354" t="str">
            <v>향수</v>
          </cell>
        </row>
        <row r="355">
          <cell r="A355">
            <v>24000346</v>
          </cell>
          <cell r="B355" t="str">
            <v>감람석</v>
          </cell>
        </row>
        <row r="356">
          <cell r="A356">
            <v>24000347</v>
          </cell>
          <cell r="B356" t="str">
            <v>공작석</v>
          </cell>
        </row>
        <row r="357">
          <cell r="A357">
            <v>24000348</v>
          </cell>
          <cell r="B357" t="str">
            <v>금록석</v>
          </cell>
        </row>
        <row r="358">
          <cell r="A358">
            <v>24000349</v>
          </cell>
          <cell r="B358" t="str">
            <v>다이아몬드</v>
          </cell>
        </row>
        <row r="359">
          <cell r="A359">
            <v>24000350</v>
          </cell>
          <cell r="B359" t="str">
            <v>루비</v>
          </cell>
        </row>
        <row r="360">
          <cell r="A360">
            <v>24000351</v>
          </cell>
          <cell r="B360" t="str">
            <v>마노</v>
          </cell>
        </row>
        <row r="361">
          <cell r="A361">
            <v>24000352</v>
          </cell>
          <cell r="B361" t="str">
            <v>비취</v>
          </cell>
        </row>
        <row r="362">
          <cell r="A362">
            <v>24000353</v>
          </cell>
          <cell r="B362" t="str">
            <v>사금석</v>
          </cell>
        </row>
        <row r="363">
          <cell r="A363">
            <v>24000354</v>
          </cell>
          <cell r="B363" t="str">
            <v>사파이어</v>
          </cell>
        </row>
        <row r="364">
          <cell r="A364">
            <v>24000355</v>
          </cell>
          <cell r="B364" t="str">
            <v>산호</v>
          </cell>
        </row>
        <row r="365">
          <cell r="A365">
            <v>24000356</v>
          </cell>
          <cell r="B365" t="str">
            <v>루벨라이트</v>
          </cell>
        </row>
        <row r="366">
          <cell r="A366">
            <v>24000357</v>
          </cell>
          <cell r="B366" t="str">
            <v>석류석</v>
          </cell>
        </row>
        <row r="367">
          <cell r="A367">
            <v>24000358</v>
          </cell>
          <cell r="B367" t="str">
            <v>수정</v>
          </cell>
        </row>
        <row r="368">
          <cell r="A368">
            <v>24000359</v>
          </cell>
          <cell r="B368" t="str">
            <v>에메랄드</v>
          </cell>
        </row>
        <row r="369">
          <cell r="A369">
            <v>24000360</v>
          </cell>
          <cell r="B369" t="str">
            <v>오팔</v>
          </cell>
        </row>
        <row r="370">
          <cell r="A370">
            <v>24000361</v>
          </cell>
          <cell r="B370" t="str">
            <v>월장석</v>
          </cell>
        </row>
        <row r="371">
          <cell r="A371">
            <v>24000362</v>
          </cell>
          <cell r="B371" t="str">
            <v>자수정</v>
          </cell>
        </row>
        <row r="372">
          <cell r="A372">
            <v>24000363</v>
          </cell>
          <cell r="B372" t="str">
            <v>전기석</v>
          </cell>
        </row>
        <row r="373">
          <cell r="A373">
            <v>24000364</v>
          </cell>
          <cell r="B373" t="str">
            <v>진주</v>
          </cell>
        </row>
        <row r="374">
          <cell r="A374">
            <v>24000365</v>
          </cell>
          <cell r="B374" t="str">
            <v>청금석</v>
          </cell>
        </row>
        <row r="375">
          <cell r="A375">
            <v>24000366</v>
          </cell>
          <cell r="B375" t="str">
            <v>터키석</v>
          </cell>
        </row>
        <row r="376">
          <cell r="A376">
            <v>24000367</v>
          </cell>
          <cell r="B376" t="str">
            <v>토파즈</v>
          </cell>
        </row>
        <row r="377">
          <cell r="A377">
            <v>24000368</v>
          </cell>
          <cell r="B377" t="str">
            <v>호박</v>
          </cell>
        </row>
        <row r="378">
          <cell r="A378">
            <v>24000369</v>
          </cell>
          <cell r="B378" t="str">
            <v>호안석</v>
          </cell>
        </row>
        <row r="379">
          <cell r="A379">
            <v>24000370</v>
          </cell>
          <cell r="B379" t="str">
            <v>흑진주</v>
          </cell>
        </row>
        <row r="380">
          <cell r="A380">
            <v>24000371</v>
          </cell>
          <cell r="B380" t="str">
            <v>티리언 퍼플</v>
          </cell>
        </row>
        <row r="381">
          <cell r="A381">
            <v>24000372</v>
          </cell>
          <cell r="B381" t="str">
            <v>개오지</v>
          </cell>
        </row>
        <row r="382">
          <cell r="A382">
            <v>24000373</v>
          </cell>
          <cell r="B382" t="str">
            <v>포도</v>
          </cell>
        </row>
        <row r="383">
          <cell r="A383">
            <v>24000374</v>
          </cell>
          <cell r="B383" t="str">
            <v>청어 절임</v>
          </cell>
        </row>
        <row r="384">
          <cell r="A384">
            <v>24000375</v>
          </cell>
          <cell r="B384" t="str">
            <v>화승총</v>
          </cell>
        </row>
        <row r="385">
          <cell r="A385">
            <v>24000376</v>
          </cell>
          <cell r="B385" t="str">
            <v>화약</v>
          </cell>
        </row>
        <row r="386">
          <cell r="A386">
            <v>24000377</v>
          </cell>
          <cell r="B386" t="str">
            <v>알파카</v>
          </cell>
        </row>
        <row r="387">
          <cell r="A387">
            <v>24000378</v>
          </cell>
          <cell r="B387" t="str">
            <v>툼바가</v>
          </cell>
        </row>
        <row r="388">
          <cell r="A388">
            <v>24000379</v>
          </cell>
          <cell r="B388" t="str">
            <v>오크모스</v>
          </cell>
        </row>
        <row r="389">
          <cell r="A389">
            <v>24000380</v>
          </cell>
          <cell r="B389" t="str">
            <v>당나귀</v>
          </cell>
        </row>
        <row r="390">
          <cell r="A390">
            <v>24000381</v>
          </cell>
          <cell r="B390" t="str">
            <v>자단</v>
          </cell>
        </row>
        <row r="391">
          <cell r="A391">
            <v>24000382</v>
          </cell>
          <cell r="B391" t="str">
            <v>아과요</v>
          </cell>
        </row>
        <row r="392">
          <cell r="A392">
            <v>24000383</v>
          </cell>
          <cell r="B392" t="str">
            <v>산호세공</v>
          </cell>
        </row>
        <row r="393">
          <cell r="A393">
            <v>24000384</v>
          </cell>
          <cell r="B393" t="str">
            <v>금세공</v>
          </cell>
        </row>
        <row r="394">
          <cell r="A394">
            <v>24000385</v>
          </cell>
          <cell r="B394" t="str">
            <v>은세공</v>
          </cell>
        </row>
        <row r="395">
          <cell r="A395">
            <v>24000386</v>
          </cell>
          <cell r="B395" t="str">
            <v>보석세공</v>
          </cell>
        </row>
        <row r="396">
          <cell r="A396">
            <v>24000387</v>
          </cell>
          <cell r="B396" t="str">
            <v>유리세공</v>
          </cell>
        </row>
        <row r="397">
          <cell r="A397">
            <v>24000388</v>
          </cell>
          <cell r="B397" t="str">
            <v>청화 백자</v>
          </cell>
        </row>
        <row r="398">
          <cell r="A398">
            <v>24000389</v>
          </cell>
          <cell r="B398" t="str">
            <v>사이잘삼</v>
          </cell>
        </row>
        <row r="399">
          <cell r="A399">
            <v>24000390</v>
          </cell>
          <cell r="B399" t="str">
            <v>수은제</v>
          </cell>
        </row>
        <row r="400">
          <cell r="A400">
            <v>24000391</v>
          </cell>
          <cell r="B400" t="str">
            <v>카모마일</v>
          </cell>
        </row>
        <row r="401">
          <cell r="A401">
            <v>24000392</v>
          </cell>
          <cell r="B401" t="str">
            <v>느억맘</v>
          </cell>
        </row>
        <row r="402">
          <cell r="A402">
            <v>24000393</v>
          </cell>
          <cell r="B402" t="str">
            <v>카다멈</v>
          </cell>
        </row>
        <row r="403">
          <cell r="A403">
            <v>24000394</v>
          </cell>
          <cell r="B403" t="str">
            <v>베르가모트</v>
          </cell>
        </row>
        <row r="404">
          <cell r="A404">
            <v>24000395</v>
          </cell>
          <cell r="B404" t="str">
            <v>오렌지</v>
          </cell>
        </row>
        <row r="405">
          <cell r="A405">
            <v>24000396</v>
          </cell>
          <cell r="B405" t="str">
            <v>크롬 광석</v>
          </cell>
        </row>
        <row r="406">
          <cell r="A406">
            <v>24000397</v>
          </cell>
          <cell r="B406" t="str">
            <v>자철 광석</v>
          </cell>
        </row>
        <row r="407">
          <cell r="A407">
            <v>24000398</v>
          </cell>
          <cell r="B407" t="str">
            <v>황철 광석</v>
          </cell>
        </row>
        <row r="408">
          <cell r="A408">
            <v>24000399</v>
          </cell>
          <cell r="B408" t="str">
            <v>초석</v>
          </cell>
        </row>
        <row r="409">
          <cell r="A409">
            <v>24000400</v>
          </cell>
          <cell r="B409" t="str">
            <v>야자술</v>
          </cell>
        </row>
        <row r="410">
          <cell r="A410">
            <v>24000401</v>
          </cell>
          <cell r="B410" t="str">
            <v>락충</v>
          </cell>
        </row>
        <row r="411">
          <cell r="A411">
            <v>24000402</v>
          </cell>
          <cell r="B411" t="str">
            <v>황토</v>
          </cell>
        </row>
        <row r="412">
          <cell r="A412">
            <v>24000403</v>
          </cell>
          <cell r="B412" t="str">
            <v>세피아</v>
          </cell>
        </row>
        <row r="413">
          <cell r="A413">
            <v>24000404</v>
          </cell>
          <cell r="B413" t="str">
            <v>꼭두서니</v>
          </cell>
        </row>
        <row r="414">
          <cell r="A414">
            <v>24000405</v>
          </cell>
          <cell r="B414" t="str">
            <v>목판화</v>
          </cell>
        </row>
        <row r="415">
          <cell r="A415">
            <v>24000406</v>
          </cell>
          <cell r="B415" t="str">
            <v>말</v>
          </cell>
        </row>
        <row r="416">
          <cell r="A416">
            <v>24000407</v>
          </cell>
          <cell r="B416" t="str">
            <v>염소</v>
          </cell>
        </row>
        <row r="417">
          <cell r="A417">
            <v>24000408</v>
          </cell>
          <cell r="B417" t="str">
            <v>토끼</v>
          </cell>
        </row>
        <row r="418">
          <cell r="A418">
            <v>24000409</v>
          </cell>
          <cell r="B418" t="str">
            <v>거위</v>
          </cell>
        </row>
        <row r="419">
          <cell r="A419">
            <v>24000410</v>
          </cell>
          <cell r="B419" t="str">
            <v>칠면조</v>
          </cell>
        </row>
        <row r="420">
          <cell r="A420">
            <v>24000411</v>
          </cell>
          <cell r="B420" t="str">
            <v>순록</v>
          </cell>
        </row>
        <row r="421">
          <cell r="A421">
            <v>24000412</v>
          </cell>
          <cell r="B421" t="str">
            <v>활</v>
          </cell>
        </row>
        <row r="422">
          <cell r="A422">
            <v>24000413</v>
          </cell>
          <cell r="B422" t="str">
            <v>조선 활</v>
          </cell>
        </row>
        <row r="423">
          <cell r="A423">
            <v>24000414</v>
          </cell>
          <cell r="B423" t="str">
            <v>흑요석 곤봉</v>
          </cell>
        </row>
        <row r="424">
          <cell r="A424">
            <v>24000415</v>
          </cell>
          <cell r="B424" t="str">
            <v>아프리카 쇠뇌</v>
          </cell>
        </row>
        <row r="425">
          <cell r="A425">
            <v>24000416</v>
          </cell>
          <cell r="B425" t="str">
            <v>철퇴</v>
          </cell>
        </row>
        <row r="426">
          <cell r="A426">
            <v>24000417</v>
          </cell>
          <cell r="B426" t="str">
            <v>투창</v>
          </cell>
        </row>
        <row r="427">
          <cell r="A427">
            <v>24000418</v>
          </cell>
          <cell r="B427" t="str">
            <v>단검</v>
          </cell>
        </row>
        <row r="428">
          <cell r="A428">
            <v>24000419</v>
          </cell>
          <cell r="B428" t="str">
            <v>죽도</v>
          </cell>
        </row>
        <row r="429">
          <cell r="A429">
            <v>24000420</v>
          </cell>
          <cell r="B429" t="str">
            <v>창</v>
          </cell>
        </row>
        <row r="430">
          <cell r="A430">
            <v>24000421</v>
          </cell>
          <cell r="B430" t="str">
            <v>비도</v>
          </cell>
        </row>
        <row r="431">
          <cell r="A431">
            <v>24000422</v>
          </cell>
          <cell r="B431" t="str">
            <v>봉</v>
          </cell>
        </row>
        <row r="432">
          <cell r="A432">
            <v>24000423</v>
          </cell>
          <cell r="B432" t="str">
            <v>삼절곤</v>
          </cell>
        </row>
        <row r="433">
          <cell r="A433">
            <v>24000424</v>
          </cell>
          <cell r="B433" t="str">
            <v>부메랑</v>
          </cell>
        </row>
        <row r="434">
          <cell r="A434">
            <v>24000425</v>
          </cell>
          <cell r="B434" t="str">
            <v>일본도</v>
          </cell>
        </row>
        <row r="435">
          <cell r="A435">
            <v>24000426</v>
          </cell>
          <cell r="B435" t="str">
            <v>소형 방패</v>
          </cell>
        </row>
        <row r="436">
          <cell r="A436">
            <v>24000427</v>
          </cell>
          <cell r="B436" t="str">
            <v>화창</v>
          </cell>
        </row>
        <row r="437">
          <cell r="A437">
            <v>24000428</v>
          </cell>
          <cell r="B437" t="str">
            <v>핸드 캐논</v>
          </cell>
        </row>
        <row r="438">
          <cell r="A438">
            <v>24000429</v>
          </cell>
          <cell r="B438" t="str">
            <v>포탄</v>
          </cell>
        </row>
        <row r="439">
          <cell r="A439">
            <v>24000430</v>
          </cell>
          <cell r="B439" t="str">
            <v>탄환</v>
          </cell>
        </row>
        <row r="440">
          <cell r="A440">
            <v>24000431</v>
          </cell>
          <cell r="B440" t="str">
            <v>조총</v>
          </cell>
        </row>
        <row r="441">
          <cell r="A441">
            <v>24000432</v>
          </cell>
          <cell r="B441" t="str">
            <v>서양 대포</v>
          </cell>
        </row>
        <row r="442">
          <cell r="A442">
            <v>24000433</v>
          </cell>
          <cell r="B442" t="str">
            <v>동양 대포</v>
          </cell>
        </row>
        <row r="443">
          <cell r="A443">
            <v>24000434</v>
          </cell>
          <cell r="B443" t="str">
            <v>수레</v>
          </cell>
        </row>
        <row r="444">
          <cell r="A444">
            <v>24000435</v>
          </cell>
          <cell r="B444" t="str">
            <v>양초</v>
          </cell>
        </row>
        <row r="445">
          <cell r="A445">
            <v>24000436</v>
          </cell>
          <cell r="B445" t="str">
            <v>컴퍼스</v>
          </cell>
        </row>
        <row r="446">
          <cell r="A446">
            <v>24000437</v>
          </cell>
          <cell r="B446" t="str">
            <v>깃펜</v>
          </cell>
        </row>
        <row r="447">
          <cell r="A447">
            <v>24000438</v>
          </cell>
          <cell r="B447" t="str">
            <v>송편</v>
          </cell>
        </row>
        <row r="448">
          <cell r="A448">
            <v>24000439</v>
          </cell>
          <cell r="B448" t="str">
            <v>아보카도</v>
          </cell>
        </row>
        <row r="449">
          <cell r="A449">
            <v>24000440</v>
          </cell>
          <cell r="B449" t="str">
            <v>목화</v>
          </cell>
        </row>
        <row r="450">
          <cell r="A450">
            <v>24000441</v>
          </cell>
          <cell r="B450" t="str">
            <v>면직물</v>
          </cell>
        </row>
        <row r="451">
          <cell r="A451">
            <v>24000442</v>
          </cell>
          <cell r="B451" t="str">
            <v>핑크 다이아몬드</v>
          </cell>
        </row>
        <row r="452">
          <cell r="A452">
            <v>24000443</v>
          </cell>
          <cell r="B452" t="str">
            <v>요구르트</v>
          </cell>
        </row>
        <row r="453">
          <cell r="A453">
            <v>24000444</v>
          </cell>
          <cell r="B453" t="str">
            <v>황칠</v>
          </cell>
        </row>
        <row r="454">
          <cell r="A454">
            <v>24000445</v>
          </cell>
          <cell r="B454" t="str">
            <v>로그우드</v>
          </cell>
        </row>
        <row r="455">
          <cell r="A455">
            <v>24000446</v>
          </cell>
          <cell r="B455" t="str">
            <v>아주라이트</v>
          </cell>
        </row>
        <row r="456">
          <cell r="A456">
            <v>24000447</v>
          </cell>
          <cell r="B456" t="str">
            <v>설탕봉</v>
          </cell>
        </row>
        <row r="457">
          <cell r="A457">
            <v>24000448</v>
          </cell>
          <cell r="B457" t="str">
            <v>깃털 공예품</v>
          </cell>
        </row>
        <row r="458">
          <cell r="A458">
            <v>24000449</v>
          </cell>
          <cell r="B458" t="str">
            <v>부채</v>
          </cell>
        </row>
        <row r="459">
          <cell r="A459">
            <v>24000450</v>
          </cell>
          <cell r="B459" t="str">
            <v>태피스트리</v>
          </cell>
        </row>
        <row r="460">
          <cell r="A460">
            <v>24000451</v>
          </cell>
          <cell r="B460" t="str">
            <v>거울</v>
          </cell>
        </row>
        <row r="461">
          <cell r="A461">
            <v>24000452</v>
          </cell>
          <cell r="B461" t="str">
            <v>철화 백자</v>
          </cell>
        </row>
        <row r="462">
          <cell r="A462">
            <v>24000453</v>
          </cell>
          <cell r="B462" t="str">
            <v>양손검</v>
          </cell>
        </row>
        <row r="463">
          <cell r="A463">
            <v>24000454</v>
          </cell>
          <cell r="B463" t="str">
            <v>서양 갑옷</v>
          </cell>
        </row>
        <row r="464">
          <cell r="A464">
            <v>24000455</v>
          </cell>
          <cell r="B464" t="str">
            <v>아줄레주</v>
          </cell>
        </row>
        <row r="465">
          <cell r="A465">
            <v>24000456</v>
          </cell>
          <cell r="B465" t="str">
            <v>황단</v>
          </cell>
        </row>
        <row r="466">
          <cell r="A466">
            <v>24000457</v>
          </cell>
          <cell r="B466" t="str">
            <v>네롤리</v>
          </cell>
        </row>
        <row r="467">
          <cell r="A467">
            <v>24000458</v>
          </cell>
          <cell r="B467" t="str">
            <v>구리</v>
          </cell>
        </row>
        <row r="468">
          <cell r="A468">
            <v>24000459</v>
          </cell>
          <cell r="B468" t="str">
            <v>낙타</v>
          </cell>
        </row>
        <row r="469">
          <cell r="A469">
            <v>24000460</v>
          </cell>
          <cell r="B469" t="str">
            <v>헤나</v>
          </cell>
        </row>
        <row r="470">
          <cell r="A470">
            <v>24000461</v>
          </cell>
          <cell r="B470" t="str">
            <v>은 광석</v>
          </cell>
        </row>
        <row r="471">
          <cell r="A471">
            <v>24000462</v>
          </cell>
          <cell r="B471" t="str">
            <v>무카이트</v>
          </cell>
        </row>
        <row r="472">
          <cell r="A472">
            <v>24000463</v>
          </cell>
          <cell r="B472" t="str">
            <v>드림캐쳐</v>
          </cell>
        </row>
        <row r="473">
          <cell r="A473">
            <v>24000464</v>
          </cell>
          <cell r="B473" t="str">
            <v>벌꿀주</v>
          </cell>
        </row>
        <row r="474">
          <cell r="A474">
            <v>24000465</v>
          </cell>
          <cell r="B474" t="str">
            <v>일본 장창</v>
          </cell>
        </row>
        <row r="475">
          <cell r="A475">
            <v>24000466</v>
          </cell>
          <cell r="B475" t="str">
            <v>고급 모자</v>
          </cell>
        </row>
        <row r="476">
          <cell r="A476">
            <v>24000467</v>
          </cell>
          <cell r="B476" t="str">
            <v>발라폰</v>
          </cell>
        </row>
        <row r="477">
          <cell r="A477">
            <v>24000468</v>
          </cell>
          <cell r="B477" t="str">
            <v>대형 방패</v>
          </cell>
        </row>
        <row r="478">
          <cell r="A478">
            <v>24000469</v>
          </cell>
          <cell r="B478" t="str">
            <v>람부탄</v>
          </cell>
        </row>
        <row r="479">
          <cell r="A479">
            <v>24000470</v>
          </cell>
          <cell r="B479" t="str">
            <v>목각화</v>
          </cell>
        </row>
        <row r="480">
          <cell r="A480">
            <v>24000471</v>
          </cell>
          <cell r="B480" t="str">
            <v>숨마끄</v>
          </cell>
        </row>
        <row r="481">
          <cell r="A481">
            <v>24000472</v>
          </cell>
          <cell r="B481" t="str">
            <v>테라코타</v>
          </cell>
        </row>
        <row r="482">
          <cell r="A482">
            <v>24000473</v>
          </cell>
          <cell r="B482" t="str">
            <v>리큐르</v>
          </cell>
        </row>
        <row r="483">
          <cell r="A483">
            <v>24000474</v>
          </cell>
          <cell r="B483" t="str">
            <v>큐베브</v>
          </cell>
        </row>
        <row r="484">
          <cell r="A484">
            <v>24000475</v>
          </cell>
          <cell r="B484" t="str">
            <v>향나무</v>
          </cell>
        </row>
        <row r="485">
          <cell r="A485">
            <v>24000476</v>
          </cell>
          <cell r="B485" t="str">
            <v>비쿠냐털</v>
          </cell>
        </row>
        <row r="486">
          <cell r="A486">
            <v>24000477</v>
          </cell>
          <cell r="B486" t="str">
            <v>촉금</v>
          </cell>
        </row>
        <row r="487">
          <cell r="A487">
            <v>24000478</v>
          </cell>
          <cell r="B487" t="str">
            <v>박격포</v>
          </cell>
        </row>
        <row r="488">
          <cell r="A488">
            <v>24000479</v>
          </cell>
          <cell r="B488" t="str">
            <v>선물 상자</v>
          </cell>
        </row>
        <row r="489">
          <cell r="A489">
            <v>24000480</v>
          </cell>
          <cell r="B489" t="str">
            <v>금 식기</v>
          </cell>
        </row>
        <row r="490">
          <cell r="A490">
            <v>24000481</v>
          </cell>
          <cell r="B490" t="str">
            <v>디저리두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>
        <row r="1">
          <cell r="A1" t="str">
            <v>id</v>
          </cell>
        </row>
        <row r="2">
          <cell r="A2" t="str">
            <v>key:100000~199999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:asset</v>
          </cell>
        </row>
        <row r="8">
          <cell r="A8" t="str">
            <v>:links</v>
          </cell>
        </row>
        <row r="9">
          <cell r="A9">
            <v>100001</v>
          </cell>
          <cell r="B9" t="str">
            <v>두카트</v>
          </cell>
        </row>
        <row r="10">
          <cell r="A10">
            <v>100002</v>
          </cell>
          <cell r="B10" t="str">
            <v>잔고</v>
          </cell>
        </row>
        <row r="11">
          <cell r="A11">
            <v>100003</v>
          </cell>
          <cell r="B11" t="str">
            <v>블루젬</v>
          </cell>
        </row>
        <row r="12">
          <cell r="A12">
            <v>100004</v>
          </cell>
          <cell r="B12" t="str">
            <v>레드젬</v>
          </cell>
        </row>
        <row r="13">
          <cell r="A13">
            <v>100005</v>
          </cell>
          <cell r="B13" t="str">
            <v>행동력</v>
          </cell>
        </row>
        <row r="14">
          <cell r="A14">
            <v>100006</v>
          </cell>
          <cell r="B14" t="str">
            <v>마일리지</v>
          </cell>
        </row>
        <row r="15">
          <cell r="A15">
            <v>100007</v>
          </cell>
          <cell r="B15" t="str">
            <v>업적 점수</v>
          </cell>
        </row>
        <row r="16">
          <cell r="A16">
            <v>100008</v>
          </cell>
          <cell r="B16" t="str">
            <v>상자 교환권</v>
          </cell>
        </row>
        <row r="17">
          <cell r="A17">
            <v>100009</v>
          </cell>
          <cell r="B17" t="str">
            <v>레드젬(유료용)</v>
          </cell>
        </row>
        <row r="18">
          <cell r="A18">
            <v>100010</v>
          </cell>
          <cell r="B18" t="str">
            <v>공헌도</v>
          </cell>
        </row>
        <row r="19">
          <cell r="A19">
            <v>100011</v>
          </cell>
          <cell r="B19" t="str">
            <v>상회 화폐</v>
          </cell>
        </row>
        <row r="20">
          <cell r="A20">
            <v>100012</v>
          </cell>
          <cell r="B20" t="str">
            <v>모의전 입장권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id</v>
          </cell>
        </row>
        <row r="2">
          <cell r="A2" t="str">
            <v>key:23000000~23999999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>
            <v>23000001</v>
          </cell>
          <cell r="B8" t="str">
            <v>쥐약</v>
          </cell>
        </row>
        <row r="9">
          <cell r="A9">
            <v>23000002</v>
          </cell>
          <cell r="B9" t="str">
            <v>청소 도구</v>
          </cell>
        </row>
        <row r="10">
          <cell r="A10">
            <v>23000003</v>
          </cell>
          <cell r="B10" t="str">
            <v>소화 모래</v>
          </cell>
        </row>
        <row r="11">
          <cell r="A11">
            <v>23000004</v>
          </cell>
          <cell r="B11" t="str">
            <v>통</v>
          </cell>
        </row>
        <row r="12">
          <cell r="A12">
            <v>23000005</v>
          </cell>
          <cell r="B12" t="str">
            <v>라임 주스</v>
          </cell>
        </row>
        <row r="13">
          <cell r="A13">
            <v>23000006</v>
          </cell>
          <cell r="B13" t="str">
            <v>술통</v>
          </cell>
        </row>
        <row r="14">
          <cell r="A14">
            <v>23000007</v>
          </cell>
          <cell r="B14" t="str">
            <v>전염병 치료제</v>
          </cell>
        </row>
        <row r="15">
          <cell r="A15">
            <v>23000008</v>
          </cell>
          <cell r="B15" t="str">
            <v>귀마개</v>
          </cell>
        </row>
        <row r="16">
          <cell r="A16">
            <v>23000009</v>
          </cell>
          <cell r="B16" t="str">
            <v>예비 돛</v>
          </cell>
        </row>
        <row r="17">
          <cell r="A17">
            <v>23000010</v>
          </cell>
          <cell r="B17" t="str">
            <v>예비 키</v>
          </cell>
        </row>
        <row r="18">
          <cell r="A18">
            <v>23000011</v>
          </cell>
          <cell r="B18" t="str">
            <v>징벌의 밧줄</v>
          </cell>
        </row>
        <row r="19">
          <cell r="A19">
            <v>23000012</v>
          </cell>
          <cell r="B19" t="str">
            <v>해먹</v>
          </cell>
        </row>
        <row r="20">
          <cell r="A20">
            <v>23000013</v>
          </cell>
          <cell r="B20" t="str">
            <v>망향의 카리욘벨</v>
          </cell>
        </row>
        <row r="21">
          <cell r="A21">
            <v>23000014</v>
          </cell>
          <cell r="B21" t="str">
            <v>뱃노래 악보</v>
          </cell>
        </row>
        <row r="22">
          <cell r="A22">
            <v>23000025</v>
          </cell>
          <cell r="B22" t="str">
            <v>긴낫</v>
          </cell>
        </row>
        <row r="23">
          <cell r="A23">
            <v>23000028</v>
          </cell>
          <cell r="B23" t="str">
            <v>성스러운 향유</v>
          </cell>
        </row>
        <row r="24">
          <cell r="A24">
            <v>23000029</v>
          </cell>
          <cell r="B24" t="str">
            <v>해신의 부적</v>
          </cell>
        </row>
        <row r="25">
          <cell r="A25">
            <v>23000031</v>
          </cell>
          <cell r="B25" t="str">
            <v>풍신의 콩</v>
          </cell>
        </row>
        <row r="26">
          <cell r="A26">
            <v>23000032</v>
          </cell>
          <cell r="B26" t="str">
            <v>간이 나침반</v>
          </cell>
        </row>
        <row r="27">
          <cell r="A27">
            <v>23000033</v>
          </cell>
          <cell r="B27" t="str">
            <v>허수아비</v>
          </cell>
        </row>
        <row r="28">
          <cell r="A28">
            <v>23000038</v>
          </cell>
          <cell r="B28" t="str">
            <v>보온 도구</v>
          </cell>
        </row>
        <row r="29">
          <cell r="A29">
            <v>23100001</v>
          </cell>
          <cell r="B29" t="str">
            <v>세안약</v>
          </cell>
        </row>
        <row r="30">
          <cell r="A30">
            <v>23100004</v>
          </cell>
          <cell r="B30" t="str">
            <v>톱</v>
          </cell>
        </row>
        <row r="31">
          <cell r="A31">
            <v>23100009</v>
          </cell>
          <cell r="B31" t="str">
            <v>소화 세사</v>
          </cell>
        </row>
        <row r="32">
          <cell r="A32">
            <v>23100011</v>
          </cell>
          <cell r="B32" t="str">
            <v>협상 문서</v>
          </cell>
        </row>
        <row r="33">
          <cell r="A33">
            <v>23100012</v>
          </cell>
          <cell r="B33" t="str">
            <v>초선</v>
          </cell>
        </row>
        <row r="34">
          <cell r="A34">
            <v>23100016</v>
          </cell>
          <cell r="B34" t="str">
            <v>산삼</v>
          </cell>
        </row>
        <row r="35">
          <cell r="A35">
            <v>23100020</v>
          </cell>
          <cell r="B35" t="str">
            <v>간이 공구</v>
          </cell>
        </row>
        <row r="36">
          <cell r="A36">
            <v>23100021</v>
          </cell>
          <cell r="B36" t="str">
            <v>초급 공구</v>
          </cell>
        </row>
        <row r="37">
          <cell r="A37">
            <v>23100022</v>
          </cell>
          <cell r="B37" t="str">
            <v>중급 공구</v>
          </cell>
        </row>
        <row r="38">
          <cell r="A38">
            <v>23100023</v>
          </cell>
          <cell r="B38" t="str">
            <v>고급 공구</v>
          </cell>
        </row>
        <row r="39">
          <cell r="A39">
            <v>23100024</v>
          </cell>
          <cell r="B39" t="str">
            <v>명품 공구</v>
          </cell>
        </row>
        <row r="40">
          <cell r="A40">
            <v>23100025</v>
          </cell>
          <cell r="B40" t="str">
            <v>간이 구급함</v>
          </cell>
        </row>
        <row r="41">
          <cell r="A41">
            <v>23100026</v>
          </cell>
          <cell r="B41" t="str">
            <v>초급 구급함</v>
          </cell>
        </row>
        <row r="42">
          <cell r="A42">
            <v>23100027</v>
          </cell>
          <cell r="B42" t="str">
            <v>중급 구급함</v>
          </cell>
        </row>
        <row r="43">
          <cell r="A43">
            <v>23100028</v>
          </cell>
          <cell r="B43" t="str">
            <v>고급 구급함</v>
          </cell>
        </row>
        <row r="44">
          <cell r="A44">
            <v>23100029</v>
          </cell>
          <cell r="B44" t="str">
            <v>명품 구급함</v>
          </cell>
        </row>
        <row r="45">
          <cell r="A45">
            <v>23100030</v>
          </cell>
          <cell r="B45" t="str">
            <v>일기도</v>
          </cell>
        </row>
        <row r="46">
          <cell r="A46">
            <v>23100031</v>
          </cell>
          <cell r="B46" t="str">
            <v>천청 일기도</v>
          </cell>
        </row>
        <row r="47">
          <cell r="A47">
            <v>23100032</v>
          </cell>
          <cell r="B47" t="str">
            <v>강우 일기도</v>
          </cell>
        </row>
        <row r="48">
          <cell r="A48">
            <v>23100033</v>
          </cell>
          <cell r="B48" t="str">
            <v>폭우 일기도</v>
          </cell>
        </row>
        <row r="49">
          <cell r="A49">
            <v>23100034</v>
          </cell>
          <cell r="B49" t="str">
            <v>강설 일기도</v>
          </cell>
        </row>
        <row r="50">
          <cell r="A50">
            <v>23100035</v>
          </cell>
          <cell r="B50" t="str">
            <v>폭설 일기도</v>
          </cell>
        </row>
        <row r="51">
          <cell r="A51">
            <v>23100037</v>
          </cell>
          <cell r="B51" t="str">
            <v>정북 풍속도</v>
          </cell>
        </row>
        <row r="52">
          <cell r="A52">
            <v>23100038</v>
          </cell>
          <cell r="B52" t="str">
            <v>북동 풍속도</v>
          </cell>
        </row>
        <row r="53">
          <cell r="A53">
            <v>23100039</v>
          </cell>
          <cell r="B53" t="str">
            <v>남동 풍속도</v>
          </cell>
        </row>
        <row r="54">
          <cell r="A54">
            <v>23100040</v>
          </cell>
          <cell r="B54" t="str">
            <v>정남 풍속도</v>
          </cell>
        </row>
        <row r="55">
          <cell r="A55">
            <v>23100041</v>
          </cell>
          <cell r="B55" t="str">
            <v>남서 풍속도</v>
          </cell>
        </row>
        <row r="56">
          <cell r="A56">
            <v>23100042</v>
          </cell>
          <cell r="B56" t="str">
            <v>북서 풍속도</v>
          </cell>
        </row>
        <row r="57">
          <cell r="A57">
            <v>23100043</v>
          </cell>
          <cell r="B57" t="str">
            <v>파고도</v>
          </cell>
        </row>
        <row r="58">
          <cell r="A58">
            <v>23100044</v>
          </cell>
          <cell r="B58" t="str">
            <v>해류도</v>
          </cell>
        </row>
        <row r="59">
          <cell r="A59">
            <v>23100045</v>
          </cell>
          <cell r="B59" t="str">
            <v>마황액</v>
          </cell>
        </row>
        <row r="60">
          <cell r="A60">
            <v>23100046</v>
          </cell>
          <cell r="B60" t="str">
            <v>마황탕</v>
          </cell>
        </row>
        <row r="61">
          <cell r="A61">
            <v>23100047</v>
          </cell>
          <cell r="B61" t="str">
            <v>마행감석탕</v>
          </cell>
        </row>
        <row r="62">
          <cell r="A62">
            <v>23100048</v>
          </cell>
          <cell r="B62" t="str">
            <v>선원권리장서</v>
          </cell>
        </row>
        <row r="63">
          <cell r="A63">
            <v>23100049</v>
          </cell>
          <cell r="B63" t="str">
            <v>선상권리장서</v>
          </cell>
        </row>
        <row r="64">
          <cell r="A64">
            <v>23100050</v>
          </cell>
          <cell r="B64" t="str">
            <v>함대권리장서</v>
          </cell>
        </row>
        <row r="65">
          <cell r="A65">
            <v>23100051</v>
          </cell>
          <cell r="B65" t="str">
            <v>제연탄약</v>
          </cell>
        </row>
        <row r="66">
          <cell r="A66">
            <v>23100052</v>
          </cell>
          <cell r="B66" t="str">
            <v>제연탄</v>
          </cell>
        </row>
        <row r="67">
          <cell r="A67">
            <v>23100053</v>
          </cell>
          <cell r="B67" t="str">
            <v>대형 제연탄</v>
          </cell>
        </row>
        <row r="68">
          <cell r="A68">
            <v>23200020</v>
          </cell>
          <cell r="B68" t="str">
            <v>해독제</v>
          </cell>
        </row>
        <row r="69">
          <cell r="A69">
            <v>23200029</v>
          </cell>
          <cell r="B69" t="str">
            <v>뿔 나팔</v>
          </cell>
        </row>
        <row r="70">
          <cell r="A70">
            <v>23300000</v>
          </cell>
          <cell r="B70" t="str">
            <v>병 속에 담긴 편지</v>
          </cell>
        </row>
        <row r="71">
          <cell r="A71">
            <v>23320000</v>
          </cell>
          <cell r="B71" t="str">
            <v>낡은 편지</v>
          </cell>
        </row>
        <row r="72">
          <cell r="A72">
            <v>23320001</v>
          </cell>
          <cell r="B72" t="str">
            <v>초보자의 편지</v>
          </cell>
        </row>
        <row r="73">
          <cell r="A73">
            <v>23320002</v>
          </cell>
          <cell r="B73" t="str">
            <v>중급자의 편지</v>
          </cell>
        </row>
        <row r="74">
          <cell r="A74">
            <v>23320003</v>
          </cell>
          <cell r="B74" t="str">
            <v>상급자의 편지</v>
          </cell>
        </row>
        <row r="75">
          <cell r="A75">
            <v>23320004</v>
          </cell>
          <cell r="B75" t="str">
            <v>특수한 편지</v>
          </cell>
        </row>
        <row r="76">
          <cell r="A76">
            <v>23320005</v>
          </cell>
          <cell r="B76" t="str">
            <v>전설적인 편지</v>
          </cell>
        </row>
        <row r="77">
          <cell r="A77">
            <v>23320006</v>
          </cell>
          <cell r="B77" t="str">
            <v>알려지지 않은 편지</v>
          </cell>
        </row>
        <row r="78">
          <cell r="A78">
            <v>23320007</v>
          </cell>
          <cell r="B78" t="str">
            <v>애호가 협회 전단지</v>
          </cell>
        </row>
        <row r="79">
          <cell r="A79">
            <v>23320008</v>
          </cell>
          <cell r="B79" t="str">
            <v>이름 모를 편지</v>
          </cell>
        </row>
        <row r="80">
          <cell r="A80">
            <v>23320009</v>
          </cell>
          <cell r="B80" t="str">
            <v>현상 수배 지령</v>
          </cell>
        </row>
        <row r="81">
          <cell r="A81">
            <v>23320010</v>
          </cell>
          <cell r="B81" t="str">
            <v>벵겔라로부터 온 편지</v>
          </cell>
        </row>
        <row r="82">
          <cell r="A82">
            <v>23320011</v>
          </cell>
          <cell r="B82" t="str">
            <v>요리사의 편지</v>
          </cell>
        </row>
        <row r="83">
          <cell r="A83">
            <v>23320012</v>
          </cell>
          <cell r="B83" t="str">
            <v>리차드의 편지</v>
          </cell>
        </row>
        <row r="84">
          <cell r="A84">
            <v>23320013</v>
          </cell>
          <cell r="B84" t="str">
            <v>리차드의 두 번째 편지</v>
          </cell>
        </row>
        <row r="85">
          <cell r="A85">
            <v>23320014</v>
          </cell>
          <cell r="B85" t="str">
            <v>리차드의 세 번째 편지</v>
          </cell>
        </row>
        <row r="86">
          <cell r="A86">
            <v>23320015</v>
          </cell>
          <cell r="B86" t="str">
            <v>리차드의 네 번째 편지</v>
          </cell>
        </row>
        <row r="87">
          <cell r="A87">
            <v>23320016</v>
          </cell>
          <cell r="B87" t="str">
            <v>개봉된 편지</v>
          </cell>
        </row>
        <row r="88">
          <cell r="A88">
            <v>23320017</v>
          </cell>
          <cell r="B88" t="str">
            <v>경주 증명서 1번</v>
          </cell>
        </row>
        <row r="89">
          <cell r="A89">
            <v>23320018</v>
          </cell>
          <cell r="B89" t="str">
            <v>경주 증명서 2번</v>
          </cell>
        </row>
        <row r="90">
          <cell r="A90">
            <v>23320019</v>
          </cell>
          <cell r="B90" t="str">
            <v>경주 증명서 3번</v>
          </cell>
        </row>
        <row r="91">
          <cell r="A91">
            <v>23320020</v>
          </cell>
          <cell r="B91" t="str">
            <v>경주 증명서 4번</v>
          </cell>
        </row>
        <row r="92">
          <cell r="A92">
            <v>23320021</v>
          </cell>
          <cell r="B92" t="str">
            <v>반납할 책</v>
          </cell>
        </row>
        <row r="93">
          <cell r="A93">
            <v>23320022</v>
          </cell>
          <cell r="B93" t="str">
            <v>대여한 책</v>
          </cell>
        </row>
        <row r="94">
          <cell r="A94">
            <v>23320023</v>
          </cell>
          <cell r="B94" t="str">
            <v>푸르나마가 받은 보자기</v>
          </cell>
        </row>
        <row r="95">
          <cell r="A95">
            <v>23320024</v>
          </cell>
          <cell r="B95" t="str">
            <v>수라바야의 부적</v>
          </cell>
        </row>
        <row r="96">
          <cell r="A96">
            <v>23320025</v>
          </cell>
          <cell r="B96" t="str">
            <v>서안의 증표</v>
          </cell>
        </row>
        <row r="97">
          <cell r="A97">
            <v>23320026</v>
          </cell>
          <cell r="B97" t="str">
            <v>중경의 증표</v>
          </cell>
        </row>
        <row r="98">
          <cell r="A98">
            <v>23320027</v>
          </cell>
          <cell r="B98" t="str">
            <v>엘레느가 준 포도주</v>
          </cell>
        </row>
        <row r="99">
          <cell r="A99">
            <v>23320028</v>
          </cell>
          <cell r="B99" t="str">
            <v>행운의 고양이</v>
          </cell>
        </row>
        <row r="100">
          <cell r="A100">
            <v>23320029</v>
          </cell>
          <cell r="B100" t="str">
            <v>에밀리아노의 편지</v>
          </cell>
        </row>
        <row r="101">
          <cell r="A101">
            <v>23320030</v>
          </cell>
          <cell r="B101" t="str">
            <v>타마야가 준 편지</v>
          </cell>
        </row>
        <row r="102">
          <cell r="A102">
            <v>23320031</v>
          </cell>
          <cell r="B102" t="str">
            <v>라디아에게 받은 달걀</v>
          </cell>
        </row>
        <row r="103">
          <cell r="A103">
            <v>23320032</v>
          </cell>
          <cell r="B103" t="str">
            <v>폰타델가다의 타임</v>
          </cell>
        </row>
        <row r="104">
          <cell r="A104">
            <v>23320033</v>
          </cell>
          <cell r="B104" t="str">
            <v>아르김의 커피</v>
          </cell>
        </row>
        <row r="105">
          <cell r="A105">
            <v>23320034</v>
          </cell>
          <cell r="B105" t="str">
            <v>에든버러의 양</v>
          </cell>
        </row>
        <row r="106">
          <cell r="A106">
            <v>23320035</v>
          </cell>
          <cell r="B106" t="str">
            <v>매력의 반지</v>
          </cell>
        </row>
        <row r="107">
          <cell r="A107">
            <v>23320036</v>
          </cell>
          <cell r="B107" t="str">
            <v>은비녀</v>
          </cell>
        </row>
        <row r="108">
          <cell r="A108">
            <v>23320037</v>
          </cell>
          <cell r="B108" t="str">
            <v>거래 장부</v>
          </cell>
        </row>
        <row r="109">
          <cell r="A109">
            <v>23320038</v>
          </cell>
          <cell r="B109" t="str">
            <v>말린 대추야자</v>
          </cell>
        </row>
        <row r="110">
          <cell r="A110">
            <v>23320039</v>
          </cell>
          <cell r="B110" t="str">
            <v>여자 옷</v>
          </cell>
        </row>
        <row r="111">
          <cell r="A111">
            <v>23320040</v>
          </cell>
          <cell r="B111" t="str">
            <v>초심자용 에페</v>
          </cell>
        </row>
        <row r="112">
          <cell r="A112">
            <v>23320041</v>
          </cell>
          <cell r="B112" t="str">
            <v>기린 가면</v>
          </cell>
        </row>
        <row r="113">
          <cell r="A113">
            <v>23320042</v>
          </cell>
          <cell r="B113" t="str">
            <v>캘리코 잭 문장 그림</v>
          </cell>
        </row>
        <row r="114">
          <cell r="A114">
            <v>23320043</v>
          </cell>
          <cell r="B114" t="str">
            <v>제주 상단의 신용장</v>
          </cell>
        </row>
        <row r="115">
          <cell r="A115">
            <v>23320044</v>
          </cell>
          <cell r="B115" t="str">
            <v>백자 다완</v>
          </cell>
        </row>
        <row r="116">
          <cell r="A116">
            <v>23320045</v>
          </cell>
          <cell r="B116" t="str">
            <v>보물지도 조각 1</v>
          </cell>
        </row>
        <row r="117">
          <cell r="A117">
            <v>23320046</v>
          </cell>
          <cell r="B117" t="str">
            <v>보물지도 조각 2</v>
          </cell>
        </row>
        <row r="118">
          <cell r="A118">
            <v>23320047</v>
          </cell>
          <cell r="B118" t="str">
            <v>보물지도</v>
          </cell>
        </row>
        <row r="119">
          <cell r="A119">
            <v>23320048</v>
          </cell>
          <cell r="B119" t="str">
            <v>보물창고 열쇠</v>
          </cell>
        </row>
        <row r="120">
          <cell r="A120">
            <v>23320049</v>
          </cell>
          <cell r="B120" t="str">
            <v>깨진 유리세공</v>
          </cell>
        </row>
        <row r="121">
          <cell r="A121">
            <v>23320050</v>
          </cell>
          <cell r="B121" t="str">
            <v>미화의 장신구</v>
          </cell>
        </row>
        <row r="122">
          <cell r="A122">
            <v>23320051</v>
          </cell>
          <cell r="B122" t="str">
            <v>베네치아산 목재</v>
          </cell>
        </row>
        <row r="123">
          <cell r="A123">
            <v>23320052</v>
          </cell>
          <cell r="B123" t="str">
            <v>반쪽짜리 지도</v>
          </cell>
        </row>
        <row r="124">
          <cell r="A124">
            <v>23320053</v>
          </cell>
          <cell r="B124" t="str">
            <v>허브 향초</v>
          </cell>
        </row>
        <row r="125">
          <cell r="A125">
            <v>23320054</v>
          </cell>
          <cell r="B125" t="str">
            <v>미심쩍은 툼바가</v>
          </cell>
        </row>
        <row r="126">
          <cell r="A126">
            <v>23320055</v>
          </cell>
          <cell r="B126" t="str">
            <v>정체 모를 쇠구슬</v>
          </cell>
        </row>
        <row r="127">
          <cell r="A127">
            <v>23320056</v>
          </cell>
          <cell r="B127" t="str">
            <v>리리안의 귀걸이</v>
          </cell>
        </row>
        <row r="128">
          <cell r="A128">
            <v>23320057</v>
          </cell>
          <cell r="B128" t="str">
            <v>리리안의 반지</v>
          </cell>
        </row>
        <row r="129">
          <cell r="A129">
            <v>23320058</v>
          </cell>
          <cell r="B129" t="str">
            <v>리리안의 목걸이</v>
          </cell>
        </row>
        <row r="130">
          <cell r="A130">
            <v>23320059</v>
          </cell>
          <cell r="B130" t="str">
            <v>에스파냐의 기밀 칙명</v>
          </cell>
        </row>
        <row r="131">
          <cell r="A131">
            <v>23320060</v>
          </cell>
          <cell r="B131" t="str">
            <v>런던의 수상한 쪽지</v>
          </cell>
        </row>
        <row r="132">
          <cell r="A132">
            <v>23320061</v>
          </cell>
          <cell r="B132" t="str">
            <v>필럼의 기밀문서</v>
          </cell>
        </row>
        <row r="133">
          <cell r="A133">
            <v>23320062</v>
          </cell>
          <cell r="B133" t="str">
            <v>최상품 은방울꽃</v>
          </cell>
        </row>
        <row r="134">
          <cell r="A134">
            <v>23320063</v>
          </cell>
          <cell r="B134" t="str">
            <v>행운의 라벤더</v>
          </cell>
        </row>
        <row r="135">
          <cell r="A135">
            <v>23320064</v>
          </cell>
          <cell r="B135" t="str">
            <v>귀중한 호박</v>
          </cell>
        </row>
        <row r="136">
          <cell r="A136">
            <v>23320065</v>
          </cell>
          <cell r="B136" t="str">
            <v>켈레벡의 화석</v>
          </cell>
        </row>
        <row r="137">
          <cell r="A137">
            <v>23320066</v>
          </cell>
          <cell r="B137" t="str">
            <v>배달용 올리브</v>
          </cell>
        </row>
        <row r="138">
          <cell r="A138">
            <v>23320067</v>
          </cell>
          <cell r="B138" t="str">
            <v>배달용 피클</v>
          </cell>
        </row>
        <row r="139">
          <cell r="A139">
            <v>23320068</v>
          </cell>
          <cell r="B139" t="str">
            <v>배달용 인쇄물</v>
          </cell>
        </row>
        <row r="140">
          <cell r="A140">
            <v>23320069</v>
          </cell>
          <cell r="B140" t="str">
            <v>지아나에게 줄 조젯</v>
          </cell>
        </row>
        <row r="141">
          <cell r="A141">
            <v>23320070</v>
          </cell>
          <cell r="B141" t="str">
            <v>지아나에게 줄 니시진오리</v>
          </cell>
        </row>
        <row r="142">
          <cell r="A142">
            <v>23320071</v>
          </cell>
          <cell r="B142" t="str">
            <v>엘리프의 편지</v>
          </cell>
        </row>
        <row r="143">
          <cell r="A143">
            <v>23320072</v>
          </cell>
          <cell r="B143" t="str">
            <v>제바히르의 편지</v>
          </cell>
        </row>
        <row r="144">
          <cell r="A144">
            <v>23320073</v>
          </cell>
          <cell r="B144" t="str">
            <v>상자 속의 기록</v>
          </cell>
        </row>
        <row r="145">
          <cell r="A145">
            <v>23320074</v>
          </cell>
          <cell r="B145" t="str">
            <v>낡은 항해일지</v>
          </cell>
        </row>
        <row r="146">
          <cell r="A146">
            <v>23320075</v>
          </cell>
          <cell r="B146" t="str">
            <v>유적의 항해일지</v>
          </cell>
        </row>
        <row r="147">
          <cell r="A147">
            <v>23320076</v>
          </cell>
          <cell r="B147" t="str">
            <v>가은정의 편지</v>
          </cell>
        </row>
        <row r="148">
          <cell r="A148">
            <v>23320077</v>
          </cell>
          <cell r="B148" t="str">
            <v>자령의 술</v>
          </cell>
        </row>
        <row r="149">
          <cell r="A149">
            <v>23320078</v>
          </cell>
          <cell r="B149" t="str">
            <v>교역용 두루마리</v>
          </cell>
        </row>
        <row r="150">
          <cell r="A150">
            <v>23320079</v>
          </cell>
          <cell r="B150" t="str">
            <v>단서가 적힌 두루마리</v>
          </cell>
        </row>
        <row r="151">
          <cell r="A151">
            <v>23320080</v>
          </cell>
          <cell r="B151" t="str">
            <v>항해 증명서</v>
          </cell>
        </row>
        <row r="152">
          <cell r="A152">
            <v>23320081</v>
          </cell>
          <cell r="B152" t="str">
            <v>네이블 총독의 서신</v>
          </cell>
        </row>
        <row r="153">
          <cell r="A153">
            <v>23320082</v>
          </cell>
          <cell r="B153" t="str">
            <v>발라번 2세의 검</v>
          </cell>
        </row>
        <row r="154">
          <cell r="A154">
            <v>23320083</v>
          </cell>
          <cell r="B154" t="str">
            <v>돌로리스가 쓴 동화</v>
          </cell>
        </row>
        <row r="155">
          <cell r="A155">
            <v>23320084</v>
          </cell>
          <cell r="B155" t="str">
            <v>독서모임 초대장</v>
          </cell>
        </row>
        <row r="156">
          <cell r="A156">
            <v>23320085</v>
          </cell>
          <cell r="B156" t="str">
            <v>비밀 암호문</v>
          </cell>
        </row>
        <row r="157">
          <cell r="A157">
            <v>23320086</v>
          </cell>
          <cell r="B157" t="str">
            <v>아난드의 목걸이</v>
          </cell>
        </row>
        <row r="158">
          <cell r="A158">
            <v>23320087</v>
          </cell>
          <cell r="B158" t="str">
            <v>핀자라의 전설</v>
          </cell>
        </row>
        <row r="159">
          <cell r="A159">
            <v>23320088</v>
          </cell>
          <cell r="B159" t="str">
            <v>호바톤의 전설</v>
          </cell>
        </row>
        <row r="160">
          <cell r="A160">
            <v>23320089</v>
          </cell>
          <cell r="B160" t="str">
            <v>주문제작 오팔 반지</v>
          </cell>
        </row>
        <row r="161">
          <cell r="A161">
            <v>23320090</v>
          </cell>
          <cell r="B161" t="str">
            <v>총병관의 서신</v>
          </cell>
        </row>
        <row r="162">
          <cell r="A162">
            <v>23320091</v>
          </cell>
          <cell r="B162" t="str">
            <v>선물용 용정차</v>
          </cell>
        </row>
        <row r="163">
          <cell r="A163">
            <v>23320092</v>
          </cell>
          <cell r="B163" t="str">
            <v>나오미의 그림</v>
          </cell>
        </row>
        <row r="164">
          <cell r="A164">
            <v>23320093</v>
          </cell>
          <cell r="B164" t="str">
            <v>페구산 목재</v>
          </cell>
        </row>
        <row r="165">
          <cell r="A165">
            <v>23320094</v>
          </cell>
          <cell r="B165" t="str">
            <v>버려진 융단</v>
          </cell>
        </row>
        <row r="166">
          <cell r="A166">
            <v>23320095</v>
          </cell>
          <cell r="B166" t="str">
            <v>공연 전단지</v>
          </cell>
        </row>
        <row r="167">
          <cell r="A167">
            <v>23320096</v>
          </cell>
          <cell r="B167" t="str">
            <v>친구의 편지</v>
          </cell>
        </row>
        <row r="168">
          <cell r="A168">
            <v>23320097</v>
          </cell>
          <cell r="B168" t="str">
            <v>청혼 반지</v>
          </cell>
        </row>
        <row r="169">
          <cell r="A169">
            <v>23320098</v>
          </cell>
          <cell r="B169" t="str">
            <v>빚쟁이 해적의 돈</v>
          </cell>
        </row>
        <row r="170">
          <cell r="A170">
            <v>23320099</v>
          </cell>
          <cell r="B170" t="str">
            <v>빚쟁이 해적의 돈2</v>
          </cell>
        </row>
        <row r="171">
          <cell r="A171">
            <v>23320100</v>
          </cell>
          <cell r="B171" t="str">
            <v>빚쟁이 해적의 돈3</v>
          </cell>
        </row>
        <row r="172">
          <cell r="A172">
            <v>23320101</v>
          </cell>
          <cell r="B172" t="str">
            <v>런던 특제 위스키</v>
          </cell>
        </row>
        <row r="173">
          <cell r="A173">
            <v>23320102</v>
          </cell>
          <cell r="B173" t="str">
            <v>암스테르담 특제 진</v>
          </cell>
        </row>
        <row r="174">
          <cell r="A174">
            <v>23320103</v>
          </cell>
          <cell r="B174" t="str">
            <v>함부르크 특제 맥주</v>
          </cell>
        </row>
        <row r="175">
          <cell r="A175">
            <v>23320104</v>
          </cell>
          <cell r="B175" t="str">
            <v>베르겐 특제 아콰비트</v>
          </cell>
        </row>
        <row r="176">
          <cell r="A176">
            <v>23320105</v>
          </cell>
          <cell r="B176" t="str">
            <v>상트페테르부르크 특제 보드카</v>
          </cell>
        </row>
        <row r="177">
          <cell r="A177">
            <v>23320106</v>
          </cell>
          <cell r="B177" t="str">
            <v>칼레 특제 고블랭</v>
          </cell>
        </row>
        <row r="178">
          <cell r="A178">
            <v>23320107</v>
          </cell>
          <cell r="B178" t="str">
            <v>암스테르담 특제 트위드</v>
          </cell>
        </row>
        <row r="179">
          <cell r="A179">
            <v>23320108</v>
          </cell>
          <cell r="B179" t="str">
            <v>상트페테르부르크 특제 펠트</v>
          </cell>
        </row>
        <row r="180">
          <cell r="A180">
            <v>23320109</v>
          </cell>
          <cell r="B180" t="str">
            <v>런던 특제 플란넬</v>
          </cell>
        </row>
        <row r="181">
          <cell r="A181">
            <v>23320110</v>
          </cell>
          <cell r="B181" t="str">
            <v>총독의 서신</v>
          </cell>
        </row>
        <row r="182">
          <cell r="A182">
            <v>23320111</v>
          </cell>
          <cell r="B182" t="str">
            <v>용설란 모종</v>
          </cell>
        </row>
        <row r="183">
          <cell r="A183">
            <v>23320112</v>
          </cell>
          <cell r="B183" t="str">
            <v>특제 푸스틱</v>
          </cell>
        </row>
        <row r="184">
          <cell r="A184">
            <v>23320113</v>
          </cell>
          <cell r="B184" t="str">
            <v>채무자의 돈</v>
          </cell>
        </row>
        <row r="185">
          <cell r="A185">
            <v>23320114</v>
          </cell>
          <cell r="B185" t="str">
            <v>신용 불량자의 돈</v>
          </cell>
        </row>
        <row r="186">
          <cell r="A186">
            <v>23320115</v>
          </cell>
          <cell r="B186" t="str">
            <v>철학자의 돈</v>
          </cell>
        </row>
        <row r="187">
          <cell r="A187">
            <v>23320116</v>
          </cell>
          <cell r="B187" t="str">
            <v>아이의 유골</v>
          </cell>
        </row>
        <row r="188">
          <cell r="A188">
            <v>23320117</v>
          </cell>
          <cell r="B188" t="str">
            <v>아이가 좋아하던 꽃</v>
          </cell>
        </row>
        <row r="189">
          <cell r="A189">
            <v>23320118</v>
          </cell>
          <cell r="B189" t="str">
            <v>마르케스의 서신</v>
          </cell>
        </row>
        <row r="190">
          <cell r="A190">
            <v>23320119</v>
          </cell>
          <cell r="B190" t="str">
            <v>석탄 덩어리</v>
          </cell>
        </row>
        <row r="191">
          <cell r="A191">
            <v>23320120</v>
          </cell>
          <cell r="B191" t="str">
            <v>화승총 견본</v>
          </cell>
        </row>
        <row r="192">
          <cell r="A192">
            <v>23320121</v>
          </cell>
          <cell r="B192" t="str">
            <v>서양 대포 견본</v>
          </cell>
        </row>
        <row r="193">
          <cell r="A193">
            <v>23320122</v>
          </cell>
          <cell r="B193" t="str">
            <v>은 식기 견본</v>
          </cell>
        </row>
        <row r="194">
          <cell r="A194">
            <v>23320123</v>
          </cell>
          <cell r="B194" t="str">
            <v>조작된 서류</v>
          </cell>
        </row>
        <row r="195">
          <cell r="A195">
            <v>23320124</v>
          </cell>
          <cell r="B195" t="str">
            <v>고구마 견본</v>
          </cell>
        </row>
        <row r="196">
          <cell r="A196">
            <v>23340001</v>
          </cell>
          <cell r="B196" t="str">
            <v>복주머니</v>
          </cell>
        </row>
        <row r="197">
          <cell r="A197">
            <v>23347001</v>
          </cell>
          <cell r="B197" t="str">
            <v>최고급 원단</v>
          </cell>
        </row>
        <row r="198">
          <cell r="A198">
            <v>23347002</v>
          </cell>
          <cell r="B198" t="str">
            <v>고급 원단</v>
          </cell>
        </row>
        <row r="199">
          <cell r="A199">
            <v>23347003</v>
          </cell>
          <cell r="B199" t="str">
            <v>중급 원단</v>
          </cell>
        </row>
        <row r="200">
          <cell r="A200">
            <v>23347004</v>
          </cell>
          <cell r="B200" t="str">
            <v>하급 원단</v>
          </cell>
        </row>
        <row r="201">
          <cell r="A201">
            <v>23347005</v>
          </cell>
          <cell r="B201" t="str">
            <v>최상급 염색약</v>
          </cell>
        </row>
        <row r="202">
          <cell r="A202">
            <v>23347006</v>
          </cell>
          <cell r="B202" t="str">
            <v>상급 염색약</v>
          </cell>
        </row>
        <row r="203">
          <cell r="A203">
            <v>23347007</v>
          </cell>
          <cell r="B203" t="str">
            <v>중급 염색약</v>
          </cell>
        </row>
        <row r="204">
          <cell r="A204">
            <v>23347008</v>
          </cell>
          <cell r="B204" t="str">
            <v>하급 염색약</v>
          </cell>
        </row>
        <row r="205">
          <cell r="A205">
            <v>23347010</v>
          </cell>
          <cell r="B205" t="str">
            <v>해바라기색 염료</v>
          </cell>
        </row>
        <row r="206">
          <cell r="A206">
            <v>23347015</v>
          </cell>
          <cell r="B206" t="str">
            <v>공작석색 염료</v>
          </cell>
        </row>
        <row r="207">
          <cell r="A207">
            <v>23347019</v>
          </cell>
          <cell r="B207" t="str">
            <v>감색 염료</v>
          </cell>
        </row>
        <row r="208">
          <cell r="A208">
            <v>23347026</v>
          </cell>
          <cell r="B208" t="str">
            <v>짙은 보라색 염료</v>
          </cell>
        </row>
        <row r="209">
          <cell r="A209">
            <v>23347027</v>
          </cell>
          <cell r="B209" t="str">
            <v>등적색 염료</v>
          </cell>
        </row>
        <row r="210">
          <cell r="A210">
            <v>23347029</v>
          </cell>
          <cell r="B210" t="str">
            <v>짙은 하늘색 염료</v>
          </cell>
        </row>
        <row r="211">
          <cell r="A211">
            <v>23347030</v>
          </cell>
          <cell r="B211" t="str">
            <v>진한 분홍색 염료</v>
          </cell>
        </row>
        <row r="212">
          <cell r="A212">
            <v>23347034</v>
          </cell>
          <cell r="B212" t="str">
            <v>암적색 염료</v>
          </cell>
        </row>
        <row r="213">
          <cell r="A213">
            <v>23347044</v>
          </cell>
          <cell r="B213" t="str">
            <v>암회색 염료</v>
          </cell>
        </row>
        <row r="214">
          <cell r="A214">
            <v>23347045</v>
          </cell>
          <cell r="B214" t="str">
            <v>검은색 염료</v>
          </cell>
        </row>
        <row r="215">
          <cell r="A215">
            <v>23347048</v>
          </cell>
          <cell r="B215" t="str">
            <v>나무색 염료</v>
          </cell>
        </row>
        <row r="216">
          <cell r="A216">
            <v>23347051</v>
          </cell>
          <cell r="B216" t="str">
            <v>흰 연기색 염료</v>
          </cell>
        </row>
        <row r="217">
          <cell r="A217">
            <v>23347053</v>
          </cell>
          <cell r="B217" t="str">
            <v>박하잎 염료</v>
          </cell>
        </row>
        <row r="218">
          <cell r="A218">
            <v>23347054</v>
          </cell>
          <cell r="B218" t="str">
            <v>레몬색 염료</v>
          </cell>
        </row>
        <row r="219">
          <cell r="A219">
            <v>23347055</v>
          </cell>
          <cell r="B219" t="str">
            <v>호박색 염료</v>
          </cell>
        </row>
        <row r="220">
          <cell r="A220">
            <v>23347061</v>
          </cell>
          <cell r="B220" t="str">
            <v>사막 색 염료</v>
          </cell>
        </row>
        <row r="221">
          <cell r="A221">
            <v>23347072</v>
          </cell>
          <cell r="B221" t="str">
            <v>보라색 염료</v>
          </cell>
        </row>
        <row r="222">
          <cell r="A222">
            <v>23347080</v>
          </cell>
          <cell r="B222" t="str">
            <v>오렌지색 염료</v>
          </cell>
        </row>
        <row r="223">
          <cell r="A223">
            <v>23347089</v>
          </cell>
          <cell r="B223" t="str">
            <v>불색 염료</v>
          </cell>
        </row>
        <row r="224">
          <cell r="A224">
            <v>23347112</v>
          </cell>
          <cell r="B224" t="str">
            <v>회색 염료</v>
          </cell>
        </row>
        <row r="225">
          <cell r="A225">
            <v>23347118</v>
          </cell>
          <cell r="B225" t="str">
            <v>붉은 오렌지색 염료</v>
          </cell>
        </row>
        <row r="226">
          <cell r="A226">
            <v>23347167</v>
          </cell>
          <cell r="B226" t="str">
            <v>복숭아색 염료</v>
          </cell>
        </row>
        <row r="227">
          <cell r="A227">
            <v>23347168</v>
          </cell>
          <cell r="B227" t="str">
            <v>연보라색 염료</v>
          </cell>
        </row>
        <row r="228">
          <cell r="A228">
            <v>23347169</v>
          </cell>
          <cell r="B228" t="str">
            <v>담자색 염료</v>
          </cell>
        </row>
        <row r="229">
          <cell r="A229">
            <v>23347172</v>
          </cell>
          <cell r="B229" t="str">
            <v>초콜릿색 염료</v>
          </cell>
        </row>
        <row r="230">
          <cell r="A230">
            <v>23347174</v>
          </cell>
          <cell r="B230" t="str">
            <v>녹차색 염료</v>
          </cell>
        </row>
        <row r="231">
          <cell r="A231">
            <v>23347175</v>
          </cell>
          <cell r="B231" t="str">
            <v>청옥색 염료</v>
          </cell>
        </row>
        <row r="232">
          <cell r="A232">
            <v>23347204</v>
          </cell>
          <cell r="B232" t="str">
            <v>노른자색 염료</v>
          </cell>
        </row>
        <row r="233">
          <cell r="A233">
            <v>23347206</v>
          </cell>
          <cell r="B233" t="str">
            <v>짙은 회색 염료</v>
          </cell>
        </row>
        <row r="234">
          <cell r="A234">
            <v>23347216</v>
          </cell>
          <cell r="B234" t="str">
            <v>연어색 염료</v>
          </cell>
        </row>
        <row r="235">
          <cell r="A235">
            <v>23347221</v>
          </cell>
          <cell r="B235" t="str">
            <v>에메랄드색 염료</v>
          </cell>
        </row>
        <row r="236">
          <cell r="A236">
            <v>23347229</v>
          </cell>
          <cell r="B236" t="str">
            <v>카민 색 염료</v>
          </cell>
        </row>
        <row r="237">
          <cell r="A237">
            <v>23347236</v>
          </cell>
          <cell r="B237" t="str">
            <v>탁한 감색 염료</v>
          </cell>
        </row>
        <row r="238">
          <cell r="A238">
            <v>23347258</v>
          </cell>
          <cell r="B238" t="str">
            <v>밝은 회색 염료</v>
          </cell>
        </row>
        <row r="239">
          <cell r="A239">
            <v>23347261</v>
          </cell>
          <cell r="B239" t="str">
            <v>금색 염료</v>
          </cell>
        </row>
        <row r="240">
          <cell r="A240">
            <v>23347270</v>
          </cell>
          <cell r="B240" t="str">
            <v>황녹색 염료</v>
          </cell>
        </row>
        <row r="241">
          <cell r="A241">
            <v>23347271</v>
          </cell>
          <cell r="B241" t="str">
            <v>너도밤나무 잎색 염료</v>
          </cell>
        </row>
        <row r="242">
          <cell r="A242">
            <v>23347324</v>
          </cell>
          <cell r="B242" t="str">
            <v>어두운 장미색 염료</v>
          </cell>
        </row>
        <row r="243">
          <cell r="A243">
            <v>23347332</v>
          </cell>
          <cell r="B243" t="str">
            <v>탁한 청색 염료</v>
          </cell>
        </row>
        <row r="244">
          <cell r="A244">
            <v>23347622</v>
          </cell>
          <cell r="B244" t="str">
            <v>짙은 암청색 염료</v>
          </cell>
        </row>
        <row r="245">
          <cell r="A245">
            <v>23348000</v>
          </cell>
          <cell r="B245" t="str">
            <v>가을의 금문장 도안</v>
          </cell>
        </row>
        <row r="246">
          <cell r="A246">
            <v>23348001</v>
          </cell>
          <cell r="B246" t="str">
            <v>겨울의 금문장 도안</v>
          </cell>
        </row>
        <row r="247">
          <cell r="A247">
            <v>23348002</v>
          </cell>
          <cell r="B247" t="str">
            <v>봄의 금문장 도안</v>
          </cell>
        </row>
        <row r="248">
          <cell r="A248">
            <v>23348003</v>
          </cell>
          <cell r="B248" t="str">
            <v>여름의 금문장 도안</v>
          </cell>
        </row>
        <row r="249">
          <cell r="A249">
            <v>23348004</v>
          </cell>
          <cell r="B249" t="str">
            <v>대해적 문장 도안</v>
          </cell>
        </row>
        <row r="250">
          <cell r="A250">
            <v>23348005</v>
          </cell>
          <cell r="B250" t="str">
            <v>가을의 은문장 도안</v>
          </cell>
        </row>
        <row r="251">
          <cell r="A251">
            <v>23348006</v>
          </cell>
          <cell r="B251" t="str">
            <v>겨울의 은문장 도안</v>
          </cell>
        </row>
        <row r="252">
          <cell r="A252">
            <v>23348007</v>
          </cell>
          <cell r="B252" t="str">
            <v>봄의 은문장 도안</v>
          </cell>
        </row>
        <row r="253">
          <cell r="A253">
            <v>23348008</v>
          </cell>
          <cell r="B253" t="str">
            <v>여름의 은문장 도안</v>
          </cell>
        </row>
        <row r="254">
          <cell r="A254">
            <v>23348009</v>
          </cell>
          <cell r="B254" t="str">
            <v>가네샤 문장 도안</v>
          </cell>
        </row>
        <row r="255">
          <cell r="A255">
            <v>23348010</v>
          </cell>
          <cell r="B255" t="str">
            <v>가루다 문장 도안</v>
          </cell>
        </row>
        <row r="256">
          <cell r="A256">
            <v>23348011</v>
          </cell>
          <cell r="B256" t="str">
            <v>보야쥬 문장 도안</v>
          </cell>
        </row>
        <row r="257">
          <cell r="A257">
            <v>23348012</v>
          </cell>
          <cell r="B257" t="str">
            <v>해적 문장 도안</v>
          </cell>
        </row>
        <row r="258">
          <cell r="A258">
            <v>23348013</v>
          </cell>
          <cell r="B258" t="str">
            <v>고래 문장 도안</v>
          </cell>
        </row>
        <row r="259">
          <cell r="A259">
            <v>23348014</v>
          </cell>
          <cell r="B259" t="str">
            <v>바이킹 문장 도안</v>
          </cell>
        </row>
        <row r="260">
          <cell r="A260">
            <v>23348015</v>
          </cell>
          <cell r="B260" t="str">
            <v>그리폰 문장 도안</v>
          </cell>
        </row>
        <row r="261">
          <cell r="A261">
            <v>23348016</v>
          </cell>
          <cell r="B261" t="str">
            <v>나스카 문장 도안</v>
          </cell>
        </row>
        <row r="262">
          <cell r="A262">
            <v>23348017</v>
          </cell>
          <cell r="B262" t="str">
            <v>드래곤 문장 도안</v>
          </cell>
        </row>
        <row r="263">
          <cell r="A263">
            <v>23348018</v>
          </cell>
          <cell r="B263" t="str">
            <v>라의 눈 문장 도안</v>
          </cell>
        </row>
        <row r="264">
          <cell r="A264">
            <v>23348019</v>
          </cell>
          <cell r="B264" t="str">
            <v>쌍두독수리 문장 도안</v>
          </cell>
        </row>
        <row r="265">
          <cell r="A265">
            <v>23348020</v>
          </cell>
          <cell r="B265" t="str">
            <v>메두사 문장 도안</v>
          </cell>
        </row>
        <row r="266">
          <cell r="A266">
            <v>23348021</v>
          </cell>
          <cell r="B266" t="str">
            <v>모아이 문장 도안</v>
          </cell>
        </row>
        <row r="267">
          <cell r="A267">
            <v>23348022</v>
          </cell>
          <cell r="B267" t="str">
            <v>사자 문장 도안</v>
          </cell>
        </row>
        <row r="268">
          <cell r="A268">
            <v>23348023</v>
          </cell>
          <cell r="B268" t="str">
            <v>샐러맨더 문장 도안</v>
          </cell>
        </row>
        <row r="269">
          <cell r="A269">
            <v>23348024</v>
          </cell>
          <cell r="B269" t="str">
            <v>성마르코 사자 문장 도안</v>
          </cell>
        </row>
        <row r="270">
          <cell r="A270">
            <v>23348025</v>
          </cell>
          <cell r="B270" t="str">
            <v>소녀 문장 도안</v>
          </cell>
        </row>
        <row r="271">
          <cell r="A271">
            <v>23348026</v>
          </cell>
          <cell r="B271" t="str">
            <v>앤버잭 문장 도안</v>
          </cell>
        </row>
        <row r="272">
          <cell r="A272">
            <v>23348027</v>
          </cell>
          <cell r="B272" t="str">
            <v>야수 문장 도안</v>
          </cell>
        </row>
        <row r="273">
          <cell r="A273">
            <v>23348028</v>
          </cell>
          <cell r="B273" t="str">
            <v>용 문장 도안</v>
          </cell>
        </row>
        <row r="274">
          <cell r="A274">
            <v>23348029</v>
          </cell>
          <cell r="B274" t="str">
            <v>용사냥의 문장 도안</v>
          </cell>
        </row>
        <row r="275">
          <cell r="A275">
            <v>23348030</v>
          </cell>
          <cell r="B275" t="str">
            <v>유니콘 문장 도안</v>
          </cell>
        </row>
        <row r="276">
          <cell r="A276">
            <v>23348031</v>
          </cell>
          <cell r="B276" t="str">
            <v>유인원 문장 도안</v>
          </cell>
        </row>
        <row r="277">
          <cell r="A277">
            <v>23348032</v>
          </cell>
          <cell r="B277" t="str">
            <v>제독 문장 도안</v>
          </cell>
        </row>
        <row r="278">
          <cell r="A278">
            <v>23348033</v>
          </cell>
          <cell r="B278" t="str">
            <v>케살코아틀 문장 도안</v>
          </cell>
        </row>
        <row r="279">
          <cell r="A279">
            <v>23348034</v>
          </cell>
          <cell r="B279" t="str">
            <v>페어리 문장 도안</v>
          </cell>
        </row>
        <row r="280">
          <cell r="A280">
            <v>23348035</v>
          </cell>
          <cell r="B280" t="str">
            <v>펭귄 문장 도안</v>
          </cell>
        </row>
        <row r="281">
          <cell r="A281">
            <v>23348036</v>
          </cell>
          <cell r="B281" t="str">
            <v>폭스 문장 도안</v>
          </cell>
        </row>
        <row r="282">
          <cell r="A282">
            <v>23348037</v>
          </cell>
          <cell r="B282" t="str">
            <v>피닉스 문장 도안</v>
          </cell>
        </row>
        <row r="283">
          <cell r="A283">
            <v>23348038</v>
          </cell>
          <cell r="B283" t="str">
            <v>해룡 문장 도안</v>
          </cell>
        </row>
        <row r="284">
          <cell r="A284">
            <v>23348039</v>
          </cell>
          <cell r="B284" t="str">
            <v>호랑이 문장 도안</v>
          </cell>
        </row>
        <row r="285">
          <cell r="A285">
            <v>23348040</v>
          </cell>
          <cell r="B285" t="str">
            <v>화염방패 문장 도안</v>
          </cell>
        </row>
        <row r="286">
          <cell r="A286">
            <v>23348041</v>
          </cell>
          <cell r="B286" t="str">
            <v>거미 문장 도안</v>
          </cell>
        </row>
        <row r="287">
          <cell r="A287">
            <v>23348042</v>
          </cell>
          <cell r="B287" t="str">
            <v>나비 문장 도안</v>
          </cell>
        </row>
        <row r="288">
          <cell r="A288">
            <v>23348043</v>
          </cell>
          <cell r="B288" t="str">
            <v>스콜피온 문장 도안</v>
          </cell>
        </row>
        <row r="289">
          <cell r="A289">
            <v>23348044</v>
          </cell>
          <cell r="B289" t="str">
            <v>크로스소드 문장 도안</v>
          </cell>
        </row>
        <row r="290">
          <cell r="A290">
            <v>23348045</v>
          </cell>
          <cell r="B290" t="str">
            <v>다이아몬드 문장 도안</v>
          </cell>
        </row>
        <row r="291">
          <cell r="A291">
            <v>23348046</v>
          </cell>
          <cell r="B291" t="str">
            <v>델핀 문장 도안</v>
          </cell>
        </row>
        <row r="292">
          <cell r="A292">
            <v>23348047</v>
          </cell>
          <cell r="B292" t="str">
            <v>바다뱀 문장 도안</v>
          </cell>
        </row>
        <row r="293">
          <cell r="A293">
            <v>23348048</v>
          </cell>
          <cell r="B293" t="str">
            <v>백합 문장 도안</v>
          </cell>
        </row>
        <row r="294">
          <cell r="A294">
            <v>23348049</v>
          </cell>
          <cell r="B294" t="str">
            <v>성요한 기사단 문장 도안</v>
          </cell>
        </row>
        <row r="295">
          <cell r="A295">
            <v>23348050</v>
          </cell>
          <cell r="B295" t="str">
            <v>스페이드 문장 도안</v>
          </cell>
        </row>
        <row r="296">
          <cell r="A296">
            <v>23348051</v>
          </cell>
          <cell r="B296" t="str">
            <v>써클크로스 문장 도안</v>
          </cell>
        </row>
        <row r="297">
          <cell r="A297">
            <v>23348052</v>
          </cell>
          <cell r="B297" t="str">
            <v>앵커 문장 도안</v>
          </cell>
        </row>
        <row r="298">
          <cell r="A298">
            <v>23348053</v>
          </cell>
          <cell r="B298" t="str">
            <v>어부 문장 도안</v>
          </cell>
        </row>
        <row r="299">
          <cell r="A299">
            <v>23348054</v>
          </cell>
          <cell r="B299" t="str">
            <v>일광 문장 도안</v>
          </cell>
        </row>
        <row r="300">
          <cell r="A300">
            <v>23348055</v>
          </cell>
          <cell r="B300" t="str">
            <v>장미 문장 도안</v>
          </cell>
        </row>
        <row r="301">
          <cell r="A301">
            <v>23348056</v>
          </cell>
          <cell r="B301" t="str">
            <v>조개 문장 도안</v>
          </cell>
        </row>
        <row r="302">
          <cell r="A302">
            <v>23348057</v>
          </cell>
          <cell r="B302" t="str">
            <v>캥거루 문장 도안</v>
          </cell>
        </row>
        <row r="303">
          <cell r="A303">
            <v>23348058</v>
          </cell>
          <cell r="B303" t="str">
            <v>크로스 문장 도안</v>
          </cell>
        </row>
        <row r="304">
          <cell r="A304">
            <v>23348059</v>
          </cell>
          <cell r="B304" t="str">
            <v>클로버 문장 도안</v>
          </cell>
        </row>
        <row r="305">
          <cell r="A305">
            <v>23348060</v>
          </cell>
          <cell r="B305" t="str">
            <v>태양 문장 도안</v>
          </cell>
        </row>
        <row r="306">
          <cell r="A306">
            <v>23348061</v>
          </cell>
          <cell r="B306" t="str">
            <v>트라이덴트 문장 도안</v>
          </cell>
        </row>
        <row r="307">
          <cell r="A307">
            <v>23348062</v>
          </cell>
          <cell r="B307" t="str">
            <v>페가수스 문장 도안</v>
          </cell>
        </row>
        <row r="308">
          <cell r="A308">
            <v>23348063</v>
          </cell>
          <cell r="B308" t="str">
            <v>하트 문장 도안</v>
          </cell>
        </row>
        <row r="309">
          <cell r="A309">
            <v>23348064</v>
          </cell>
          <cell r="B309" t="str">
            <v>헬름 문장 도안</v>
          </cell>
        </row>
        <row r="310">
          <cell r="A310">
            <v>23348065</v>
          </cell>
          <cell r="B310" t="str">
            <v>호박벌 문장 도안</v>
          </cell>
        </row>
        <row r="311">
          <cell r="A311">
            <v>23348066</v>
          </cell>
          <cell r="B311" t="str">
            <v>기사 문장 도안</v>
          </cell>
        </row>
        <row r="312">
          <cell r="A312">
            <v>23348067</v>
          </cell>
          <cell r="B312" t="str">
            <v>네덜란드 문장 도안</v>
          </cell>
        </row>
        <row r="313">
          <cell r="A313">
            <v>23348068</v>
          </cell>
          <cell r="B313" t="str">
            <v>미들튼 가문의 문장 도안</v>
          </cell>
        </row>
        <row r="314">
          <cell r="A314">
            <v>23348069</v>
          </cell>
          <cell r="B314" t="str">
            <v>바다 여단 문장 도안</v>
          </cell>
        </row>
        <row r="315">
          <cell r="A315">
            <v>23348070</v>
          </cell>
          <cell r="B315" t="str">
            <v>발바리아 해적 문장 도안</v>
          </cell>
        </row>
        <row r="316">
          <cell r="A316">
            <v>23348071</v>
          </cell>
          <cell r="B316" t="str">
            <v>베네치아 문장 도안</v>
          </cell>
        </row>
        <row r="317">
          <cell r="A317">
            <v>23348072</v>
          </cell>
          <cell r="B317" t="str">
            <v>베르니에 자작가 문장 도안</v>
          </cell>
        </row>
        <row r="318">
          <cell r="A318">
            <v>23348073</v>
          </cell>
          <cell r="B318" t="str">
            <v>살미엔트 길드 문장 도안</v>
          </cell>
        </row>
        <row r="319">
          <cell r="A319">
            <v>23348074</v>
          </cell>
          <cell r="B319" t="str">
            <v>에스파냐 문장 도안</v>
          </cell>
        </row>
        <row r="320">
          <cell r="A320">
            <v>23348075</v>
          </cell>
          <cell r="B320" t="str">
            <v>여인 문장 도안</v>
          </cell>
        </row>
        <row r="321">
          <cell r="A321">
            <v>23348076</v>
          </cell>
          <cell r="B321" t="str">
            <v>오스만 투르크 문장 도안</v>
          </cell>
        </row>
        <row r="322">
          <cell r="A322">
            <v>23348077</v>
          </cell>
          <cell r="B322" t="str">
            <v>장식 문장 도안</v>
          </cell>
        </row>
        <row r="323">
          <cell r="A323">
            <v>23348078</v>
          </cell>
          <cell r="B323" t="str">
            <v>탈출 문장 도안</v>
          </cell>
        </row>
        <row r="324">
          <cell r="A324">
            <v>23348079</v>
          </cell>
          <cell r="B324" t="str">
            <v>포르투갈 문장 도안</v>
          </cell>
        </row>
        <row r="325">
          <cell r="A325">
            <v>23348080</v>
          </cell>
          <cell r="B325" t="str">
            <v>프랑스 문장 도안</v>
          </cell>
        </row>
        <row r="326">
          <cell r="A326">
            <v>23348081</v>
          </cell>
          <cell r="B326" t="str">
            <v>흑고래 용병함대 문장 도안</v>
          </cell>
        </row>
        <row r="327">
          <cell r="A327">
            <v>23348082</v>
          </cell>
          <cell r="B327" t="str">
            <v>학문양 문장 도안</v>
          </cell>
        </row>
        <row r="328">
          <cell r="A328">
            <v>23348083</v>
          </cell>
          <cell r="B328" t="str">
            <v>잉어 문장 도안</v>
          </cell>
        </row>
        <row r="329">
          <cell r="A329">
            <v>23348084</v>
          </cell>
          <cell r="B329" t="str">
            <v>청룡 문장 도안</v>
          </cell>
        </row>
        <row r="330">
          <cell r="A330">
            <v>23348085</v>
          </cell>
          <cell r="B330" t="str">
            <v>현무 문장 도안</v>
          </cell>
        </row>
        <row r="331">
          <cell r="A331">
            <v>23348086</v>
          </cell>
          <cell r="B331" t="str">
            <v>백호 문장 도안</v>
          </cell>
        </row>
        <row r="332">
          <cell r="A332">
            <v>23348087</v>
          </cell>
          <cell r="B332" t="str">
            <v>주작 문장 도안</v>
          </cell>
        </row>
        <row r="333">
          <cell r="A333">
            <v>23348088</v>
          </cell>
          <cell r="B333" t="str">
            <v>도깨비 문장 도안</v>
          </cell>
        </row>
        <row r="334">
          <cell r="A334">
            <v>23348089</v>
          </cell>
          <cell r="B334" t="str">
            <v>태극 문장 도안</v>
          </cell>
        </row>
        <row r="335">
          <cell r="A335">
            <v>23348090</v>
          </cell>
          <cell r="B335" t="str">
            <v>모란 문장 도안</v>
          </cell>
        </row>
        <row r="336">
          <cell r="A336">
            <v>23348091</v>
          </cell>
          <cell r="B336" t="str">
            <v>벚꽃 문장 도안</v>
          </cell>
        </row>
        <row r="337">
          <cell r="A337">
            <v>23348092</v>
          </cell>
          <cell r="B337" t="str">
            <v>연꽃 문장 도안</v>
          </cell>
        </row>
        <row r="338">
          <cell r="A338">
            <v>23348093</v>
          </cell>
          <cell r="B338" t="str">
            <v>국화 문장 도안</v>
          </cell>
        </row>
        <row r="339">
          <cell r="A339">
            <v>23348094</v>
          </cell>
          <cell r="B339" t="str">
            <v>매화 문장 도안</v>
          </cell>
        </row>
        <row r="340">
          <cell r="A340">
            <v>23348095</v>
          </cell>
          <cell r="B340" t="str">
            <v>복 문장 도안</v>
          </cell>
        </row>
        <row r="341">
          <cell r="A341">
            <v>23348096</v>
          </cell>
          <cell r="B341" t="str">
            <v>구름 문장 도안</v>
          </cell>
        </row>
        <row r="342">
          <cell r="A342">
            <v>23348097</v>
          </cell>
          <cell r="B342" t="str">
            <v>기린 문장 도안</v>
          </cell>
        </row>
        <row r="343">
          <cell r="A343">
            <v>23348098</v>
          </cell>
          <cell r="B343" t="str">
            <v>해태 문장 도안</v>
          </cell>
        </row>
        <row r="344">
          <cell r="A344">
            <v>23348099</v>
          </cell>
          <cell r="B344" t="str">
            <v>대나무 문장 도안</v>
          </cell>
        </row>
        <row r="345">
          <cell r="A345">
            <v>23348100</v>
          </cell>
          <cell r="B345" t="str">
            <v>창틀 문장 도안</v>
          </cell>
        </row>
        <row r="346">
          <cell r="A346">
            <v>23348101</v>
          </cell>
          <cell r="B346" t="str">
            <v>복숭아 문장 도안</v>
          </cell>
        </row>
        <row r="347">
          <cell r="A347">
            <v>23348102</v>
          </cell>
          <cell r="B347" t="str">
            <v>캘리코 잭 도안</v>
          </cell>
        </row>
        <row r="348">
          <cell r="A348">
            <v>23348103</v>
          </cell>
          <cell r="B348" t="str">
            <v>대항해시대 오리진 도안</v>
          </cell>
        </row>
        <row r="349">
          <cell r="A349">
            <v>23348104</v>
          </cell>
          <cell r="B349" t="str">
            <v>보석 왕관 도안</v>
          </cell>
        </row>
        <row r="350">
          <cell r="A350">
            <v>23348500</v>
          </cell>
          <cell r="B350" t="str">
            <v>한줄 가로무늬 도안</v>
          </cell>
        </row>
        <row r="351">
          <cell r="A351">
            <v>23348501</v>
          </cell>
          <cell r="B351" t="str">
            <v>한줄 세로무늬 도안</v>
          </cell>
        </row>
        <row r="352">
          <cell r="A352">
            <v>23348502</v>
          </cell>
          <cell r="B352" t="str">
            <v>한줄 사선무늬 도안</v>
          </cell>
        </row>
        <row r="353">
          <cell r="A353">
            <v>23348503</v>
          </cell>
          <cell r="B353" t="str">
            <v>가로 톱니 무늬 도안</v>
          </cell>
        </row>
        <row r="354">
          <cell r="A354">
            <v>23348504</v>
          </cell>
          <cell r="B354" t="str">
            <v>세로 톱니 무늬 도안</v>
          </cell>
        </row>
        <row r="355">
          <cell r="A355">
            <v>23348505</v>
          </cell>
          <cell r="B355" t="str">
            <v>두줄 세로 무늬 도안</v>
          </cell>
        </row>
        <row r="356">
          <cell r="A356">
            <v>23348506</v>
          </cell>
          <cell r="B356" t="str">
            <v>두줄 가로 무늬 도안</v>
          </cell>
        </row>
        <row r="357">
          <cell r="A357">
            <v>23348507</v>
          </cell>
          <cell r="B357" t="str">
            <v>한줄 물결 무늬 도안</v>
          </cell>
        </row>
        <row r="358">
          <cell r="A358">
            <v>23348508</v>
          </cell>
          <cell r="B358" t="str">
            <v>세로 스트라이프 도안</v>
          </cell>
        </row>
        <row r="359">
          <cell r="A359">
            <v>23348509</v>
          </cell>
          <cell r="B359" t="str">
            <v>가로 스트라이프 도안</v>
          </cell>
        </row>
        <row r="360">
          <cell r="A360">
            <v>23348510</v>
          </cell>
          <cell r="B360" t="str">
            <v>두줄 사선 무늬 도안</v>
          </cell>
        </row>
        <row r="361">
          <cell r="A361">
            <v>23348511</v>
          </cell>
          <cell r="B361" t="str">
            <v>큰 마름모 무늬 도안</v>
          </cell>
        </row>
        <row r="362">
          <cell r="A362">
            <v>23348512</v>
          </cell>
          <cell r="B362" t="str">
            <v>작은 마름모 무늬 도안</v>
          </cell>
        </row>
        <row r="363">
          <cell r="A363">
            <v>23348513</v>
          </cell>
          <cell r="B363" t="str">
            <v>V 자 무늬 도안</v>
          </cell>
        </row>
        <row r="364">
          <cell r="A364">
            <v>23348514</v>
          </cell>
          <cell r="B364" t="str">
            <v>격자 무늬 도안</v>
          </cell>
        </row>
        <row r="365">
          <cell r="A365">
            <v>23348515</v>
          </cell>
          <cell r="B365" t="str">
            <v>풍차 무늬 도안</v>
          </cell>
        </row>
        <row r="366">
          <cell r="A366">
            <v>23348516</v>
          </cell>
          <cell r="B366" t="str">
            <v>큰 사각 무늬 도안</v>
          </cell>
        </row>
        <row r="367">
          <cell r="A367">
            <v>23348517</v>
          </cell>
          <cell r="B367" t="str">
            <v>큰 방울 무늬 도안</v>
          </cell>
        </row>
        <row r="368">
          <cell r="A368">
            <v>23348518</v>
          </cell>
          <cell r="B368" t="str">
            <v>삼각 무늬 도안</v>
          </cell>
        </row>
        <row r="369">
          <cell r="A369">
            <v>23348519</v>
          </cell>
          <cell r="B369" t="str">
            <v>계단 무늬 도안</v>
          </cell>
        </row>
        <row r="370">
          <cell r="A370">
            <v>23348520</v>
          </cell>
          <cell r="B370" t="str">
            <v>세로 물결 무늬 도안</v>
          </cell>
        </row>
        <row r="371">
          <cell r="A371">
            <v>23348521</v>
          </cell>
          <cell r="B371" t="str">
            <v>가로 물결 무늬 도안</v>
          </cell>
        </row>
        <row r="372">
          <cell r="A372">
            <v>23348522</v>
          </cell>
          <cell r="B372" t="str">
            <v>작은 방울 무늬 도안</v>
          </cell>
        </row>
        <row r="373">
          <cell r="A373">
            <v>23348523</v>
          </cell>
          <cell r="B373" t="str">
            <v>빛 모양 무늬 도안</v>
          </cell>
        </row>
        <row r="374">
          <cell r="A374">
            <v>23348524</v>
          </cell>
          <cell r="B374" t="str">
            <v>체크 무늬 도안</v>
          </cell>
        </row>
        <row r="375">
          <cell r="A375">
            <v>23348525</v>
          </cell>
          <cell r="B375" t="str">
            <v>삼각형 무늬 도안</v>
          </cell>
        </row>
        <row r="376">
          <cell r="A376">
            <v>23348526</v>
          </cell>
          <cell r="B376" t="str">
            <v>마름모 무늬 도안</v>
          </cell>
        </row>
        <row r="377">
          <cell r="A377">
            <v>23348527</v>
          </cell>
          <cell r="B377" t="str">
            <v>벽돌 무늬 도안</v>
          </cell>
        </row>
        <row r="378">
          <cell r="A378">
            <v>23348528</v>
          </cell>
          <cell r="B378" t="str">
            <v>구불구불 무늬 도안</v>
          </cell>
        </row>
        <row r="379">
          <cell r="A379">
            <v>23348529</v>
          </cell>
          <cell r="B379" t="str">
            <v>물결 무늬 도안</v>
          </cell>
        </row>
        <row r="380">
          <cell r="A380">
            <v>23348530</v>
          </cell>
          <cell r="B380" t="str">
            <v>사각 무늬 도안</v>
          </cell>
        </row>
        <row r="381">
          <cell r="A381">
            <v>23348531</v>
          </cell>
          <cell r="B381" t="str">
            <v>체스판 무늬 도안</v>
          </cell>
        </row>
        <row r="382">
          <cell r="A382">
            <v>23348532</v>
          </cell>
          <cell r="B382" t="str">
            <v>십자 무늬 도안</v>
          </cell>
        </row>
        <row r="383">
          <cell r="A383">
            <v>23348533</v>
          </cell>
          <cell r="B383" t="str">
            <v>원 무늬 도안</v>
          </cell>
        </row>
        <row r="384">
          <cell r="A384">
            <v>23348534</v>
          </cell>
          <cell r="B384" t="str">
            <v>비늘 무늬 도안</v>
          </cell>
        </row>
        <row r="385">
          <cell r="A385">
            <v>23348535</v>
          </cell>
          <cell r="B385" t="str">
            <v>육각 무늬 도안</v>
          </cell>
        </row>
        <row r="386">
          <cell r="A386">
            <v>23348536</v>
          </cell>
          <cell r="B386" t="str">
            <v>사각 마름모 무늬 도안</v>
          </cell>
        </row>
        <row r="387">
          <cell r="A387">
            <v>23348537</v>
          </cell>
          <cell r="B387" t="str">
            <v>제비꽃 무늬 도안</v>
          </cell>
        </row>
        <row r="388">
          <cell r="A388">
            <v>23348538</v>
          </cell>
          <cell r="B388" t="str">
            <v>혼돈 무늬 도안</v>
          </cell>
        </row>
        <row r="389">
          <cell r="A389">
            <v>23348539</v>
          </cell>
          <cell r="B389" t="str">
            <v>백합 무늬 도안</v>
          </cell>
        </row>
        <row r="390">
          <cell r="A390">
            <v>23348540</v>
          </cell>
          <cell r="B390" t="str">
            <v>점 무늬 도안</v>
          </cell>
        </row>
        <row r="391">
          <cell r="A391">
            <v>23348541</v>
          </cell>
          <cell r="B391" t="str">
            <v>달 무늬 도안</v>
          </cell>
        </row>
        <row r="392">
          <cell r="A392">
            <v>23348542</v>
          </cell>
          <cell r="B392" t="str">
            <v>얼룩 무늬 도안</v>
          </cell>
        </row>
        <row r="393">
          <cell r="A393">
            <v>23348543</v>
          </cell>
          <cell r="B393" t="str">
            <v>모래알 무늬 도안</v>
          </cell>
        </row>
        <row r="394">
          <cell r="A394">
            <v>23348544</v>
          </cell>
          <cell r="B394" t="str">
            <v>별 무늬 도안</v>
          </cell>
        </row>
        <row r="395">
          <cell r="A395">
            <v>23348545</v>
          </cell>
          <cell r="B395" t="str">
            <v>블록 무늬 도안</v>
          </cell>
        </row>
        <row r="396">
          <cell r="A396">
            <v>23348546</v>
          </cell>
          <cell r="B396" t="str">
            <v>데칼코마니 무늬 도안</v>
          </cell>
        </row>
        <row r="397">
          <cell r="A397">
            <v>23348547</v>
          </cell>
          <cell r="B397" t="str">
            <v>나비 무늬 도안</v>
          </cell>
        </row>
        <row r="398">
          <cell r="A398">
            <v>23348548</v>
          </cell>
          <cell r="B398" t="str">
            <v>장미 무늬 도안</v>
          </cell>
        </row>
        <row r="399">
          <cell r="A399">
            <v>23348549</v>
          </cell>
          <cell r="B399" t="str">
            <v>특수 무늬 도안</v>
          </cell>
        </row>
        <row r="400">
          <cell r="A400">
            <v>23348550</v>
          </cell>
          <cell r="B400" t="str">
            <v>동양풍 무늬 도안</v>
          </cell>
        </row>
        <row r="401">
          <cell r="A401">
            <v>23400000</v>
          </cell>
          <cell r="B401" t="str">
            <v>소형 인양 공구</v>
          </cell>
        </row>
        <row r="402">
          <cell r="A402">
            <v>23400001</v>
          </cell>
          <cell r="B402" t="str">
            <v>중형 인양 공구</v>
          </cell>
        </row>
        <row r="403">
          <cell r="A403">
            <v>23400002</v>
          </cell>
          <cell r="B403" t="str">
            <v>대형 인양 공구</v>
          </cell>
        </row>
        <row r="404">
          <cell r="A404">
            <v>23400003</v>
          </cell>
          <cell r="B404" t="str">
            <v>장비함 확장서</v>
          </cell>
        </row>
        <row r="405">
          <cell r="A405">
            <v>23400004</v>
          </cell>
          <cell r="B405" t="str">
            <v>도구함 확장서</v>
          </cell>
        </row>
        <row r="406">
          <cell r="A406">
            <v>23400005</v>
          </cell>
          <cell r="B406" t="str">
            <v>부품함 확장서</v>
          </cell>
        </row>
        <row r="407">
          <cell r="A407">
            <v>23400006</v>
          </cell>
          <cell r="B407" t="str">
            <v>예인선 계약서</v>
          </cell>
        </row>
        <row r="408">
          <cell r="A408">
            <v>23400007</v>
          </cell>
          <cell r="B408" t="str">
            <v>선거 계약서</v>
          </cell>
        </row>
        <row r="409">
          <cell r="A409">
            <v>23400008</v>
          </cell>
          <cell r="B409" t="str">
            <v>C등급 공용 도면</v>
          </cell>
        </row>
        <row r="410">
          <cell r="A410">
            <v>23400009</v>
          </cell>
          <cell r="B410" t="str">
            <v>B등급 공용 도면</v>
          </cell>
        </row>
        <row r="411">
          <cell r="A411">
            <v>23400010</v>
          </cell>
          <cell r="B411" t="str">
            <v>A등급 공용 도면</v>
          </cell>
        </row>
        <row r="412">
          <cell r="A412">
            <v>23400011</v>
          </cell>
          <cell r="B412" t="str">
            <v>S등급 공용 도면</v>
          </cell>
        </row>
        <row r="413">
          <cell r="A413">
            <v>23400012</v>
          </cell>
          <cell r="B413" t="str">
            <v>건조 계약서</v>
          </cell>
        </row>
        <row r="414">
          <cell r="A414">
            <v>23400018</v>
          </cell>
          <cell r="B414" t="str">
            <v>C등급 특수 도면</v>
          </cell>
        </row>
        <row r="415">
          <cell r="A415">
            <v>23400019</v>
          </cell>
          <cell r="B415" t="str">
            <v>B등급 특수 도면</v>
          </cell>
        </row>
        <row r="416">
          <cell r="A416">
            <v>23400020</v>
          </cell>
          <cell r="B416" t="str">
            <v>A등급 특수 도면</v>
          </cell>
        </row>
        <row r="417">
          <cell r="A417">
            <v>23400021</v>
          </cell>
          <cell r="B417" t="str">
            <v>S등급 특수 도면</v>
          </cell>
        </row>
        <row r="418">
          <cell r="A418">
            <v>23400023</v>
          </cell>
          <cell r="B418" t="str">
            <v>소형 발주서</v>
          </cell>
        </row>
        <row r="419">
          <cell r="A419">
            <v>23400024</v>
          </cell>
          <cell r="B419" t="str">
            <v>중형 발주서</v>
          </cell>
        </row>
        <row r="420">
          <cell r="A420">
            <v>23400025</v>
          </cell>
          <cell r="B420" t="str">
            <v>대형 발주서</v>
          </cell>
        </row>
        <row r="421">
          <cell r="A421">
            <v>23400026</v>
          </cell>
          <cell r="B421" t="str">
            <v>초대형 발주서</v>
          </cell>
        </row>
        <row r="422">
          <cell r="A422">
            <v>23400027</v>
          </cell>
          <cell r="B422" t="str">
            <v>초대형 인양 공구</v>
          </cell>
        </row>
        <row r="423">
          <cell r="A423">
            <v>23400028</v>
          </cell>
          <cell r="B423" t="str">
            <v>예비 노</v>
          </cell>
        </row>
        <row r="424">
          <cell r="A424">
            <v>23401001</v>
          </cell>
          <cell r="B424" t="str">
            <v>특별 투자 증서</v>
          </cell>
        </row>
        <row r="425">
          <cell r="A425">
            <v>23401002</v>
          </cell>
          <cell r="B425" t="str">
            <v>크리스마스_선물 상자</v>
          </cell>
        </row>
        <row r="426">
          <cell r="A426">
            <v>23405001</v>
          </cell>
          <cell r="B426" t="str">
            <v>타렛테 도면</v>
          </cell>
        </row>
        <row r="427">
          <cell r="A427">
            <v>23405002</v>
          </cell>
          <cell r="B427" t="str">
            <v>바르카 도면</v>
          </cell>
        </row>
        <row r="428">
          <cell r="A428">
            <v>23405003</v>
          </cell>
          <cell r="B428" t="str">
            <v>한자 코그 도면</v>
          </cell>
        </row>
        <row r="429">
          <cell r="A429">
            <v>23405004</v>
          </cell>
          <cell r="B429" t="str">
            <v>경량형 프로아 도면</v>
          </cell>
        </row>
        <row r="430">
          <cell r="A430">
            <v>23405005</v>
          </cell>
          <cell r="B430" t="str">
            <v>버저로 도면</v>
          </cell>
        </row>
        <row r="431">
          <cell r="A431">
            <v>23405006</v>
          </cell>
          <cell r="B431" t="str">
            <v>삼판 도면</v>
          </cell>
        </row>
        <row r="432">
          <cell r="A432">
            <v>23405007</v>
          </cell>
          <cell r="B432" t="str">
            <v>브리간틴 도면</v>
          </cell>
        </row>
        <row r="433">
          <cell r="A433">
            <v>23405008</v>
          </cell>
          <cell r="B433" t="str">
            <v>코그 레돈다 도면</v>
          </cell>
        </row>
        <row r="434">
          <cell r="A434">
            <v>23405009</v>
          </cell>
          <cell r="B434" t="str">
            <v>코그 라티나 도면</v>
          </cell>
        </row>
        <row r="435">
          <cell r="A435">
            <v>23405010</v>
          </cell>
          <cell r="B435" t="str">
            <v>프로아 도면</v>
          </cell>
        </row>
        <row r="436">
          <cell r="A436">
            <v>23405011</v>
          </cell>
          <cell r="B436" t="str">
            <v>캐러벨 라티나 도면</v>
          </cell>
        </row>
        <row r="437">
          <cell r="A437">
            <v>23405012</v>
          </cell>
          <cell r="B437" t="str">
            <v>캐러벨 레돈다 도면</v>
          </cell>
        </row>
        <row r="438">
          <cell r="A438">
            <v>23405013</v>
          </cell>
          <cell r="B438" t="str">
            <v>슬루프 도면</v>
          </cell>
        </row>
        <row r="439">
          <cell r="A439">
            <v>23405014</v>
          </cell>
          <cell r="B439" t="str">
            <v>커터 도면</v>
          </cell>
        </row>
        <row r="440">
          <cell r="A440">
            <v>23405015</v>
          </cell>
          <cell r="B440" t="str">
            <v>탄작 도면</v>
          </cell>
        </row>
        <row r="441">
          <cell r="A441">
            <v>23405016</v>
          </cell>
          <cell r="B441" t="str">
            <v>경량형 사선 도면</v>
          </cell>
        </row>
        <row r="442">
          <cell r="A442">
            <v>23405017</v>
          </cell>
          <cell r="B442" t="str">
            <v>경량형 갤리 도면</v>
          </cell>
        </row>
        <row r="443">
          <cell r="A443">
            <v>23405018</v>
          </cell>
          <cell r="B443" t="str">
            <v>나오 도면</v>
          </cell>
        </row>
        <row r="444">
          <cell r="A444">
            <v>23405019</v>
          </cell>
          <cell r="B444" t="str">
            <v>펠러커 도면</v>
          </cell>
        </row>
        <row r="445">
          <cell r="A445">
            <v>23405020</v>
          </cell>
          <cell r="B445" t="str">
            <v>다우 도면</v>
          </cell>
        </row>
        <row r="446">
          <cell r="A446">
            <v>23405021</v>
          </cell>
          <cell r="B446" t="str">
            <v>맹선 도면</v>
          </cell>
        </row>
        <row r="447">
          <cell r="A447">
            <v>23405022</v>
          </cell>
          <cell r="B447" t="str">
            <v>갤리 도면</v>
          </cell>
        </row>
        <row r="448">
          <cell r="A448">
            <v>23405023</v>
          </cell>
          <cell r="B448" t="str">
            <v>핀네스 도면</v>
          </cell>
        </row>
        <row r="449">
          <cell r="A449">
            <v>23405024</v>
          </cell>
          <cell r="B449" t="str">
            <v>카락 도면</v>
          </cell>
        </row>
        <row r="450">
          <cell r="A450">
            <v>23405025</v>
          </cell>
          <cell r="B450" t="str">
            <v>스쿠너 도면</v>
          </cell>
        </row>
        <row r="451">
          <cell r="A451">
            <v>23405026</v>
          </cell>
          <cell r="B451" t="str">
            <v>삼부크 도면</v>
          </cell>
        </row>
        <row r="452">
          <cell r="A452">
            <v>23405027</v>
          </cell>
          <cell r="B452" t="str">
            <v>소조선 도면</v>
          </cell>
        </row>
        <row r="453">
          <cell r="A453">
            <v>23405028</v>
          </cell>
          <cell r="B453" t="str">
            <v>중 갤리 도면</v>
          </cell>
        </row>
        <row r="454">
          <cell r="A454">
            <v>23405029</v>
          </cell>
          <cell r="B454" t="str">
            <v>프류트 도면</v>
          </cell>
        </row>
        <row r="455">
          <cell r="A455">
            <v>23405030</v>
          </cell>
          <cell r="B455" t="str">
            <v>바스 도면</v>
          </cell>
        </row>
        <row r="456">
          <cell r="A456">
            <v>23405031</v>
          </cell>
          <cell r="B456" t="str">
            <v>지벡 도면</v>
          </cell>
        </row>
        <row r="457">
          <cell r="A457">
            <v>23405032</v>
          </cell>
          <cell r="B457" t="str">
            <v>로르샤 도면</v>
          </cell>
        </row>
        <row r="458">
          <cell r="A458">
            <v>23405033</v>
          </cell>
          <cell r="B458" t="str">
            <v>사선 도면</v>
          </cell>
        </row>
        <row r="459">
          <cell r="A459">
            <v>23405034</v>
          </cell>
          <cell r="B459" t="str">
            <v>주인선 도면</v>
          </cell>
        </row>
        <row r="460">
          <cell r="A460">
            <v>23405035</v>
          </cell>
          <cell r="B460" t="str">
            <v>플란더스 갤리 도면</v>
          </cell>
        </row>
        <row r="461">
          <cell r="A461">
            <v>23405036</v>
          </cell>
          <cell r="B461" t="str">
            <v>오스만 갤리 도면</v>
          </cell>
        </row>
        <row r="462">
          <cell r="A462">
            <v>23405037</v>
          </cell>
          <cell r="B462" t="str">
            <v>프리깃 도면</v>
          </cell>
        </row>
        <row r="463">
          <cell r="A463">
            <v>23405038</v>
          </cell>
          <cell r="B463" t="str">
            <v>갤리온 도면</v>
          </cell>
        </row>
        <row r="464">
          <cell r="A464">
            <v>23405039</v>
          </cell>
          <cell r="B464" t="str">
            <v>코르벳 도면</v>
          </cell>
        </row>
        <row r="465">
          <cell r="A465">
            <v>23405040</v>
          </cell>
          <cell r="B465" t="str">
            <v>복선 도면</v>
          </cell>
        </row>
        <row r="466">
          <cell r="A466">
            <v>23405041</v>
          </cell>
          <cell r="B466" t="str">
            <v>조운선 도면</v>
          </cell>
        </row>
        <row r="467">
          <cell r="A467">
            <v>23405042</v>
          </cell>
          <cell r="B467" t="str">
            <v>관선 도면</v>
          </cell>
        </row>
        <row r="468">
          <cell r="A468">
            <v>23405043</v>
          </cell>
          <cell r="B468" t="str">
            <v>라레알 도면</v>
          </cell>
        </row>
        <row r="469">
          <cell r="A469">
            <v>23405044</v>
          </cell>
          <cell r="B469" t="str">
            <v>갤리스 도면</v>
          </cell>
        </row>
        <row r="470">
          <cell r="A470">
            <v>23405045</v>
          </cell>
          <cell r="B470" t="str">
            <v>대형 프리깃 도면</v>
          </cell>
        </row>
        <row r="471">
          <cell r="A471">
            <v>23405046</v>
          </cell>
          <cell r="B471" t="str">
            <v>중 카락 도면</v>
          </cell>
        </row>
        <row r="472">
          <cell r="A472">
            <v>23405047</v>
          </cell>
          <cell r="B472" t="str">
            <v>케벡 도면</v>
          </cell>
        </row>
        <row r="473">
          <cell r="A473">
            <v>23405048</v>
          </cell>
          <cell r="B473" t="str">
            <v>대형 사선 도면</v>
          </cell>
        </row>
        <row r="474">
          <cell r="A474">
            <v>23405049</v>
          </cell>
          <cell r="B474" t="str">
            <v>대형 조운선 도면</v>
          </cell>
        </row>
        <row r="475">
          <cell r="A475">
            <v>23405050</v>
          </cell>
          <cell r="B475" t="str">
            <v>대형 관선 도면</v>
          </cell>
        </row>
        <row r="476">
          <cell r="A476">
            <v>23405051</v>
          </cell>
          <cell r="B476" t="str">
            <v>라르와이얄 도면</v>
          </cell>
        </row>
        <row r="477">
          <cell r="A477">
            <v>23405052</v>
          </cell>
          <cell r="B477" t="str">
            <v>오스만 갤리온 도면</v>
          </cell>
        </row>
        <row r="478">
          <cell r="A478">
            <v>23405053</v>
          </cell>
          <cell r="B478" t="str">
            <v>테메레르 도면</v>
          </cell>
        </row>
        <row r="479">
          <cell r="A479">
            <v>23405054</v>
          </cell>
          <cell r="B479" t="str">
            <v>대형 갤리온 도면</v>
          </cell>
        </row>
        <row r="480">
          <cell r="A480">
            <v>23405055</v>
          </cell>
          <cell r="B480" t="str">
            <v>대형 스쿠너 도면</v>
          </cell>
        </row>
        <row r="481">
          <cell r="A481">
            <v>23405056</v>
          </cell>
          <cell r="B481" t="str">
            <v>광선 도면</v>
          </cell>
        </row>
        <row r="482">
          <cell r="A482">
            <v>23405057</v>
          </cell>
          <cell r="B482" t="str">
            <v>거북선 도면</v>
          </cell>
        </row>
        <row r="483">
          <cell r="A483">
            <v>23405058</v>
          </cell>
          <cell r="B483" t="str">
            <v>안택선 도면</v>
          </cell>
        </row>
        <row r="484">
          <cell r="A484">
            <v>23405059</v>
          </cell>
          <cell r="B484" t="str">
            <v>라모르 도면</v>
          </cell>
        </row>
        <row r="485">
          <cell r="A485">
            <v>23405060</v>
          </cell>
          <cell r="B485" t="str">
            <v>베네치안 갤리스 도면</v>
          </cell>
        </row>
        <row r="486">
          <cell r="A486">
            <v>23405061</v>
          </cell>
          <cell r="B486" t="str">
            <v>오세앙 도면</v>
          </cell>
        </row>
        <row r="487">
          <cell r="A487">
            <v>23405062</v>
          </cell>
          <cell r="B487" t="str">
            <v>전열함 도면</v>
          </cell>
        </row>
        <row r="488">
          <cell r="A488">
            <v>23405063</v>
          </cell>
          <cell r="B488" t="str">
            <v>롱 스쿠너 도면</v>
          </cell>
        </row>
        <row r="489">
          <cell r="A489">
            <v>23405064</v>
          </cell>
          <cell r="B489" t="str">
            <v>대복선 도면</v>
          </cell>
        </row>
        <row r="490">
          <cell r="A490">
            <v>23405065</v>
          </cell>
          <cell r="B490" t="str">
            <v>판옥선 도면</v>
          </cell>
        </row>
        <row r="491">
          <cell r="A491">
            <v>23405066</v>
          </cell>
          <cell r="B491" t="str">
            <v>철갑선 도면</v>
          </cell>
        </row>
        <row r="492">
          <cell r="A492">
            <v>23405067</v>
          </cell>
          <cell r="B492" t="str">
            <v>황금 바르카 도면</v>
          </cell>
        </row>
        <row r="493">
          <cell r="A493">
            <v>23405068</v>
          </cell>
          <cell r="B493" t="str">
            <v>황금 삼판 도면</v>
          </cell>
        </row>
        <row r="494">
          <cell r="A494">
            <v>23405069</v>
          </cell>
          <cell r="B494" t="str">
            <v>라 핀타 도면</v>
          </cell>
        </row>
        <row r="495">
          <cell r="A495">
            <v>23405070</v>
          </cell>
          <cell r="B495" t="str">
            <v>중 캐러벨 도면</v>
          </cell>
        </row>
        <row r="496">
          <cell r="A496">
            <v>23405071</v>
          </cell>
          <cell r="B496" t="str">
            <v>산타 마리아 도면</v>
          </cell>
        </row>
        <row r="497">
          <cell r="A497">
            <v>23405072</v>
          </cell>
          <cell r="B497" t="str">
            <v>스페르베르 도면</v>
          </cell>
        </row>
        <row r="498">
          <cell r="A498">
            <v>23405073</v>
          </cell>
          <cell r="B498" t="str">
            <v>빅토리아 도면</v>
          </cell>
        </row>
        <row r="499">
          <cell r="A499">
            <v>23405074</v>
          </cell>
          <cell r="B499" t="str">
            <v>에스메랄다 도면</v>
          </cell>
        </row>
        <row r="500">
          <cell r="A500">
            <v>23405075</v>
          </cell>
          <cell r="B500" t="str">
            <v>골든 하인드 도면</v>
          </cell>
        </row>
        <row r="501">
          <cell r="A501">
            <v>23405076</v>
          </cell>
          <cell r="B501" t="str">
            <v>나폴리탄 갤리스 도면</v>
          </cell>
        </row>
        <row r="502">
          <cell r="A502">
            <v>23405077</v>
          </cell>
          <cell r="B502" t="str">
            <v>성 가브리엘 도면</v>
          </cell>
        </row>
        <row r="503">
          <cell r="A503">
            <v>23405078</v>
          </cell>
          <cell r="B503" t="str">
            <v>산 후안 도면</v>
          </cell>
        </row>
        <row r="504">
          <cell r="A504">
            <v>23405079</v>
          </cell>
          <cell r="B504" t="str">
            <v>산 펠리페 도면</v>
          </cell>
        </row>
        <row r="505">
          <cell r="A505">
            <v>23405080</v>
          </cell>
          <cell r="B505" t="str">
            <v>로열 소버린 도면</v>
          </cell>
        </row>
        <row r="506">
          <cell r="A506">
            <v>23405081</v>
          </cell>
          <cell r="B506" t="str">
            <v>애들러 도면</v>
          </cell>
        </row>
        <row r="507">
          <cell r="A507">
            <v>23405082</v>
          </cell>
          <cell r="B507" t="str">
            <v>라 쿠론 도면</v>
          </cell>
        </row>
        <row r="508">
          <cell r="A508">
            <v>23405083</v>
          </cell>
          <cell r="B508" t="str">
            <v>정조의 거북선 도면</v>
          </cell>
        </row>
        <row r="509">
          <cell r="A509">
            <v>23405084</v>
          </cell>
          <cell r="B509" t="str">
            <v>노부나가의 철갑선 도면</v>
          </cell>
        </row>
        <row r="510">
          <cell r="A510">
            <v>23405085</v>
          </cell>
          <cell r="B510" t="str">
            <v>정화의 보선 도면</v>
          </cell>
        </row>
        <row r="511">
          <cell r="A511">
            <v>23405086</v>
          </cell>
          <cell r="B511" t="str">
            <v>로만 갤리 도면</v>
          </cell>
        </row>
        <row r="512">
          <cell r="A512">
            <v>23405087</v>
          </cell>
          <cell r="B512" t="str">
            <v>메이플라워 도면</v>
          </cell>
        </row>
        <row r="513">
          <cell r="A513">
            <v>23405088</v>
          </cell>
          <cell r="B513" t="str">
            <v>카라코아 도면</v>
          </cell>
        </row>
        <row r="514">
          <cell r="A514">
            <v>23405089</v>
          </cell>
          <cell r="B514" t="str">
            <v>능원회선 도면</v>
          </cell>
        </row>
        <row r="515">
          <cell r="A515">
            <v>23405090</v>
          </cell>
          <cell r="B515" t="str">
            <v>플레미시 갤리온 도면</v>
          </cell>
        </row>
        <row r="516">
          <cell r="A516">
            <v>23405091</v>
          </cell>
          <cell r="B516" t="str">
            <v>클리퍼 도면</v>
          </cell>
        </row>
        <row r="517">
          <cell r="A517">
            <v>23405092</v>
          </cell>
          <cell r="B517" t="str">
            <v>산타 카타리나 도면</v>
          </cell>
        </row>
        <row r="518">
          <cell r="A518">
            <v>23405093</v>
          </cell>
          <cell r="B518" t="str">
            <v>용수선 도면</v>
          </cell>
        </row>
        <row r="519">
          <cell r="A519">
            <v>23405094</v>
          </cell>
          <cell r="B519" t="str">
            <v>레이지드 프리깃 도면</v>
          </cell>
        </row>
        <row r="520">
          <cell r="A520">
            <v>23405095</v>
          </cell>
          <cell r="B520" t="str">
            <v>아이언 사이즈 도면</v>
          </cell>
        </row>
        <row r="521">
          <cell r="A521">
            <v>23405096</v>
          </cell>
          <cell r="B521" t="str">
            <v>바사 도면</v>
          </cell>
        </row>
        <row r="522">
          <cell r="A522">
            <v>23405097</v>
          </cell>
          <cell r="B522" t="str">
            <v>노르딕 갤리온 도면</v>
          </cell>
        </row>
        <row r="523">
          <cell r="A523">
            <v>23405098</v>
          </cell>
          <cell r="B523" t="str">
            <v>노르스케 뢰베 도면</v>
          </cell>
        </row>
        <row r="524">
          <cell r="A524">
            <v>23405099</v>
          </cell>
          <cell r="B524" t="str">
            <v>마닐라 갤리온 도면</v>
          </cell>
        </row>
        <row r="525">
          <cell r="A525">
            <v>23405100</v>
          </cell>
          <cell r="B525" t="str">
            <v>사견선 도면</v>
          </cell>
        </row>
        <row r="526">
          <cell r="A526">
            <v>23405101</v>
          </cell>
          <cell r="B526" t="str">
            <v>할버 만 도면</v>
          </cell>
        </row>
        <row r="527">
          <cell r="A527">
            <v>23405102</v>
          </cell>
          <cell r="B527" t="str">
            <v>버뮤다 슬루프 도면</v>
          </cell>
        </row>
        <row r="528">
          <cell r="A528">
            <v>23405103</v>
          </cell>
          <cell r="B528" t="str">
            <v>인데버 도면</v>
          </cell>
        </row>
        <row r="529">
          <cell r="A529">
            <v>23405104</v>
          </cell>
          <cell r="B529" t="str">
            <v>프린스 빌럼 도면</v>
          </cell>
        </row>
        <row r="530">
          <cell r="A530">
            <v>23405105</v>
          </cell>
          <cell r="B530" t="str">
            <v>플라잉 클라우드 도면</v>
          </cell>
        </row>
        <row r="531">
          <cell r="A531">
            <v>23405106</v>
          </cell>
          <cell r="B531" t="str">
            <v>간자 다우 도면</v>
          </cell>
        </row>
        <row r="532">
          <cell r="A532">
            <v>23405107</v>
          </cell>
          <cell r="B532" t="str">
            <v>테르모필레 도면</v>
          </cell>
        </row>
        <row r="533">
          <cell r="A533">
            <v>23405108</v>
          </cell>
          <cell r="B533" t="str">
            <v>서프라이즈 도면</v>
          </cell>
        </row>
        <row r="534">
          <cell r="A534">
            <v>23405109</v>
          </cell>
          <cell r="B534" t="str">
            <v>비글 도면</v>
          </cell>
        </row>
        <row r="535">
          <cell r="A535">
            <v>23405110</v>
          </cell>
          <cell r="B535" t="str">
            <v>산티시마 트리니다드 도면</v>
          </cell>
        </row>
        <row r="536">
          <cell r="A536">
            <v>23405111</v>
          </cell>
          <cell r="B536" t="str">
            <v>어드벤처 갤리 도면</v>
          </cell>
        </row>
        <row r="537">
          <cell r="A537">
            <v>23405112</v>
          </cell>
          <cell r="B537" t="str">
            <v>바운티 도면</v>
          </cell>
        </row>
        <row r="538">
          <cell r="A538">
            <v>23405113</v>
          </cell>
          <cell r="B538" t="str">
            <v>세인트 로런스 도면</v>
          </cell>
        </row>
        <row r="539">
          <cell r="A539">
            <v>23405114</v>
          </cell>
          <cell r="B539" t="str">
            <v>도팽 로열 도면</v>
          </cell>
        </row>
        <row r="540">
          <cell r="A540">
            <v>23405115</v>
          </cell>
          <cell r="B540" t="str">
            <v>부첸타우르 도면</v>
          </cell>
        </row>
        <row r="541">
          <cell r="A541">
            <v>23405116</v>
          </cell>
          <cell r="B541" t="str">
            <v>솔레이유 로열 도면</v>
          </cell>
        </row>
        <row r="542">
          <cell r="A542">
            <v>23405117</v>
          </cell>
          <cell r="B542" t="str">
            <v>크로난 도면</v>
          </cell>
        </row>
        <row r="543">
          <cell r="A543">
            <v>23405118</v>
          </cell>
          <cell r="B543" t="str">
            <v>더제번 도면</v>
          </cell>
        </row>
        <row r="544">
          <cell r="A544">
            <v>23405119</v>
          </cell>
          <cell r="B544" t="str">
            <v>빅토리 도면</v>
          </cell>
        </row>
        <row r="545">
          <cell r="A545">
            <v>23405120</v>
          </cell>
          <cell r="B545" t="str">
            <v>인게르마늘란트 도면</v>
          </cell>
        </row>
        <row r="546">
          <cell r="A546">
            <v>23405121</v>
          </cell>
          <cell r="B546" t="str">
            <v>그랑 안 프류트 도면</v>
          </cell>
        </row>
        <row r="547">
          <cell r="A547">
            <v>23405122</v>
          </cell>
          <cell r="B547" t="str">
            <v>몽충 도면</v>
          </cell>
        </row>
        <row r="548">
          <cell r="A548">
            <v>23405123</v>
          </cell>
          <cell r="B548" t="str">
            <v>주가 도면</v>
          </cell>
        </row>
        <row r="549">
          <cell r="A549">
            <v>23405124</v>
          </cell>
          <cell r="B549" t="str">
            <v>누선 도면</v>
          </cell>
        </row>
        <row r="550">
          <cell r="A550">
            <v>23405125</v>
          </cell>
          <cell r="B550" t="str">
            <v>해남선 도면</v>
          </cell>
        </row>
        <row r="551">
          <cell r="A551">
            <v>23405126</v>
          </cell>
          <cell r="B551" t="str">
            <v>정성공의 해남선 도면</v>
          </cell>
        </row>
        <row r="552">
          <cell r="A552">
            <v>23405127</v>
          </cell>
          <cell r="B552" t="str">
            <v>천지환 도면</v>
          </cell>
        </row>
        <row r="553">
          <cell r="A553">
            <v>23405128</v>
          </cell>
          <cell r="B553" t="str">
            <v>진공선 도면</v>
          </cell>
        </row>
        <row r="554">
          <cell r="A554">
            <v>23405129</v>
          </cell>
          <cell r="B554" t="str">
            <v>위더 도면</v>
          </cell>
        </row>
        <row r="555">
          <cell r="A555">
            <v>23405130</v>
          </cell>
          <cell r="B555" t="str">
            <v>벨로나 도면</v>
          </cell>
        </row>
        <row r="556">
          <cell r="A556">
            <v>23405131</v>
          </cell>
          <cell r="B556" t="str">
            <v>아라키선 도면</v>
          </cell>
        </row>
        <row r="557">
          <cell r="A557">
            <v>23405132</v>
          </cell>
          <cell r="B557" t="str">
            <v>보선 도면</v>
          </cell>
        </row>
        <row r="558">
          <cell r="A558">
            <v>23405133</v>
          </cell>
          <cell r="B558" t="str">
            <v>만선 도면</v>
          </cell>
        </row>
        <row r="559">
          <cell r="A559">
            <v>23405134</v>
          </cell>
          <cell r="B559" t="str">
            <v>대판옥선 도면</v>
          </cell>
        </row>
        <row r="560">
          <cell r="A560">
            <v>23405135</v>
          </cell>
          <cell r="B560" t="str">
            <v>몽동 도면</v>
          </cell>
        </row>
        <row r="561">
          <cell r="A561">
            <v>23405136</v>
          </cell>
          <cell r="B561" t="str">
            <v>양선 도면</v>
          </cell>
        </row>
        <row r="562">
          <cell r="A562">
            <v>23405137</v>
          </cell>
          <cell r="B562" t="str">
            <v>황금 한자 코그 도면</v>
          </cell>
        </row>
        <row r="563">
          <cell r="A563">
            <v>23405191</v>
          </cell>
          <cell r="B563" t="str">
            <v>종 도면</v>
          </cell>
        </row>
        <row r="564">
          <cell r="A564">
            <v>23405205</v>
          </cell>
          <cell r="B564" t="str">
            <v>대효선 도면</v>
          </cell>
        </row>
        <row r="565">
          <cell r="A565">
            <v>23405206</v>
          </cell>
          <cell r="B565" t="str">
            <v>용주 도면</v>
          </cell>
        </row>
        <row r="566">
          <cell r="A566">
            <v>23405207</v>
          </cell>
          <cell r="B566" t="str">
            <v>누전선 도면</v>
          </cell>
        </row>
        <row r="567">
          <cell r="A567">
            <v>23405208</v>
          </cell>
          <cell r="B567" t="str">
            <v>병선 도면</v>
          </cell>
        </row>
        <row r="568">
          <cell r="A568">
            <v>23405209</v>
          </cell>
          <cell r="B568" t="str">
            <v>투함 도면</v>
          </cell>
        </row>
        <row r="569">
          <cell r="A569">
            <v>23405210</v>
          </cell>
          <cell r="B569" t="str">
            <v>평전선 도면</v>
          </cell>
        </row>
        <row r="570">
          <cell r="A570">
            <v>23405211</v>
          </cell>
          <cell r="B570" t="str">
            <v>정크 스쿠너 도면</v>
          </cell>
        </row>
        <row r="571">
          <cell r="A571">
            <v>23405212</v>
          </cell>
          <cell r="B571" t="str">
            <v>황금 타렛테 도면</v>
          </cell>
        </row>
        <row r="572">
          <cell r="A572">
            <v>23405213</v>
          </cell>
          <cell r="B572" t="str">
            <v>특수 로르샤 도면</v>
          </cell>
        </row>
        <row r="573">
          <cell r="A573">
            <v>23409999</v>
          </cell>
          <cell r="B573" t="str">
            <v>목제 아스트롤라베</v>
          </cell>
        </row>
        <row r="574">
          <cell r="A574">
            <v>23410000</v>
          </cell>
          <cell r="B574" t="str">
            <v>청동 아스트롤라베</v>
          </cell>
        </row>
        <row r="575">
          <cell r="A575">
            <v>23410001</v>
          </cell>
          <cell r="B575" t="str">
            <v>백은 아스트롤라베</v>
          </cell>
        </row>
        <row r="576">
          <cell r="A576">
            <v>23410002</v>
          </cell>
          <cell r="B576" t="str">
            <v>황금 아스트롤라베</v>
          </cell>
        </row>
        <row r="577">
          <cell r="A577">
            <v>23410003</v>
          </cell>
          <cell r="B577" t="str">
            <v>다이아몬드 아스트롤라베</v>
          </cell>
        </row>
        <row r="578">
          <cell r="A578">
            <v>23411001</v>
          </cell>
          <cell r="B578" t="str">
            <v>C등급 공용 계약서</v>
          </cell>
        </row>
        <row r="579">
          <cell r="A579">
            <v>23411002</v>
          </cell>
          <cell r="B579" t="str">
            <v>B등급 공용 계약서</v>
          </cell>
        </row>
        <row r="580">
          <cell r="A580">
            <v>23411003</v>
          </cell>
          <cell r="B580" t="str">
            <v>A등급 공용 계약서</v>
          </cell>
        </row>
        <row r="581">
          <cell r="A581">
            <v>23411004</v>
          </cell>
          <cell r="B581" t="str">
            <v>S등급 공용 계약서</v>
          </cell>
        </row>
        <row r="582">
          <cell r="A582">
            <v>23413001</v>
          </cell>
          <cell r="B582" t="str">
            <v>조안 페레로 계약서</v>
          </cell>
        </row>
        <row r="583">
          <cell r="A583">
            <v>23413002</v>
          </cell>
          <cell r="B583" t="str">
            <v>카탈리나 에란초 계약서</v>
          </cell>
        </row>
        <row r="584">
          <cell r="A584">
            <v>23413003</v>
          </cell>
          <cell r="B584" t="str">
            <v>알 베자스 계약서</v>
          </cell>
        </row>
        <row r="585">
          <cell r="A585">
            <v>23413004</v>
          </cell>
          <cell r="B585" t="str">
            <v>옷토 스피노라 계약서</v>
          </cell>
        </row>
        <row r="586">
          <cell r="A586">
            <v>23413005</v>
          </cell>
          <cell r="B586" t="str">
            <v>에르네스트 로페스 계약서</v>
          </cell>
        </row>
        <row r="587">
          <cell r="A587">
            <v>23413006</v>
          </cell>
          <cell r="B587" t="str">
            <v>피에트로 콘티 계약서</v>
          </cell>
        </row>
        <row r="588">
          <cell r="A588">
            <v>23413007</v>
          </cell>
          <cell r="B588" t="str">
            <v>밀란다 베르테 계약서</v>
          </cell>
        </row>
        <row r="589">
          <cell r="A589">
            <v>23413008</v>
          </cell>
          <cell r="B589" t="str">
            <v>살바도르 레이스 계약서</v>
          </cell>
        </row>
        <row r="590">
          <cell r="A590">
            <v>23413009</v>
          </cell>
          <cell r="B590" t="str">
            <v>레온 페레로 계약서</v>
          </cell>
        </row>
        <row r="591">
          <cell r="A591">
            <v>23413010</v>
          </cell>
          <cell r="B591" t="str">
            <v>정화 계약서</v>
          </cell>
        </row>
        <row r="592">
          <cell r="A592">
            <v>23413011</v>
          </cell>
          <cell r="B592" t="str">
            <v>척계광 계약서</v>
          </cell>
        </row>
        <row r="593">
          <cell r="A593">
            <v>23413012</v>
          </cell>
          <cell r="B593" t="str">
            <v>그레이스 오말리 계약서</v>
          </cell>
        </row>
        <row r="594">
          <cell r="A594">
            <v>23413013</v>
          </cell>
          <cell r="B594" t="str">
            <v>정성공 계약서</v>
          </cell>
        </row>
        <row r="595">
          <cell r="A595">
            <v>23413014</v>
          </cell>
          <cell r="B595" t="str">
            <v>김만덕 계약서</v>
          </cell>
        </row>
        <row r="596">
          <cell r="A596">
            <v>23413015</v>
          </cell>
          <cell r="B596" t="str">
            <v>홍길동 계약서</v>
          </cell>
        </row>
        <row r="597">
          <cell r="A597">
            <v>23413016</v>
          </cell>
          <cell r="B597" t="str">
            <v>이순신 계약서</v>
          </cell>
        </row>
        <row r="598">
          <cell r="A598">
            <v>23413017</v>
          </cell>
          <cell r="B598" t="str">
            <v>다테 마사무네 계약서</v>
          </cell>
        </row>
        <row r="599">
          <cell r="A599">
            <v>23413018</v>
          </cell>
          <cell r="B599" t="str">
            <v>이마이 사키 계약서</v>
          </cell>
        </row>
        <row r="600">
          <cell r="A600">
            <v>23413019</v>
          </cell>
          <cell r="B600" t="str">
            <v>누이 호쿠 계약서</v>
          </cell>
        </row>
        <row r="601">
          <cell r="A601">
            <v>23413020</v>
          </cell>
          <cell r="B601" t="str">
            <v>찬드 비비 계약서</v>
          </cell>
        </row>
        <row r="602">
          <cell r="A602">
            <v>23413021</v>
          </cell>
          <cell r="B602" t="str">
            <v>표트르 1세 계약서</v>
          </cell>
        </row>
        <row r="603">
          <cell r="A603">
            <v>23413022</v>
          </cell>
          <cell r="B603" t="str">
            <v>사이이다 알 후라 계약서</v>
          </cell>
        </row>
        <row r="604">
          <cell r="A604">
            <v>23413023</v>
          </cell>
          <cell r="B604" t="str">
            <v>에르난 코르테스 계약서</v>
          </cell>
        </row>
        <row r="605">
          <cell r="A605">
            <v>23413024</v>
          </cell>
          <cell r="B605" t="str">
            <v>앤 보니 계약서</v>
          </cell>
        </row>
        <row r="606">
          <cell r="A606">
            <v>23413025</v>
          </cell>
          <cell r="B606" t="str">
            <v>필리 레이스 계약서</v>
          </cell>
        </row>
        <row r="607">
          <cell r="A607">
            <v>23413026</v>
          </cell>
          <cell r="B607" t="str">
            <v>파브리스 페레로 계약서</v>
          </cell>
        </row>
        <row r="608">
          <cell r="A608">
            <v>23414001</v>
          </cell>
          <cell r="B608" t="str">
            <v>잔 다르크 계약서</v>
          </cell>
        </row>
        <row r="609">
          <cell r="A609">
            <v>23414002</v>
          </cell>
          <cell r="B609" t="str">
            <v>사피예 술탄 계약서</v>
          </cell>
        </row>
        <row r="610">
          <cell r="A610">
            <v>23414003</v>
          </cell>
          <cell r="B610" t="str">
            <v>마리 앙투아네트 계약서</v>
          </cell>
        </row>
        <row r="611">
          <cell r="A611">
            <v>23414004</v>
          </cell>
          <cell r="B611" t="str">
            <v>알프레드 로우 계약서</v>
          </cell>
        </row>
        <row r="612">
          <cell r="A612">
            <v>23414005</v>
          </cell>
          <cell r="B612" t="str">
            <v>하이레딘 레이스 계약서</v>
          </cell>
        </row>
        <row r="613">
          <cell r="A613">
            <v>23414006</v>
          </cell>
          <cell r="B613" t="str">
            <v>메흐메트 슐루크 계약서</v>
          </cell>
        </row>
        <row r="614">
          <cell r="A614">
            <v>23414007</v>
          </cell>
          <cell r="B614" t="str">
            <v>카라 룸루 계약서</v>
          </cell>
        </row>
        <row r="615">
          <cell r="A615">
            <v>23414008</v>
          </cell>
          <cell r="B615" t="str">
            <v>로코 알렘켈 계약서</v>
          </cell>
        </row>
        <row r="616">
          <cell r="A616">
            <v>23414009</v>
          </cell>
          <cell r="B616" t="str">
            <v>오다 노부나가 계약서</v>
          </cell>
        </row>
        <row r="617">
          <cell r="A617">
            <v>23414010</v>
          </cell>
          <cell r="B617" t="str">
            <v>크리스토발 콜론 계약서</v>
          </cell>
        </row>
        <row r="618">
          <cell r="A618">
            <v>23414011</v>
          </cell>
          <cell r="B618" t="str">
            <v>줄리 도비니 계약서</v>
          </cell>
        </row>
        <row r="619">
          <cell r="A619">
            <v>23414012</v>
          </cell>
          <cell r="B619" t="str">
            <v>페르난도 데마가야네스 계약서</v>
          </cell>
        </row>
        <row r="620">
          <cell r="A620">
            <v>23414013</v>
          </cell>
          <cell r="B620" t="str">
            <v>쿠아우테목 계약서</v>
          </cell>
        </row>
        <row r="621">
          <cell r="A621">
            <v>23414014</v>
          </cell>
          <cell r="B621" t="str">
            <v>소피아 알렉세예브나 계약서</v>
          </cell>
        </row>
        <row r="622">
          <cell r="A622">
            <v>23414015</v>
          </cell>
          <cell r="B622" t="str">
            <v>호레스 디스탈디 계약서</v>
          </cell>
        </row>
        <row r="623">
          <cell r="A623">
            <v>23414016</v>
          </cell>
          <cell r="B623" t="str">
            <v>레오나르도 다빈치 계약서</v>
          </cell>
        </row>
        <row r="624">
          <cell r="A624">
            <v>23414017</v>
          </cell>
          <cell r="B624" t="str">
            <v>우르지 바르바로사 계약서</v>
          </cell>
        </row>
        <row r="625">
          <cell r="A625">
            <v>23414018</v>
          </cell>
          <cell r="B625" t="str">
            <v>체사레 보르자 계약서</v>
          </cell>
        </row>
        <row r="626">
          <cell r="A626">
            <v>23414019</v>
          </cell>
          <cell r="B626" t="str">
            <v>마리아 에스트라다 계약서</v>
          </cell>
        </row>
        <row r="627">
          <cell r="A627">
            <v>23414020</v>
          </cell>
          <cell r="B627" t="str">
            <v>프랜시스 드레이크 계약서</v>
          </cell>
        </row>
        <row r="628">
          <cell r="A628">
            <v>23414021</v>
          </cell>
          <cell r="B628" t="str">
            <v>갈릴레오 갈릴레이 계약서</v>
          </cell>
        </row>
        <row r="629">
          <cell r="A629">
            <v>23414022</v>
          </cell>
          <cell r="B629" t="str">
            <v>아이작 뉴턴 계약서</v>
          </cell>
        </row>
        <row r="630">
          <cell r="A630">
            <v>23414023</v>
          </cell>
          <cell r="B630" t="str">
            <v>에드워드 티치 계약서</v>
          </cell>
        </row>
        <row r="631">
          <cell r="A631">
            <v>23414024</v>
          </cell>
          <cell r="B631" t="str">
            <v>바솔로뮤 로버츠 계약서</v>
          </cell>
        </row>
        <row r="632">
          <cell r="A632">
            <v>23414025</v>
          </cell>
          <cell r="B632" t="str">
            <v>호레이쇼 넬슨 계약서</v>
          </cell>
        </row>
        <row r="633">
          <cell r="A633">
            <v>23414026</v>
          </cell>
          <cell r="B633" t="str">
            <v>에드워드 잉글랜드 계약서</v>
          </cell>
        </row>
        <row r="634">
          <cell r="A634">
            <v>23414027</v>
          </cell>
          <cell r="B634" t="str">
            <v>토마스 튜 계약서</v>
          </cell>
        </row>
        <row r="635">
          <cell r="A635">
            <v>23414028</v>
          </cell>
          <cell r="B635" t="str">
            <v>장 플뢰리 계약서</v>
          </cell>
        </row>
        <row r="636">
          <cell r="A636">
            <v>23414029</v>
          </cell>
          <cell r="B636" t="str">
            <v>도쿠가와 이에야스 계약서</v>
          </cell>
        </row>
        <row r="637">
          <cell r="A637">
            <v>23414030</v>
          </cell>
          <cell r="B637" t="str">
            <v>마히데브란 계약서</v>
          </cell>
        </row>
        <row r="638">
          <cell r="A638">
            <v>23414031</v>
          </cell>
          <cell r="B638" t="str">
            <v>황진 계약서</v>
          </cell>
        </row>
        <row r="639">
          <cell r="A639">
            <v>23414032</v>
          </cell>
          <cell r="B639" t="str">
            <v>마리아 마가레타 빙켈만 계약서</v>
          </cell>
        </row>
        <row r="640">
          <cell r="A640">
            <v>23414033</v>
          </cell>
          <cell r="B640" t="str">
            <v>타치바나 긴치요 계약서</v>
          </cell>
        </row>
        <row r="641">
          <cell r="A641">
            <v>23414034</v>
          </cell>
          <cell r="B641" t="str">
            <v>장금 계약서</v>
          </cell>
        </row>
        <row r="642">
          <cell r="A642">
            <v>23414035</v>
          </cell>
          <cell r="B642" t="str">
            <v>루크레치아 보르자 계약서</v>
          </cell>
        </row>
        <row r="643">
          <cell r="A643">
            <v>23414036</v>
          </cell>
          <cell r="B643" t="str">
            <v>카테리나 스포르차 계약서</v>
          </cell>
        </row>
        <row r="644">
          <cell r="A644">
            <v>23414037</v>
          </cell>
          <cell r="B644" t="str">
            <v>이사벨라 데스테 계약서</v>
          </cell>
        </row>
        <row r="645">
          <cell r="A645">
            <v>23414038</v>
          </cell>
          <cell r="B645" t="str">
            <v>마르거리트 드발루아 계약서</v>
          </cell>
        </row>
        <row r="646">
          <cell r="A646">
            <v>23414039</v>
          </cell>
          <cell r="B646" t="str">
            <v>카테리나 데메디치 계약서</v>
          </cell>
        </row>
        <row r="647">
          <cell r="A647">
            <v>23414040</v>
          </cell>
          <cell r="B647" t="str">
            <v>잔 바레 계약서</v>
          </cell>
        </row>
        <row r="648">
          <cell r="A648">
            <v>23414041</v>
          </cell>
          <cell r="B648" t="str">
            <v>메리 스튜어트 계약서</v>
          </cell>
        </row>
        <row r="649">
          <cell r="A649">
            <v>23414042</v>
          </cell>
          <cell r="B649" t="str">
            <v>예카테리나 1세 계약서</v>
          </cell>
        </row>
        <row r="650">
          <cell r="A650">
            <v>23414043</v>
          </cell>
          <cell r="B650" t="str">
            <v>쿠말라하야티 계약서</v>
          </cell>
        </row>
        <row r="651">
          <cell r="A651">
            <v>23414044</v>
          </cell>
          <cell r="B651" t="str">
            <v>메리 리드 계약서</v>
          </cell>
        </row>
        <row r="652">
          <cell r="A652">
            <v>23414045</v>
          </cell>
          <cell r="B652" t="str">
            <v>아미나 계약서</v>
          </cell>
        </row>
        <row r="653">
          <cell r="A653">
            <v>23414046</v>
          </cell>
          <cell r="B653" t="str">
            <v>진양옥 계약서</v>
          </cell>
        </row>
        <row r="654">
          <cell r="A654">
            <v>23414047</v>
          </cell>
          <cell r="B654" t="str">
            <v>샬롯 드베리 계약서</v>
          </cell>
        </row>
        <row r="655">
          <cell r="A655">
            <v>23414048</v>
          </cell>
          <cell r="B655" t="str">
            <v>안드레아 그리마니 계약서</v>
          </cell>
        </row>
        <row r="656">
          <cell r="A656">
            <v>23414049</v>
          </cell>
          <cell r="B656" t="str">
            <v>가르시아 알바레스 계약서</v>
          </cell>
        </row>
        <row r="657">
          <cell r="A657">
            <v>23414050</v>
          </cell>
          <cell r="B657" t="str">
            <v>에르난 베리오 계약서</v>
          </cell>
        </row>
        <row r="658">
          <cell r="A658">
            <v>23414051</v>
          </cell>
          <cell r="B658" t="str">
            <v>아이든 레이스 계약서</v>
          </cell>
        </row>
        <row r="659">
          <cell r="A659">
            <v>23414052</v>
          </cell>
          <cell r="B659" t="str">
            <v>루이 코스타 계약서</v>
          </cell>
        </row>
        <row r="660">
          <cell r="A660">
            <v>23414053</v>
          </cell>
          <cell r="B660" t="str">
            <v>아고스티노 바르바리고 계약서</v>
          </cell>
        </row>
        <row r="661">
          <cell r="A661">
            <v>23414054</v>
          </cell>
          <cell r="B661" t="str">
            <v>다라 쉰 계약서</v>
          </cell>
        </row>
        <row r="662">
          <cell r="A662">
            <v>23414055</v>
          </cell>
          <cell r="B662" t="str">
            <v>하코보 포르툰데 계약서</v>
          </cell>
        </row>
        <row r="663">
          <cell r="A663">
            <v>23414056</v>
          </cell>
          <cell r="B663" t="str">
            <v>필럼 헤인 계약서</v>
          </cell>
        </row>
        <row r="664">
          <cell r="A664">
            <v>23414057</v>
          </cell>
          <cell r="B664" t="str">
            <v>안드레아 도리아 계약서</v>
          </cell>
        </row>
        <row r="665">
          <cell r="A665">
            <v>23414058</v>
          </cell>
          <cell r="B665" t="str">
            <v>뮈에진자데 알리 파샤 계약서</v>
          </cell>
        </row>
        <row r="666">
          <cell r="A666">
            <v>23414059</v>
          </cell>
          <cell r="B666" t="str">
            <v>후안 폰세 데레온 계약서</v>
          </cell>
        </row>
        <row r="667">
          <cell r="A667">
            <v>23414060</v>
          </cell>
          <cell r="B667" t="str">
            <v>시모네타 베스푸치 계약서</v>
          </cell>
        </row>
        <row r="668">
          <cell r="A668">
            <v>23414061</v>
          </cell>
          <cell r="B668" t="str">
            <v>아폰수 드알부케르크 계약서</v>
          </cell>
        </row>
        <row r="669">
          <cell r="A669">
            <v>23414062</v>
          </cell>
          <cell r="B669" t="str">
            <v>가스팔 신트라 계약서</v>
          </cell>
        </row>
        <row r="670">
          <cell r="A670">
            <v>23414063</v>
          </cell>
          <cell r="B670" t="str">
            <v>임상옥 계약서</v>
          </cell>
        </row>
        <row r="671">
          <cell r="A671">
            <v>23414064</v>
          </cell>
          <cell r="B671" t="str">
            <v>바바라 팔머 계약서</v>
          </cell>
        </row>
        <row r="672">
          <cell r="A672">
            <v>23414065</v>
          </cell>
          <cell r="B672" t="str">
            <v>바스쿠 다가마 계약서</v>
          </cell>
        </row>
        <row r="673">
          <cell r="A673">
            <v>23414066</v>
          </cell>
          <cell r="B673" t="str">
            <v>존 호킨스 계약서</v>
          </cell>
        </row>
        <row r="674">
          <cell r="A674">
            <v>23414067</v>
          </cell>
          <cell r="B674" t="str">
            <v>구키 요시타카 계약서</v>
          </cell>
        </row>
        <row r="675">
          <cell r="A675">
            <v>23414068</v>
          </cell>
          <cell r="B675" t="str">
            <v>돈 후안 데아우스트리아 계약서</v>
          </cell>
        </row>
        <row r="676">
          <cell r="A676">
            <v>23414069</v>
          </cell>
          <cell r="B676" t="str">
            <v>리슐리외 계약서</v>
          </cell>
        </row>
        <row r="677">
          <cell r="A677">
            <v>23414070</v>
          </cell>
          <cell r="B677" t="str">
            <v>제임스 쿡 계약서</v>
          </cell>
        </row>
        <row r="678">
          <cell r="A678">
            <v>23414071</v>
          </cell>
          <cell r="B678" t="str">
            <v>엔히크 드아비스 계약서</v>
          </cell>
        </row>
        <row r="679">
          <cell r="A679">
            <v>23414072</v>
          </cell>
          <cell r="B679" t="str">
            <v>주앙 다노바 계약서</v>
          </cell>
        </row>
        <row r="680">
          <cell r="A680">
            <v>23414073</v>
          </cell>
          <cell r="B680" t="str">
            <v>바스코 누녜스 데발보아 계약서</v>
          </cell>
        </row>
        <row r="681">
          <cell r="A681">
            <v>23414074</v>
          </cell>
          <cell r="B681" t="str">
            <v>스티드 보닛 계약서</v>
          </cell>
        </row>
        <row r="682">
          <cell r="A682">
            <v>23414075</v>
          </cell>
          <cell r="B682" t="str">
            <v>마리아 지빌라 메리안 계약서</v>
          </cell>
        </row>
        <row r="683">
          <cell r="A683">
            <v>23414076</v>
          </cell>
          <cell r="B683" t="str">
            <v>헨드릭 하멜 계약서</v>
          </cell>
        </row>
        <row r="684">
          <cell r="A684">
            <v>23414077</v>
          </cell>
          <cell r="B684" t="str">
            <v>조지 앤슨 계약서</v>
          </cell>
        </row>
        <row r="685">
          <cell r="A685">
            <v>23414078</v>
          </cell>
          <cell r="B685" t="str">
            <v>존 바이런 계약서</v>
          </cell>
        </row>
        <row r="686">
          <cell r="A686">
            <v>23414079</v>
          </cell>
          <cell r="B686" t="str">
            <v>가토 기요마사 계약서</v>
          </cell>
        </row>
        <row r="687">
          <cell r="A687">
            <v>23414080</v>
          </cell>
          <cell r="B687" t="str">
            <v>루프마티 계약서</v>
          </cell>
        </row>
        <row r="688">
          <cell r="A688">
            <v>23414081</v>
          </cell>
          <cell r="B688" t="str">
            <v>필리푸스 파라켈수스 계약서</v>
          </cell>
        </row>
        <row r="689">
          <cell r="A689">
            <v>23414082</v>
          </cell>
          <cell r="B689" t="str">
            <v>안드레스 데우르다네타 계약서</v>
          </cell>
        </row>
        <row r="690">
          <cell r="A690">
            <v>23414083</v>
          </cell>
          <cell r="B690" t="str">
            <v>아흐메트 케말레딘 계약서</v>
          </cell>
        </row>
        <row r="691">
          <cell r="A691">
            <v>23414084</v>
          </cell>
          <cell r="B691" t="str">
            <v>휴 윌로비 계약서</v>
          </cell>
        </row>
        <row r="692">
          <cell r="A692">
            <v>23414085</v>
          </cell>
          <cell r="B692" t="str">
            <v>알브레히트 발렌슈타인 계약서</v>
          </cell>
        </row>
        <row r="693">
          <cell r="A693">
            <v>23414086</v>
          </cell>
          <cell r="B693" t="str">
            <v>구스타브 2세 아돌프 계약서</v>
          </cell>
        </row>
        <row r="694">
          <cell r="A694">
            <v>23414087</v>
          </cell>
          <cell r="B694" t="str">
            <v>샤를 달타냥 계약서</v>
          </cell>
        </row>
        <row r="695">
          <cell r="A695">
            <v>23414088</v>
          </cell>
          <cell r="B695" t="str">
            <v>윌리엄 키드 계약서</v>
          </cell>
        </row>
        <row r="696">
          <cell r="A696">
            <v>23414089</v>
          </cell>
          <cell r="B696" t="str">
            <v>디에고 데아라나 계약서</v>
          </cell>
        </row>
        <row r="697">
          <cell r="A697">
            <v>23414090</v>
          </cell>
          <cell r="B697" t="str">
            <v>디안 드푸아티에 계약서</v>
          </cell>
        </row>
        <row r="698">
          <cell r="A698">
            <v>23414091</v>
          </cell>
          <cell r="B698" t="str">
            <v>루이 앙투안 드부갱빌 계약서</v>
          </cell>
        </row>
        <row r="699">
          <cell r="A699">
            <v>23414092</v>
          </cell>
          <cell r="B699" t="str">
            <v>후아나 이녜스 계약서</v>
          </cell>
        </row>
        <row r="700">
          <cell r="A700">
            <v>23414093</v>
          </cell>
          <cell r="B700" t="str">
            <v>요하네스 케플러 계약서</v>
          </cell>
        </row>
        <row r="701">
          <cell r="A701">
            <v>23414094</v>
          </cell>
          <cell r="B701" t="str">
            <v>최무선 계약서</v>
          </cell>
        </row>
        <row r="702">
          <cell r="A702">
            <v>23414095</v>
          </cell>
          <cell r="B702" t="str">
            <v>하웰 데이비스 계약서</v>
          </cell>
        </row>
        <row r="703">
          <cell r="A703">
            <v>23414096</v>
          </cell>
          <cell r="B703" t="str">
            <v>이븐 바투타 계약서</v>
          </cell>
        </row>
        <row r="704">
          <cell r="A704">
            <v>23414097</v>
          </cell>
          <cell r="B704" t="str">
            <v>권준 계약서</v>
          </cell>
        </row>
        <row r="705">
          <cell r="A705">
            <v>23414098</v>
          </cell>
          <cell r="B705" t="str">
            <v>트레볼 에스티브라 계약서</v>
          </cell>
        </row>
        <row r="706">
          <cell r="A706">
            <v>23414099</v>
          </cell>
          <cell r="B706" t="str">
            <v>오즈월드 레밍톤 계약서</v>
          </cell>
        </row>
        <row r="707">
          <cell r="A707">
            <v>23414100</v>
          </cell>
          <cell r="B707" t="str">
            <v>투르구트 레이스 계약서</v>
          </cell>
        </row>
        <row r="708">
          <cell r="A708">
            <v>23414101</v>
          </cell>
          <cell r="B708" t="str">
            <v>입부 계약서</v>
          </cell>
        </row>
        <row r="709">
          <cell r="A709">
            <v>23414102</v>
          </cell>
          <cell r="B709" t="str">
            <v>휘렘 술탄 계약서</v>
          </cell>
        </row>
        <row r="710">
          <cell r="A710">
            <v>23414103</v>
          </cell>
          <cell r="B710" t="str">
            <v>김홍도 계약서</v>
          </cell>
        </row>
        <row r="711">
          <cell r="A711">
            <v>23414104</v>
          </cell>
          <cell r="B711" t="str">
            <v>주여화 계약서</v>
          </cell>
        </row>
        <row r="712">
          <cell r="A712">
            <v>23414105</v>
          </cell>
          <cell r="B712" t="str">
            <v>알론소 데카르데나스 계약서</v>
          </cell>
        </row>
        <row r="713">
          <cell r="A713">
            <v>23414106</v>
          </cell>
          <cell r="B713" t="str">
            <v>전우치 계약서</v>
          </cell>
        </row>
        <row r="714">
          <cell r="A714">
            <v>23414107</v>
          </cell>
          <cell r="B714" t="str">
            <v>임꺽정 계약서</v>
          </cell>
        </row>
        <row r="715">
          <cell r="A715">
            <v>23414108</v>
          </cell>
          <cell r="B715" t="str">
            <v>이즈모 오쿠니 계약서</v>
          </cell>
        </row>
        <row r="716">
          <cell r="A716">
            <v>23414109</v>
          </cell>
          <cell r="B716" t="str">
            <v>테쿠이치포츠 이시카쇼치친 계약서</v>
          </cell>
        </row>
        <row r="717">
          <cell r="A717">
            <v>23414110</v>
          </cell>
          <cell r="B717" t="str">
            <v>루이스 부르주아 계약서</v>
          </cell>
        </row>
        <row r="718">
          <cell r="A718">
            <v>23414111</v>
          </cell>
          <cell r="B718" t="str">
            <v>이사벨라 코르테세 계약서</v>
          </cell>
        </row>
        <row r="719">
          <cell r="A719">
            <v>23414112</v>
          </cell>
          <cell r="B719" t="str">
            <v>로레다나 마르첼로 계약서</v>
          </cell>
        </row>
        <row r="720">
          <cell r="A720">
            <v>23414113</v>
          </cell>
          <cell r="B720" t="str">
            <v>잉엘라 가텐히엘름 계약서</v>
          </cell>
        </row>
        <row r="721">
          <cell r="A721">
            <v>23414114</v>
          </cell>
          <cell r="B721" t="str">
            <v>담윤현 계약서</v>
          </cell>
        </row>
        <row r="722">
          <cell r="A722">
            <v>23414115</v>
          </cell>
          <cell r="B722" t="str">
            <v>레베카 롤프 계약서</v>
          </cell>
        </row>
        <row r="723">
          <cell r="A723">
            <v>23414116</v>
          </cell>
          <cell r="B723" t="str">
            <v>타즐루 하눔 계약서</v>
          </cell>
        </row>
        <row r="724">
          <cell r="A724">
            <v>23414117</v>
          </cell>
          <cell r="B724" t="str">
            <v>아바카 초우타 계약서</v>
          </cell>
        </row>
        <row r="725">
          <cell r="A725">
            <v>23414118</v>
          </cell>
          <cell r="B725" t="str">
            <v>가이타나 계약서</v>
          </cell>
        </row>
        <row r="726">
          <cell r="A726">
            <v>23414119</v>
          </cell>
          <cell r="B726" t="str">
            <v>이네스 데수아레스 계약서</v>
          </cell>
        </row>
        <row r="727">
          <cell r="A727">
            <v>23414120</v>
          </cell>
          <cell r="B727" t="str">
            <v>뭄타즈 마할 계약서</v>
          </cell>
        </row>
        <row r="728">
          <cell r="A728">
            <v>23414121</v>
          </cell>
          <cell r="B728" t="str">
            <v>말린체 계약서</v>
          </cell>
        </row>
        <row r="729">
          <cell r="A729">
            <v>23414122</v>
          </cell>
          <cell r="B729" t="str">
            <v>크리스티나 알렉산드라 계약서</v>
          </cell>
        </row>
        <row r="730">
          <cell r="A730">
            <v>23414123</v>
          </cell>
          <cell r="B730" t="str">
            <v>샤를로트 코르데 계약서</v>
          </cell>
        </row>
        <row r="731">
          <cell r="A731">
            <v>23414124</v>
          </cell>
          <cell r="B731" t="str">
            <v>노라 에켈멘디트 계약서</v>
          </cell>
        </row>
        <row r="732">
          <cell r="A732">
            <v>23414125</v>
          </cell>
          <cell r="B732" t="str">
            <v>심운영 계약서</v>
          </cell>
        </row>
        <row r="733">
          <cell r="A733">
            <v>23414126</v>
          </cell>
          <cell r="B733" t="str">
            <v>마리 앤 계약서</v>
          </cell>
        </row>
        <row r="734">
          <cell r="A734">
            <v>23414127</v>
          </cell>
          <cell r="B734" t="str">
            <v>레이첼 월 계약서</v>
          </cell>
        </row>
        <row r="735">
          <cell r="A735">
            <v>23414128</v>
          </cell>
          <cell r="B735" t="str">
            <v>이자벨 드로렌 계약서</v>
          </cell>
        </row>
        <row r="736">
          <cell r="A736">
            <v>23414129</v>
          </cell>
          <cell r="B736" t="str">
            <v>앤 불린 계약서</v>
          </cell>
        </row>
        <row r="737">
          <cell r="A737">
            <v>23414130</v>
          </cell>
          <cell r="B737" t="str">
            <v>아나 데멘도사 계약서</v>
          </cell>
        </row>
        <row r="738">
          <cell r="A738">
            <v>23414131</v>
          </cell>
          <cell r="B738" t="str">
            <v>카탈리나 데에라우소 계약서</v>
          </cell>
        </row>
        <row r="739">
          <cell r="A739">
            <v>23414132</v>
          </cell>
          <cell r="B739" t="str">
            <v>안 도트리슈 계약서</v>
          </cell>
        </row>
        <row r="740">
          <cell r="A740">
            <v>23414133</v>
          </cell>
          <cell r="B740" t="str">
            <v>아흐메트 무히딘 계약서</v>
          </cell>
        </row>
        <row r="741">
          <cell r="A741">
            <v>23414134</v>
          </cell>
          <cell r="B741" t="str">
            <v>하프메트 그라니에 계약서</v>
          </cell>
        </row>
        <row r="742">
          <cell r="A742">
            <v>23414135</v>
          </cell>
          <cell r="B742" t="str">
            <v>레오 아프리카누스 계약서</v>
          </cell>
        </row>
        <row r="743">
          <cell r="A743">
            <v>23414136</v>
          </cell>
          <cell r="B743" t="str">
            <v>아폰수 안드라드 계약서</v>
          </cell>
        </row>
        <row r="744">
          <cell r="A744">
            <v>23414137</v>
          </cell>
          <cell r="B744" t="str">
            <v>알로이지 조반니 계약서</v>
          </cell>
        </row>
        <row r="745">
          <cell r="A745">
            <v>23414138</v>
          </cell>
          <cell r="B745" t="str">
            <v>알렉산드로 바조 계약서</v>
          </cell>
        </row>
        <row r="746">
          <cell r="A746">
            <v>23414139</v>
          </cell>
          <cell r="B746" t="str">
            <v>안드레아 기지 계약서</v>
          </cell>
        </row>
        <row r="747">
          <cell r="A747">
            <v>23414140</v>
          </cell>
          <cell r="B747" t="str">
            <v>안토니오 칸 계약서</v>
          </cell>
        </row>
        <row r="748">
          <cell r="A748">
            <v>23414141</v>
          </cell>
          <cell r="B748" t="str">
            <v>디에고 데쿠에야르 계약서</v>
          </cell>
        </row>
        <row r="749">
          <cell r="A749">
            <v>23414142</v>
          </cell>
          <cell r="B749" t="str">
            <v>카미로 스테파노 계약서</v>
          </cell>
        </row>
        <row r="750">
          <cell r="A750">
            <v>23414143</v>
          </cell>
          <cell r="B750" t="str">
            <v>디오구 파군드스 계약서</v>
          </cell>
        </row>
        <row r="751">
          <cell r="A751">
            <v>23414144</v>
          </cell>
          <cell r="B751" t="str">
            <v>도밍고 마냐나 계약서</v>
          </cell>
        </row>
        <row r="752">
          <cell r="A752">
            <v>23414145</v>
          </cell>
          <cell r="B752" t="str">
            <v>에드먼드 길버트 계약서</v>
          </cell>
        </row>
        <row r="753">
          <cell r="A753">
            <v>23414146</v>
          </cell>
          <cell r="B753" t="str">
            <v>프랑코 사누드 계약서</v>
          </cell>
        </row>
        <row r="754">
          <cell r="A754">
            <v>23414147</v>
          </cell>
          <cell r="B754" t="str">
            <v>엔리코 마리오네 계약서</v>
          </cell>
        </row>
        <row r="755">
          <cell r="A755">
            <v>23414148</v>
          </cell>
          <cell r="B755" t="str">
            <v>에스테반 오르테가 계약서</v>
          </cell>
        </row>
        <row r="756">
          <cell r="A756">
            <v>23414149</v>
          </cell>
          <cell r="B756" t="str">
            <v>페르낭 멘드스 핀투 계약서</v>
          </cell>
        </row>
        <row r="757">
          <cell r="A757">
            <v>23414150</v>
          </cell>
          <cell r="B757" t="str">
            <v>케빈 피셔 계약서</v>
          </cell>
        </row>
        <row r="758">
          <cell r="A758">
            <v>23414152</v>
          </cell>
          <cell r="B758" t="str">
            <v>로이드 스탓텐 계약서</v>
          </cell>
        </row>
        <row r="759">
          <cell r="A759">
            <v>23414153</v>
          </cell>
          <cell r="B759" t="str">
            <v>존 래컴 계약서</v>
          </cell>
        </row>
        <row r="760">
          <cell r="A760">
            <v>23414154</v>
          </cell>
          <cell r="B760" t="str">
            <v>존 데이비스 계약서</v>
          </cell>
        </row>
        <row r="761">
          <cell r="A761">
            <v>23414155</v>
          </cell>
          <cell r="B761" t="str">
            <v>로렌주 핀투 계약서</v>
          </cell>
        </row>
        <row r="762">
          <cell r="A762">
            <v>23414156</v>
          </cell>
          <cell r="B762" t="str">
            <v>루이스 스콧 계약서</v>
          </cell>
        </row>
        <row r="763">
          <cell r="A763">
            <v>23414157</v>
          </cell>
          <cell r="B763" t="str">
            <v>후안 데라 코사 계약서</v>
          </cell>
        </row>
        <row r="764">
          <cell r="A764">
            <v>23414158</v>
          </cell>
          <cell r="B764" t="str">
            <v>이스칼 야사르 계약서</v>
          </cell>
        </row>
        <row r="765">
          <cell r="A765">
            <v>23414159</v>
          </cell>
          <cell r="B765" t="str">
            <v>크리스티안 글로리아 계약서</v>
          </cell>
        </row>
        <row r="766">
          <cell r="A766">
            <v>23414160</v>
          </cell>
          <cell r="B766" t="str">
            <v>마슈 로이 계약서</v>
          </cell>
        </row>
        <row r="767">
          <cell r="A767">
            <v>23414161</v>
          </cell>
          <cell r="B767" t="str">
            <v>미겔 코르트 헤알 계약서</v>
          </cell>
        </row>
        <row r="768">
          <cell r="A768">
            <v>23414162</v>
          </cell>
          <cell r="B768" t="str">
            <v>니콜로 스테파노 계약서</v>
          </cell>
        </row>
        <row r="769">
          <cell r="A769">
            <v>23414163</v>
          </cell>
          <cell r="B769" t="str">
            <v>하파엘 세하누 계약서</v>
          </cell>
        </row>
        <row r="770">
          <cell r="A770">
            <v>23414164</v>
          </cell>
          <cell r="B770" t="str">
            <v>시난 파샤 계약서</v>
          </cell>
        </row>
        <row r="771">
          <cell r="A771">
            <v>23414165</v>
          </cell>
          <cell r="B771" t="str">
            <v>페론소 아기레 계약서</v>
          </cell>
        </row>
        <row r="772">
          <cell r="A772">
            <v>23414166</v>
          </cell>
          <cell r="B772" t="str">
            <v>로버트 로우 계약서</v>
          </cell>
        </row>
        <row r="773">
          <cell r="A773">
            <v>23414167</v>
          </cell>
          <cell r="B773" t="str">
            <v>마르틴 발보아 계약서</v>
          </cell>
        </row>
        <row r="774">
          <cell r="A774">
            <v>23414168</v>
          </cell>
          <cell r="B774" t="str">
            <v>자한 사림 계약서</v>
          </cell>
        </row>
        <row r="775">
          <cell r="A775">
            <v>23414169</v>
          </cell>
          <cell r="B775" t="str">
            <v>다니엘 미르자 계약서</v>
          </cell>
        </row>
        <row r="776">
          <cell r="A776">
            <v>23414170</v>
          </cell>
          <cell r="B776" t="str">
            <v>시몬 세게이라 계약서</v>
          </cell>
        </row>
        <row r="777">
          <cell r="A777">
            <v>23414171</v>
          </cell>
          <cell r="B777" t="str">
            <v>울루치 알리 계약서</v>
          </cell>
        </row>
        <row r="778">
          <cell r="A778">
            <v>23414173</v>
          </cell>
          <cell r="B778" t="str">
            <v>서굉조 계약서</v>
          </cell>
        </row>
        <row r="779">
          <cell r="A779">
            <v>23414174</v>
          </cell>
          <cell r="B779" t="str">
            <v>비센테 야녜스 핀손 계약서</v>
          </cell>
        </row>
        <row r="780">
          <cell r="A780">
            <v>23414175</v>
          </cell>
          <cell r="B780" t="str">
            <v>니콜라우 코엘류 계약서</v>
          </cell>
        </row>
        <row r="781">
          <cell r="A781">
            <v>23414176</v>
          </cell>
          <cell r="B781" t="str">
            <v>프란시스쿠 드알메이다 계약서</v>
          </cell>
        </row>
        <row r="782">
          <cell r="A782">
            <v>23414177</v>
          </cell>
          <cell r="B782" t="str">
            <v>후안 디아스 데솔리스 계약서</v>
          </cell>
        </row>
        <row r="783">
          <cell r="A783">
            <v>23414178</v>
          </cell>
          <cell r="B783" t="str">
            <v>알론소 데오헤다 계약서</v>
          </cell>
        </row>
        <row r="784">
          <cell r="A784">
            <v>23414179</v>
          </cell>
          <cell r="B784" t="str">
            <v>로드리고 데바스티다스 계약서</v>
          </cell>
        </row>
        <row r="785">
          <cell r="A785">
            <v>23414180</v>
          </cell>
          <cell r="B785" t="str">
            <v>안토니오 데베리오 계약서</v>
          </cell>
        </row>
        <row r="786">
          <cell r="A786">
            <v>23414181</v>
          </cell>
          <cell r="B786" t="str">
            <v>정지룡 계약서</v>
          </cell>
        </row>
        <row r="787">
          <cell r="A787">
            <v>23414182</v>
          </cell>
          <cell r="B787" t="str">
            <v>리차드 월리 계약서</v>
          </cell>
        </row>
        <row r="788">
          <cell r="A788">
            <v>23414183</v>
          </cell>
          <cell r="B788" t="str">
            <v>찰스 베인 계약서</v>
          </cell>
        </row>
        <row r="789">
          <cell r="A789">
            <v>23414184</v>
          </cell>
          <cell r="B789" t="str">
            <v>왕경홍 계약서</v>
          </cell>
        </row>
        <row r="790">
          <cell r="A790">
            <v>23414185</v>
          </cell>
          <cell r="B790" t="str">
            <v>알바로 데멘다냐 계약서</v>
          </cell>
        </row>
        <row r="791">
          <cell r="A791">
            <v>23414186</v>
          </cell>
          <cell r="B791" t="str">
            <v>루이스 바에스 데토레스 계약서</v>
          </cell>
        </row>
        <row r="792">
          <cell r="A792">
            <v>23414187</v>
          </cell>
          <cell r="B792" t="str">
            <v>빌럼 얀손 계약서</v>
          </cell>
        </row>
        <row r="793">
          <cell r="A793">
            <v>23414188</v>
          </cell>
          <cell r="B793" t="str">
            <v>아벌 얀손 타스만 계약서</v>
          </cell>
        </row>
        <row r="794">
          <cell r="A794">
            <v>23414189</v>
          </cell>
          <cell r="B794" t="str">
            <v>와키자카 야스하루 계약서</v>
          </cell>
        </row>
        <row r="795">
          <cell r="A795">
            <v>23414190</v>
          </cell>
          <cell r="B795" t="str">
            <v>도도 다카토라 계약서</v>
          </cell>
        </row>
        <row r="796">
          <cell r="A796">
            <v>23414191</v>
          </cell>
          <cell r="B796" t="str">
            <v>도고 구르마니 계약서</v>
          </cell>
        </row>
        <row r="797">
          <cell r="A797">
            <v>23414192</v>
          </cell>
          <cell r="B797" t="str">
            <v>고스 다카드 계약서</v>
          </cell>
        </row>
        <row r="798">
          <cell r="A798">
            <v>23414193</v>
          </cell>
          <cell r="B798" t="str">
            <v>월터 롤리 계약서</v>
          </cell>
        </row>
        <row r="799">
          <cell r="A799">
            <v>23414194</v>
          </cell>
          <cell r="B799" t="str">
            <v>베르날 델카스티요 계약서</v>
          </cell>
        </row>
        <row r="800">
          <cell r="A800">
            <v>23414195</v>
          </cell>
          <cell r="B800" t="str">
            <v>디오구 드세케이라 계약서</v>
          </cell>
        </row>
        <row r="801">
          <cell r="A801">
            <v>23414196</v>
          </cell>
          <cell r="B801" t="str">
            <v>토메 피르스 계약서</v>
          </cell>
        </row>
        <row r="802">
          <cell r="A802">
            <v>23414197</v>
          </cell>
          <cell r="B802" t="str">
            <v>미켈란젤로 부오나로티 계약서</v>
          </cell>
        </row>
        <row r="803">
          <cell r="A803">
            <v>23414198</v>
          </cell>
          <cell r="B803" t="str">
            <v>다나카 쇼스케 계약서</v>
          </cell>
        </row>
        <row r="804">
          <cell r="A804">
            <v>23414199</v>
          </cell>
          <cell r="B804" t="str">
            <v>하세쿠라 쓰네나가 계약서</v>
          </cell>
        </row>
        <row r="805">
          <cell r="A805">
            <v>23414200</v>
          </cell>
          <cell r="B805" t="str">
            <v>페르낭 드안드라드 계약서</v>
          </cell>
        </row>
        <row r="806">
          <cell r="A806">
            <v>23414201</v>
          </cell>
          <cell r="B806" t="str">
            <v>시마즈 요시히로 계약서</v>
          </cell>
        </row>
        <row r="807">
          <cell r="A807">
            <v>23414202</v>
          </cell>
          <cell r="B807" t="str">
            <v>니콜라스 데오반도 계약서</v>
          </cell>
        </row>
        <row r="808">
          <cell r="A808">
            <v>23414203</v>
          </cell>
          <cell r="B808" t="str">
            <v>안토니오 피가페타 계약서</v>
          </cell>
        </row>
        <row r="809">
          <cell r="A809">
            <v>23414204</v>
          </cell>
          <cell r="B809" t="str">
            <v>곤살로 피사로 계약서</v>
          </cell>
        </row>
        <row r="810">
          <cell r="A810">
            <v>23414205</v>
          </cell>
          <cell r="B810" t="str">
            <v>얀 피터손 쿤 계약서</v>
          </cell>
        </row>
        <row r="811">
          <cell r="A811">
            <v>23414206</v>
          </cell>
          <cell r="B811" t="str">
            <v>가스파르 코르트 헤알 계약서</v>
          </cell>
        </row>
        <row r="812">
          <cell r="A812">
            <v>23414207</v>
          </cell>
          <cell r="B812" t="str">
            <v>페르난데스 데엔시소 계약서</v>
          </cell>
        </row>
        <row r="813">
          <cell r="A813">
            <v>23414208</v>
          </cell>
          <cell r="B813" t="str">
            <v>새뮤얼 버지스 계약서</v>
          </cell>
        </row>
        <row r="814">
          <cell r="A814">
            <v>23414209</v>
          </cell>
          <cell r="B814" t="str">
            <v>로푸 드알베르가리아 계약서</v>
          </cell>
        </row>
        <row r="815">
          <cell r="A815">
            <v>23414210</v>
          </cell>
          <cell r="B815" t="str">
            <v>문순득 계약서</v>
          </cell>
        </row>
        <row r="816">
          <cell r="A816">
            <v>23414211</v>
          </cell>
          <cell r="B816" t="str">
            <v>우즈 로저스 계약서</v>
          </cell>
        </row>
        <row r="817">
          <cell r="A817">
            <v>23414212</v>
          </cell>
          <cell r="B817" t="str">
            <v>페루 다코빌량 계약서</v>
          </cell>
        </row>
        <row r="818">
          <cell r="A818">
            <v>23414213</v>
          </cell>
          <cell r="B818" t="str">
            <v>조르조 바사리 계약서</v>
          </cell>
        </row>
        <row r="819">
          <cell r="A819">
            <v>23414214</v>
          </cell>
          <cell r="B819" t="str">
            <v>두아르테 바르보사 계약서</v>
          </cell>
        </row>
        <row r="820">
          <cell r="A820">
            <v>23414215</v>
          </cell>
          <cell r="B820" t="str">
            <v>주앙 세항 계약서</v>
          </cell>
        </row>
        <row r="821">
          <cell r="A821">
            <v>23414216</v>
          </cell>
          <cell r="B821" t="str">
            <v>윌리엄 윈터 계약서</v>
          </cell>
        </row>
        <row r="822">
          <cell r="A822">
            <v>23414217</v>
          </cell>
          <cell r="B822" t="str">
            <v>얀 얀스 벨테브레이 계약서</v>
          </cell>
        </row>
        <row r="823">
          <cell r="A823">
            <v>23414218</v>
          </cell>
          <cell r="B823" t="str">
            <v>조르즈 드메네즈스 계약서</v>
          </cell>
        </row>
        <row r="824">
          <cell r="A824">
            <v>23414219</v>
          </cell>
          <cell r="B824" t="str">
            <v>프란시스코 알보 계약서</v>
          </cell>
        </row>
        <row r="825">
          <cell r="A825">
            <v>23414220</v>
          </cell>
          <cell r="B825" t="str">
            <v>프랑수아 르클레르 계약서</v>
          </cell>
        </row>
        <row r="826">
          <cell r="A826">
            <v>23414221</v>
          </cell>
          <cell r="B826" t="str">
            <v>니콜라우스 페데르만 계약서</v>
          </cell>
        </row>
        <row r="827">
          <cell r="A827">
            <v>23414222</v>
          </cell>
          <cell r="B827" t="str">
            <v>가스파르 데케사다 계약서</v>
          </cell>
        </row>
        <row r="828">
          <cell r="A828">
            <v>23414223</v>
          </cell>
          <cell r="B828" t="str">
            <v>요하네스 구텐베르크 계약서</v>
          </cell>
        </row>
        <row r="829">
          <cell r="A829">
            <v>23414224</v>
          </cell>
          <cell r="B829" t="str">
            <v>페드로 데멘도사 계약서</v>
          </cell>
        </row>
        <row r="830">
          <cell r="A830">
            <v>23414225</v>
          </cell>
          <cell r="B830" t="str">
            <v>문익점 계약서</v>
          </cell>
        </row>
        <row r="831">
          <cell r="A831">
            <v>23414226</v>
          </cell>
          <cell r="B831" t="str">
            <v>알리 알 만드리 계약서</v>
          </cell>
        </row>
        <row r="832">
          <cell r="A832">
            <v>23414228</v>
          </cell>
          <cell r="B832" t="str">
            <v>아흐메드 알 와타시 계약서</v>
          </cell>
        </row>
        <row r="833">
          <cell r="A833">
            <v>23414229</v>
          </cell>
          <cell r="B833" t="str">
            <v>윌리엄 셰익스피어 계약서</v>
          </cell>
        </row>
        <row r="834">
          <cell r="A834">
            <v>23414230</v>
          </cell>
          <cell r="B834" t="str">
            <v>카베사 데바카 계약서</v>
          </cell>
        </row>
        <row r="835">
          <cell r="A835">
            <v>23414231</v>
          </cell>
          <cell r="B835" t="str">
            <v>미겔 로페스 데레가스피 계약서</v>
          </cell>
        </row>
        <row r="836">
          <cell r="A836">
            <v>23414232</v>
          </cell>
          <cell r="B836" t="str">
            <v>바스케스 데코로나도 계약서</v>
          </cell>
        </row>
        <row r="837">
          <cell r="A837">
            <v>23414233</v>
          </cell>
          <cell r="B837" t="str">
            <v>권근 계약서</v>
          </cell>
        </row>
        <row r="838">
          <cell r="A838">
            <v>23414234</v>
          </cell>
          <cell r="B838" t="str">
            <v>엔히크 드말라카 계약서</v>
          </cell>
        </row>
        <row r="839">
          <cell r="A839">
            <v>23414235</v>
          </cell>
          <cell r="B839" t="str">
            <v>프란시스코 데오레야나 계약서</v>
          </cell>
        </row>
        <row r="840">
          <cell r="A840">
            <v>23414236</v>
          </cell>
          <cell r="B840" t="str">
            <v>파올로 토스카넬리 계약서</v>
          </cell>
        </row>
        <row r="841">
          <cell r="A841">
            <v>23414237</v>
          </cell>
          <cell r="B841" t="str">
            <v>셰르 샤 계약서</v>
          </cell>
        </row>
        <row r="842">
          <cell r="A842">
            <v>23414238</v>
          </cell>
          <cell r="B842" t="str">
            <v>악셀 욱센헤나 계약서</v>
          </cell>
        </row>
        <row r="843">
          <cell r="A843">
            <v>23414239</v>
          </cell>
          <cell r="B843" t="str">
            <v>알렉산더 해밀턴 계약서</v>
          </cell>
        </row>
        <row r="844">
          <cell r="A844">
            <v>23414240</v>
          </cell>
          <cell r="B844" t="str">
            <v>마르틴 베하임 계약서</v>
          </cell>
        </row>
        <row r="845">
          <cell r="A845">
            <v>23414241</v>
          </cell>
          <cell r="B845" t="str">
            <v>장 프랑수아 드갈로 계약서</v>
          </cell>
        </row>
        <row r="846">
          <cell r="A846">
            <v>23414242</v>
          </cell>
          <cell r="B846" t="str">
            <v>필리베르 코메르송 계약서</v>
          </cell>
        </row>
        <row r="847">
          <cell r="A847">
            <v>23414243</v>
          </cell>
          <cell r="B847" t="str">
            <v>자크 카르티에 계약서</v>
          </cell>
        </row>
        <row r="848">
          <cell r="A848">
            <v>23414244</v>
          </cell>
          <cell r="B848" t="str">
            <v>허초희 계약서</v>
          </cell>
        </row>
        <row r="849">
          <cell r="A849">
            <v>23414245</v>
          </cell>
          <cell r="B849" t="str">
            <v>정운 계약서</v>
          </cell>
        </row>
        <row r="850">
          <cell r="A850">
            <v>23414246</v>
          </cell>
          <cell r="B850" t="str">
            <v>나대용 계약서</v>
          </cell>
        </row>
        <row r="851">
          <cell r="A851">
            <v>23414247</v>
          </cell>
          <cell r="B851" t="str">
            <v>마르틴 루터 계약서</v>
          </cell>
        </row>
        <row r="852">
          <cell r="A852">
            <v>23414248</v>
          </cell>
          <cell r="B852" t="str">
            <v>야콥 푸거 계약서</v>
          </cell>
        </row>
        <row r="853">
          <cell r="A853">
            <v>23414250</v>
          </cell>
          <cell r="B853" t="str">
            <v>마테오 리치 계약서</v>
          </cell>
        </row>
        <row r="854">
          <cell r="A854">
            <v>23414251</v>
          </cell>
          <cell r="B854" t="str">
            <v>토니오 롯시 계약서</v>
          </cell>
        </row>
        <row r="855">
          <cell r="A855">
            <v>23414252</v>
          </cell>
          <cell r="B855" t="str">
            <v>리오노 아반츄라 계약서</v>
          </cell>
        </row>
        <row r="856">
          <cell r="A856">
            <v>23414253</v>
          </cell>
          <cell r="B856" t="str">
            <v>하산 파샤 계약서</v>
          </cell>
        </row>
        <row r="857">
          <cell r="A857">
            <v>23414254</v>
          </cell>
          <cell r="B857" t="str">
            <v>이운룡 계약서</v>
          </cell>
        </row>
        <row r="858">
          <cell r="A858">
            <v>23414255</v>
          </cell>
          <cell r="B858" t="str">
            <v>이억기 계약서</v>
          </cell>
        </row>
        <row r="859">
          <cell r="A859">
            <v>23414256</v>
          </cell>
          <cell r="B859" t="str">
            <v>살리흐 레이스 계약서</v>
          </cell>
        </row>
        <row r="860">
          <cell r="A860">
            <v>23414257</v>
          </cell>
          <cell r="B860" t="str">
            <v>페트뤼스 플란시우스 계약서</v>
          </cell>
        </row>
        <row r="861">
          <cell r="A861">
            <v>23414258</v>
          </cell>
          <cell r="B861" t="str">
            <v>프란시스쿠 세항 계약서</v>
          </cell>
        </row>
        <row r="862">
          <cell r="A862">
            <v>23414259</v>
          </cell>
          <cell r="B862" t="str">
            <v>아메리고 베스푸치 계약서</v>
          </cell>
        </row>
        <row r="863">
          <cell r="A863">
            <v>23414260</v>
          </cell>
          <cell r="B863" t="str">
            <v>루이스 프로이스 계약서</v>
          </cell>
        </row>
        <row r="864">
          <cell r="A864">
            <v>23414261</v>
          </cell>
          <cell r="B864" t="str">
            <v>조반니 안드레아 도리아 계약서</v>
          </cell>
        </row>
        <row r="865">
          <cell r="A865">
            <v>23414262</v>
          </cell>
          <cell r="B865" t="str">
            <v>두아르트 드메네즈스 계약서</v>
          </cell>
        </row>
        <row r="866">
          <cell r="A866">
            <v>23414263</v>
          </cell>
          <cell r="B866" t="str">
            <v>니콜라스 쿠크베커 계약서</v>
          </cell>
        </row>
        <row r="867">
          <cell r="A867">
            <v>23414264</v>
          </cell>
          <cell r="B867" t="str">
            <v>석양 계약서</v>
          </cell>
        </row>
        <row r="868">
          <cell r="A868">
            <v>23414265</v>
          </cell>
          <cell r="B868" t="str">
            <v>에드워드 로우 계약서</v>
          </cell>
        </row>
        <row r="869">
          <cell r="A869">
            <v>23414266</v>
          </cell>
          <cell r="B869" t="str">
            <v>주앙 곤살베스 자르쿠 계약서</v>
          </cell>
        </row>
        <row r="870">
          <cell r="A870">
            <v>23414267</v>
          </cell>
          <cell r="B870" t="str">
            <v>존 롤프 계약서</v>
          </cell>
        </row>
        <row r="871">
          <cell r="A871">
            <v>23414268</v>
          </cell>
          <cell r="B871" t="str">
            <v>알렉산더 셀커크 계약서</v>
          </cell>
        </row>
        <row r="872">
          <cell r="A872">
            <v>23414269</v>
          </cell>
          <cell r="B872" t="str">
            <v>알비세 카다모스토 계약서</v>
          </cell>
        </row>
        <row r="873">
          <cell r="A873">
            <v>23414270</v>
          </cell>
          <cell r="B873" t="str">
            <v>쿠르톨루 무슬리딘 계약서</v>
          </cell>
        </row>
        <row r="874">
          <cell r="A874">
            <v>23414271</v>
          </cell>
          <cell r="B874" t="str">
            <v>미겔 데세르반테스 계약서</v>
          </cell>
        </row>
        <row r="875">
          <cell r="A875">
            <v>23414272</v>
          </cell>
          <cell r="B875" t="str">
            <v>야스케 계약서</v>
          </cell>
        </row>
        <row r="876">
          <cell r="A876">
            <v>23414273</v>
          </cell>
          <cell r="B876" t="str">
            <v>기린아 계약서</v>
          </cell>
        </row>
        <row r="877">
          <cell r="A877">
            <v>23414274</v>
          </cell>
          <cell r="B877" t="str">
            <v>이몽룡 계약서</v>
          </cell>
        </row>
        <row r="878">
          <cell r="A878">
            <v>23414277</v>
          </cell>
          <cell r="B878" t="str">
            <v>진조의 계약서</v>
          </cell>
        </row>
        <row r="879">
          <cell r="A879">
            <v>23414278</v>
          </cell>
          <cell r="B879" t="str">
            <v>노국공주 계약서</v>
          </cell>
        </row>
        <row r="880">
          <cell r="A880">
            <v>23414279</v>
          </cell>
          <cell r="B880" t="str">
            <v>카시드 계약서</v>
          </cell>
        </row>
        <row r="881">
          <cell r="A881">
            <v>23414280</v>
          </cell>
          <cell r="B881" t="str">
            <v>비라 알라케스바라 계약서</v>
          </cell>
        </row>
        <row r="882">
          <cell r="A882">
            <v>23414281</v>
          </cell>
          <cell r="B882" t="str">
            <v>리차드 빙엄 계약서</v>
          </cell>
        </row>
        <row r="883">
          <cell r="A883">
            <v>23414282</v>
          </cell>
          <cell r="B883" t="str">
            <v>피터르 제라뒤스 계약서</v>
          </cell>
        </row>
        <row r="884">
          <cell r="A884">
            <v>23414283</v>
          </cell>
          <cell r="B884" t="str">
            <v>호종헌 계약서</v>
          </cell>
        </row>
        <row r="885">
          <cell r="A885">
            <v>23414284</v>
          </cell>
          <cell r="B885" t="str">
            <v>알탄 칸 계약서</v>
          </cell>
        </row>
        <row r="886">
          <cell r="A886">
            <v>23414285</v>
          </cell>
          <cell r="B886" t="str">
            <v>알렉산드르 멘시코프 계약서</v>
          </cell>
        </row>
        <row r="887">
          <cell r="A887">
            <v>23414286</v>
          </cell>
          <cell r="B887" t="str">
            <v>트실라카트신 계약서</v>
          </cell>
        </row>
        <row r="888">
          <cell r="A888">
            <v>23414287</v>
          </cell>
          <cell r="B888" t="str">
            <v>김광택 계약서</v>
          </cell>
        </row>
        <row r="889">
          <cell r="A889">
            <v>23414288</v>
          </cell>
          <cell r="B889" t="str">
            <v>유대유 계약서</v>
          </cell>
        </row>
        <row r="890">
          <cell r="A890">
            <v>23414289</v>
          </cell>
          <cell r="B890" t="str">
            <v>이초 계약서</v>
          </cell>
        </row>
        <row r="891">
          <cell r="A891">
            <v>23414290</v>
          </cell>
          <cell r="B891" t="str">
            <v>호수인 계약서</v>
          </cell>
        </row>
        <row r="892">
          <cell r="A892">
            <v>23414291</v>
          </cell>
          <cell r="B892" t="str">
            <v>왕직 계약서</v>
          </cell>
        </row>
        <row r="893">
          <cell r="A893">
            <v>23414292</v>
          </cell>
          <cell r="B893" t="str">
            <v>바실리 골리친 계약서</v>
          </cell>
        </row>
        <row r="894">
          <cell r="A894">
            <v>23414295</v>
          </cell>
          <cell r="B894" t="str">
            <v>시랑 계약서</v>
          </cell>
        </row>
        <row r="895">
          <cell r="A895">
            <v>23414296</v>
          </cell>
          <cell r="B895" t="str">
            <v>라 이카이카 계약서</v>
          </cell>
        </row>
        <row r="896">
          <cell r="A896">
            <v>23414298</v>
          </cell>
          <cell r="B896" t="str">
            <v>나니 마히나 계약서</v>
          </cell>
        </row>
        <row r="897">
          <cell r="A897">
            <v>23414299</v>
          </cell>
          <cell r="B897" t="str">
            <v>아나 얀선스 계약서</v>
          </cell>
        </row>
        <row r="898">
          <cell r="A898">
            <v>23414300</v>
          </cell>
          <cell r="B898" t="str">
            <v>발푸리 인나마 계약서</v>
          </cell>
        </row>
        <row r="899">
          <cell r="A899">
            <v>23414301</v>
          </cell>
          <cell r="B899" t="str">
            <v>카리나 물티알라 계약서</v>
          </cell>
        </row>
        <row r="900">
          <cell r="A900">
            <v>23414302</v>
          </cell>
          <cell r="B900" t="str">
            <v>도리테 니버스 계약서</v>
          </cell>
        </row>
        <row r="901">
          <cell r="A901">
            <v>23414303</v>
          </cell>
          <cell r="B901" t="str">
            <v>타네커 스코닝스 계약서</v>
          </cell>
        </row>
        <row r="902">
          <cell r="A902">
            <v>23414304</v>
          </cell>
          <cell r="B902" t="str">
            <v>엘리자베스 바튼 계약서</v>
          </cell>
        </row>
        <row r="903">
          <cell r="A903">
            <v>23414305</v>
          </cell>
          <cell r="B903" t="str">
            <v>잔 드샹탈 계약서</v>
          </cell>
        </row>
        <row r="904">
          <cell r="A904">
            <v>23414306</v>
          </cell>
          <cell r="B904" t="str">
            <v>아사르파이 계약서</v>
          </cell>
        </row>
        <row r="905">
          <cell r="A905">
            <v>23414307</v>
          </cell>
          <cell r="B905" t="str">
            <v>마리아 바르톨라 계약서</v>
          </cell>
        </row>
        <row r="906">
          <cell r="A906">
            <v>23414308</v>
          </cell>
          <cell r="B906" t="str">
            <v>시도니아 폰보르크 계약서</v>
          </cell>
        </row>
        <row r="907">
          <cell r="A907">
            <v>23414309</v>
          </cell>
          <cell r="B907" t="str">
            <v>비올란테 도리아 계약서</v>
          </cell>
        </row>
        <row r="908">
          <cell r="A908">
            <v>23414310</v>
          </cell>
          <cell r="B908" t="str">
            <v>앤 다우리치 계약서</v>
          </cell>
        </row>
        <row r="909">
          <cell r="A909">
            <v>23414311</v>
          </cell>
          <cell r="B909" t="str">
            <v>카타리나 헤노트 계약서</v>
          </cell>
        </row>
        <row r="910">
          <cell r="A910">
            <v>23414312</v>
          </cell>
          <cell r="B910" t="str">
            <v>이사벨 데게바라 계약서</v>
          </cell>
        </row>
        <row r="911">
          <cell r="A911">
            <v>23414313</v>
          </cell>
          <cell r="B911" t="str">
            <v>엘리자베스 루카 계약서</v>
          </cell>
        </row>
        <row r="912">
          <cell r="A912">
            <v>23414314</v>
          </cell>
          <cell r="B912" t="str">
            <v>아나 루머르스 피스허르 계약서</v>
          </cell>
        </row>
        <row r="913">
          <cell r="A913">
            <v>23414315</v>
          </cell>
          <cell r="B913" t="str">
            <v>이사벨라 휘트니 계약서</v>
          </cell>
        </row>
        <row r="914">
          <cell r="A914">
            <v>23414316</v>
          </cell>
          <cell r="B914" t="str">
            <v>케나우 하셀라르 계약서</v>
          </cell>
        </row>
        <row r="915">
          <cell r="A915">
            <v>23414317</v>
          </cell>
          <cell r="B915" t="str">
            <v>크리스티나 닐스도테르 계약서</v>
          </cell>
        </row>
        <row r="916">
          <cell r="A916">
            <v>23414318</v>
          </cell>
          <cell r="B916" t="str">
            <v>와씨 계약서</v>
          </cell>
        </row>
        <row r="917">
          <cell r="A917">
            <v>23414319</v>
          </cell>
          <cell r="B917" t="str">
            <v>고계영 계약서</v>
          </cell>
        </row>
        <row r="918">
          <cell r="A918">
            <v>23414320</v>
          </cell>
          <cell r="B918" t="str">
            <v>클라라 카마랑 계약서</v>
          </cell>
        </row>
        <row r="919">
          <cell r="A919">
            <v>23414321</v>
          </cell>
          <cell r="B919" t="str">
            <v>알론소 데멘도사 계약서</v>
          </cell>
        </row>
        <row r="920">
          <cell r="A920">
            <v>23414322</v>
          </cell>
          <cell r="B920" t="str">
            <v>암브로지우스 에힝어 계약서</v>
          </cell>
        </row>
        <row r="921">
          <cell r="A921">
            <v>23414323</v>
          </cell>
          <cell r="B921" t="str">
            <v>앤서니 셜리 계약서</v>
          </cell>
        </row>
        <row r="922">
          <cell r="A922">
            <v>23414324</v>
          </cell>
          <cell r="B922" t="str">
            <v>라울 핏치 계약서</v>
          </cell>
        </row>
        <row r="923">
          <cell r="A923">
            <v>23414325</v>
          </cell>
          <cell r="B923" t="str">
            <v>안토니오 핀데아도 계약서</v>
          </cell>
        </row>
        <row r="924">
          <cell r="A924">
            <v>23414326</v>
          </cell>
          <cell r="B924" t="str">
            <v>베니토 고메스 계약서</v>
          </cell>
        </row>
        <row r="925">
          <cell r="A925">
            <v>23414327</v>
          </cell>
          <cell r="B925" t="str">
            <v>베르날 로욜라 계약서</v>
          </cell>
        </row>
        <row r="926">
          <cell r="A926">
            <v>23414328</v>
          </cell>
          <cell r="B926" t="str">
            <v>에스테반 페론 계약서</v>
          </cell>
        </row>
        <row r="927">
          <cell r="A927">
            <v>23414330</v>
          </cell>
          <cell r="B927" t="str">
            <v>프란시스쿠 알바레스 계약서</v>
          </cell>
        </row>
        <row r="928">
          <cell r="A928">
            <v>23414331</v>
          </cell>
          <cell r="B928" t="str">
            <v>두아르트 페레이라 계약서</v>
          </cell>
        </row>
        <row r="929">
          <cell r="A929">
            <v>23414332</v>
          </cell>
          <cell r="B929" t="str">
            <v>디에구 소사 계약서</v>
          </cell>
        </row>
        <row r="930">
          <cell r="A930">
            <v>23414333</v>
          </cell>
          <cell r="B930" t="str">
            <v>곤잘루 실베이라 계약서</v>
          </cell>
        </row>
        <row r="931">
          <cell r="A931">
            <v>23414334</v>
          </cell>
          <cell r="B931" t="str">
            <v>에드먼드 하비 계약서</v>
          </cell>
        </row>
        <row r="932">
          <cell r="A932">
            <v>23414335</v>
          </cell>
          <cell r="B932" t="str">
            <v>조반니 라무시오 계약서</v>
          </cell>
        </row>
        <row r="933">
          <cell r="A933">
            <v>23414337</v>
          </cell>
          <cell r="B933" t="str">
            <v>게오르크 폰슈파이어 계약서</v>
          </cell>
        </row>
        <row r="934">
          <cell r="A934">
            <v>23414338</v>
          </cell>
          <cell r="B934" t="str">
            <v>조반니 베세리스 계약서</v>
          </cell>
        </row>
        <row r="935">
          <cell r="A935">
            <v>23414340</v>
          </cell>
          <cell r="B935" t="str">
            <v>귀도 벤조 계약서</v>
          </cell>
        </row>
        <row r="936">
          <cell r="A936">
            <v>23414341</v>
          </cell>
          <cell r="B936" t="str">
            <v>앤서니 존슨 계약서</v>
          </cell>
        </row>
        <row r="937">
          <cell r="A937">
            <v>23414342</v>
          </cell>
          <cell r="B937" t="str">
            <v>헨리 만스펠 계약서</v>
          </cell>
        </row>
        <row r="938">
          <cell r="A938">
            <v>23414343</v>
          </cell>
          <cell r="B938" t="str">
            <v>우고 데몽카다 계약서</v>
          </cell>
        </row>
        <row r="939">
          <cell r="A939">
            <v>23414344</v>
          </cell>
          <cell r="B939" t="str">
            <v>휘호 올잭 계약서</v>
          </cell>
        </row>
        <row r="940">
          <cell r="A940">
            <v>23414345</v>
          </cell>
          <cell r="B940" t="str">
            <v>에드워드 댐피어 계약서</v>
          </cell>
        </row>
        <row r="941">
          <cell r="A941">
            <v>23414346</v>
          </cell>
          <cell r="B941" t="str">
            <v>야코프 발바커 계약서</v>
          </cell>
        </row>
        <row r="942">
          <cell r="A942">
            <v>23414347</v>
          </cell>
          <cell r="B942" t="str">
            <v>자크 브룸 계약서</v>
          </cell>
        </row>
        <row r="943">
          <cell r="A943">
            <v>23414348</v>
          </cell>
          <cell r="B943" t="str">
            <v>조셉 이스트먼 계약서</v>
          </cell>
        </row>
        <row r="944">
          <cell r="A944">
            <v>23414349</v>
          </cell>
          <cell r="B944" t="str">
            <v>쥬세페 루도비코 계약서</v>
          </cell>
        </row>
        <row r="945">
          <cell r="A945">
            <v>23414350</v>
          </cell>
          <cell r="B945" t="str">
            <v>발보아 오리드 계약서</v>
          </cell>
        </row>
        <row r="946">
          <cell r="A946">
            <v>23414351</v>
          </cell>
          <cell r="B946" t="str">
            <v>율리스 하위헌스 계약서</v>
          </cell>
        </row>
        <row r="947">
          <cell r="A947">
            <v>23414352</v>
          </cell>
          <cell r="B947" t="str">
            <v>율리안 페르메이르 계약서</v>
          </cell>
        </row>
        <row r="948">
          <cell r="A948">
            <v>23414354</v>
          </cell>
          <cell r="B948" t="str">
            <v>로런스 에드워드 계약서</v>
          </cell>
        </row>
        <row r="949">
          <cell r="A949">
            <v>23414355</v>
          </cell>
          <cell r="B949" t="str">
            <v>피터르 벤후크 계약서</v>
          </cell>
        </row>
        <row r="950">
          <cell r="A950">
            <v>23414357</v>
          </cell>
          <cell r="B950" t="str">
            <v>마누엘 페레스트렐루 계약서</v>
          </cell>
        </row>
        <row r="951">
          <cell r="A951">
            <v>23414358</v>
          </cell>
          <cell r="B951" t="str">
            <v>모리스 레이든 계약서</v>
          </cell>
        </row>
        <row r="952">
          <cell r="A952">
            <v>23414359</v>
          </cell>
          <cell r="B952" t="str">
            <v>판필로 오리드 계약서</v>
          </cell>
        </row>
        <row r="953">
          <cell r="A953">
            <v>23414360</v>
          </cell>
          <cell r="B953" t="str">
            <v>한스 슈타덴 계약서</v>
          </cell>
        </row>
        <row r="954">
          <cell r="A954">
            <v>23414361</v>
          </cell>
          <cell r="B954" t="str">
            <v>리처드 헉슬리 계약서</v>
          </cell>
        </row>
        <row r="955">
          <cell r="A955">
            <v>23414362</v>
          </cell>
          <cell r="B955" t="str">
            <v>로버트 와일드 계약서</v>
          </cell>
        </row>
        <row r="956">
          <cell r="A956">
            <v>23414363</v>
          </cell>
          <cell r="B956" t="str">
            <v>주앙 드카스트루 계약서</v>
          </cell>
        </row>
        <row r="957">
          <cell r="A957">
            <v>23414364</v>
          </cell>
          <cell r="B957" t="str">
            <v>로푸 페레이라 계약서</v>
          </cell>
        </row>
        <row r="958">
          <cell r="A958">
            <v>23414365</v>
          </cell>
          <cell r="B958" t="str">
            <v>살림 괴브데 계약서</v>
          </cell>
        </row>
        <row r="959">
          <cell r="A959">
            <v>23414366</v>
          </cell>
          <cell r="B959" t="str">
            <v>카밀로 사보나롤라 계약서</v>
          </cell>
        </row>
        <row r="960">
          <cell r="A960">
            <v>23414368</v>
          </cell>
          <cell r="B960" t="str">
            <v>빅터 러셀 계약서</v>
          </cell>
        </row>
        <row r="961">
          <cell r="A961">
            <v>23414369</v>
          </cell>
          <cell r="B961" t="str">
            <v>귀친 케말 계약서</v>
          </cell>
        </row>
        <row r="962">
          <cell r="A962">
            <v>23414370</v>
          </cell>
          <cell r="B962" t="str">
            <v>월터 로런스 계약서</v>
          </cell>
        </row>
        <row r="963">
          <cell r="A963">
            <v>23414371</v>
          </cell>
          <cell r="B963" t="str">
            <v>윌리엄 클라이브 계약서</v>
          </cell>
        </row>
        <row r="964">
          <cell r="A964">
            <v>23414372</v>
          </cell>
          <cell r="B964" t="str">
            <v>페드로 나바로 계약서</v>
          </cell>
        </row>
        <row r="965">
          <cell r="A965">
            <v>23414373</v>
          </cell>
          <cell r="B965" t="str">
            <v>우준 카이프 계약서</v>
          </cell>
        </row>
        <row r="966">
          <cell r="A966">
            <v>23414374</v>
          </cell>
          <cell r="B966" t="str">
            <v>자가노스 베이 계약서</v>
          </cell>
        </row>
        <row r="967">
          <cell r="A967">
            <v>23414375</v>
          </cell>
          <cell r="B967" t="str">
            <v>주앙 아폰수 계약서</v>
          </cell>
        </row>
        <row r="968">
          <cell r="A968">
            <v>23414380</v>
          </cell>
          <cell r="B968" t="str">
            <v>비신 계약서</v>
          </cell>
        </row>
        <row r="969">
          <cell r="A969">
            <v>23414381</v>
          </cell>
          <cell r="B969" t="str">
            <v>장안순 계약서</v>
          </cell>
        </row>
        <row r="970">
          <cell r="A970">
            <v>23414382</v>
          </cell>
          <cell r="B970" t="str">
            <v>미켈레토 코렐라 계약서</v>
          </cell>
        </row>
        <row r="971">
          <cell r="A971">
            <v>23414383</v>
          </cell>
          <cell r="B971" t="str">
            <v>후안 세바스티안 엘카노 계약서</v>
          </cell>
        </row>
        <row r="972">
          <cell r="A972">
            <v>23414384</v>
          </cell>
          <cell r="B972" t="str">
            <v>프란시스코 하비에르 계약서</v>
          </cell>
        </row>
        <row r="973">
          <cell r="A973">
            <v>23414385</v>
          </cell>
          <cell r="B973" t="str">
            <v>곤살로 데케사다 계약서</v>
          </cell>
        </row>
        <row r="974">
          <cell r="A974">
            <v>23414386</v>
          </cell>
          <cell r="B974" t="str">
            <v>세바스티안 비스카이노 계약서</v>
          </cell>
        </row>
        <row r="975">
          <cell r="A975">
            <v>23414387</v>
          </cell>
          <cell r="B975" t="str">
            <v>페드로 데키로스 계약서</v>
          </cell>
        </row>
        <row r="976">
          <cell r="A976">
            <v>23414388</v>
          </cell>
          <cell r="B976" t="str">
            <v>야코프 로헤베인 계약서</v>
          </cell>
        </row>
        <row r="977">
          <cell r="A977">
            <v>23414389</v>
          </cell>
          <cell r="B977" t="str">
            <v>존 해리슨 계약서</v>
          </cell>
        </row>
        <row r="978">
          <cell r="A978">
            <v>23414390</v>
          </cell>
          <cell r="B978" t="str">
            <v>얀 요스턴 판로덴스테인 계약서</v>
          </cell>
        </row>
        <row r="979">
          <cell r="A979">
            <v>23414391</v>
          </cell>
          <cell r="B979" t="str">
            <v>페르낭 고메스 다미나 계약서</v>
          </cell>
        </row>
        <row r="980">
          <cell r="A980">
            <v>23414392</v>
          </cell>
          <cell r="B980" t="str">
            <v>디오구 캉 계약서</v>
          </cell>
        </row>
        <row r="981">
          <cell r="A981">
            <v>23414393</v>
          </cell>
          <cell r="B981" t="str">
            <v>아불 파즐 계약서</v>
          </cell>
        </row>
        <row r="982">
          <cell r="A982">
            <v>23414395</v>
          </cell>
          <cell r="B982" t="str">
            <v>페르낭 둘무 계약서</v>
          </cell>
        </row>
        <row r="983">
          <cell r="A983">
            <v>23414396</v>
          </cell>
          <cell r="B983" t="str">
            <v>마환 계약서</v>
          </cell>
        </row>
        <row r="984">
          <cell r="A984">
            <v>23414397</v>
          </cell>
          <cell r="B984" t="str">
            <v>안토니우 드아브레우 계약서</v>
          </cell>
        </row>
        <row r="985">
          <cell r="A985">
            <v>23414398</v>
          </cell>
          <cell r="B985" t="str">
            <v>조르즈 알바르스 계약서</v>
          </cell>
        </row>
        <row r="986">
          <cell r="A986">
            <v>23414399</v>
          </cell>
          <cell r="B986" t="str">
            <v>디에고 데니쿠에사 계약서</v>
          </cell>
        </row>
        <row r="987">
          <cell r="A987">
            <v>23414400</v>
          </cell>
          <cell r="B987" t="str">
            <v>미르자 아지즈 코카 계약서</v>
          </cell>
        </row>
        <row r="988">
          <cell r="A988">
            <v>23414401</v>
          </cell>
          <cell r="B988" t="str">
            <v>프란시스코 데보바디야 계약서</v>
          </cell>
        </row>
        <row r="989">
          <cell r="A989">
            <v>23414402</v>
          </cell>
          <cell r="B989" t="str">
            <v>판필로 데나르바에스 계약서</v>
          </cell>
        </row>
        <row r="990">
          <cell r="A990">
            <v>23414403</v>
          </cell>
          <cell r="B990" t="str">
            <v>알론소 알바레스 데피네다 계약서</v>
          </cell>
        </row>
        <row r="991">
          <cell r="A991">
            <v>23414404</v>
          </cell>
          <cell r="B991" t="str">
            <v>쿠스라우 미르자 계약서</v>
          </cell>
        </row>
        <row r="992">
          <cell r="A992">
            <v>23414405</v>
          </cell>
          <cell r="B992" t="str">
            <v>후안 데그리할바 계약서</v>
          </cell>
        </row>
        <row r="993">
          <cell r="A993">
            <v>23414407</v>
          </cell>
          <cell r="B993" t="str">
            <v>디에고 데오르다스 계약서</v>
          </cell>
        </row>
        <row r="994">
          <cell r="A994">
            <v>23414408</v>
          </cell>
          <cell r="B994" t="str">
            <v>에르난도 데소토 계약서</v>
          </cell>
        </row>
        <row r="995">
          <cell r="A995">
            <v>23414409</v>
          </cell>
          <cell r="B995" t="str">
            <v>프란시스코 데몬테호 계약서</v>
          </cell>
        </row>
        <row r="996">
          <cell r="A996">
            <v>23414410</v>
          </cell>
          <cell r="B996" t="str">
            <v>마르코스 데니사 계약서</v>
          </cell>
        </row>
        <row r="997">
          <cell r="A997">
            <v>23414412</v>
          </cell>
          <cell r="B997" t="str">
            <v>세바스찬 캐벗 계약서</v>
          </cell>
        </row>
        <row r="998">
          <cell r="A998">
            <v>23414413</v>
          </cell>
          <cell r="B998" t="str">
            <v>고스와미 툴시다스 계약서</v>
          </cell>
        </row>
        <row r="999">
          <cell r="A999">
            <v>23414414</v>
          </cell>
          <cell r="B999" t="str">
            <v>토다르 말 계약서</v>
          </cell>
        </row>
        <row r="1000">
          <cell r="A1000">
            <v>23414416</v>
          </cell>
          <cell r="B1000" t="str">
            <v>기도 데라베사리스 계약서</v>
          </cell>
        </row>
        <row r="1001">
          <cell r="A1001">
            <v>23414417</v>
          </cell>
          <cell r="B1001" t="str">
            <v>이마이 소쿤 계약서</v>
          </cell>
        </row>
        <row r="1002">
          <cell r="A1002">
            <v>23414418</v>
          </cell>
          <cell r="B1002" t="str">
            <v>이마이 소큐 계약서</v>
          </cell>
        </row>
        <row r="1003">
          <cell r="A1003">
            <v>23414419</v>
          </cell>
          <cell r="B1003" t="str">
            <v>이스테방 고메스 계약서</v>
          </cell>
        </row>
        <row r="1004">
          <cell r="A1004">
            <v>23414420</v>
          </cell>
          <cell r="B1004" t="str">
            <v>아이 마타 계약서</v>
          </cell>
        </row>
        <row r="1005">
          <cell r="A1005">
            <v>23414421</v>
          </cell>
          <cell r="B1005" t="str">
            <v>디에고 카바예로 계약서</v>
          </cell>
        </row>
        <row r="1006">
          <cell r="A1006">
            <v>23414423</v>
          </cell>
          <cell r="B1006" t="str">
            <v>페드로 데감보아 계약서</v>
          </cell>
        </row>
        <row r="1007">
          <cell r="A1007">
            <v>23414426</v>
          </cell>
          <cell r="B1007" t="str">
            <v>요한 할레르 계약서</v>
          </cell>
        </row>
        <row r="1008">
          <cell r="A1008">
            <v>23414427</v>
          </cell>
          <cell r="B1008" t="str">
            <v>트리폰 코로베이니코프 계약서</v>
          </cell>
        </row>
        <row r="1009">
          <cell r="A1009">
            <v>23414428</v>
          </cell>
          <cell r="B1009" t="str">
            <v>안토니우 드살다냐 계약서</v>
          </cell>
        </row>
        <row r="1010">
          <cell r="A1010">
            <v>23414429</v>
          </cell>
          <cell r="B1010" t="str">
            <v>마르팅 아폰수 드소자 계약서</v>
          </cell>
        </row>
        <row r="1011">
          <cell r="A1011">
            <v>23414430</v>
          </cell>
          <cell r="B1011" t="str">
            <v>예르마크 티모페예비치 계약서</v>
          </cell>
        </row>
        <row r="1012">
          <cell r="A1012">
            <v>23414431</v>
          </cell>
          <cell r="B1012" t="str">
            <v>세묜 스트로가노프 계약서</v>
          </cell>
        </row>
        <row r="1013">
          <cell r="A1013">
            <v>23414433</v>
          </cell>
          <cell r="B1013" t="str">
            <v>헨리 미들턴 계약서</v>
          </cell>
        </row>
        <row r="1014">
          <cell r="A1014">
            <v>23414434</v>
          </cell>
          <cell r="B1014" t="str">
            <v>루이스 데토레스 계약서</v>
          </cell>
        </row>
        <row r="1015">
          <cell r="A1015">
            <v>23414435</v>
          </cell>
          <cell r="B1015" t="str">
            <v>운니야르카 계약서</v>
          </cell>
        </row>
        <row r="1016">
          <cell r="A1016">
            <v>23414436</v>
          </cell>
          <cell r="B1016" t="str">
            <v>스미노쿠라 료이 계약서</v>
          </cell>
        </row>
        <row r="1017">
          <cell r="A1017">
            <v>23414437</v>
          </cell>
          <cell r="B1017" t="str">
            <v>하바 카툰 계약서</v>
          </cell>
        </row>
        <row r="1018">
          <cell r="A1018">
            <v>23414438</v>
          </cell>
          <cell r="B1018" t="str">
            <v>디에고 알바레스 창카 계약서</v>
          </cell>
        </row>
        <row r="1019">
          <cell r="A1019">
            <v>23414439</v>
          </cell>
          <cell r="B1019" t="str">
            <v>로버트 아마다스 계약서</v>
          </cell>
        </row>
        <row r="1020">
          <cell r="A1020">
            <v>23414440</v>
          </cell>
          <cell r="B1020" t="str">
            <v>프란시스코 데헤레스 계약서</v>
          </cell>
        </row>
        <row r="1021">
          <cell r="A1021">
            <v>23414441</v>
          </cell>
          <cell r="B1021" t="str">
            <v>바르톨로메 데라스 카사스 계약서</v>
          </cell>
        </row>
        <row r="1022">
          <cell r="A1022">
            <v>23414442</v>
          </cell>
          <cell r="B1022" t="str">
            <v>니콜라스 플라멜 계약서</v>
          </cell>
        </row>
        <row r="1023">
          <cell r="A1023">
            <v>23414443</v>
          </cell>
          <cell r="B1023" t="str">
            <v>루도비코 데바르테마 계약서</v>
          </cell>
        </row>
        <row r="1024">
          <cell r="A1024">
            <v>23414444</v>
          </cell>
          <cell r="B1024" t="str">
            <v>야코프 판넥 계약서</v>
          </cell>
        </row>
        <row r="1025">
          <cell r="A1025">
            <v>23414445</v>
          </cell>
          <cell r="B1025" t="str">
            <v>가메이 고레노리 계약서</v>
          </cell>
        </row>
        <row r="1026">
          <cell r="A1026">
            <v>23414446</v>
          </cell>
          <cell r="B1026" t="str">
            <v>혜희 계약서</v>
          </cell>
        </row>
        <row r="1027">
          <cell r="A1027">
            <v>23414447</v>
          </cell>
          <cell r="B1027" t="str">
            <v>가스파로 발비 계약서</v>
          </cell>
        </row>
        <row r="1028">
          <cell r="A1028">
            <v>23414448</v>
          </cell>
          <cell r="B1028" t="str">
            <v>심청 계약서</v>
          </cell>
        </row>
        <row r="1029">
          <cell r="A1029">
            <v>23414449</v>
          </cell>
          <cell r="B1029" t="str">
            <v>구루시마 미치후사 계약서</v>
          </cell>
        </row>
        <row r="1030">
          <cell r="A1030">
            <v>23414450</v>
          </cell>
          <cell r="B1030" t="str">
            <v>진린 계약서</v>
          </cell>
        </row>
        <row r="1031">
          <cell r="A1031">
            <v>23414451</v>
          </cell>
          <cell r="B1031" t="str">
            <v>도날 나피오파 계약서</v>
          </cell>
        </row>
        <row r="1032">
          <cell r="A1032">
            <v>23414452</v>
          </cell>
          <cell r="B1032" t="str">
            <v>조너선 바넷 계약서</v>
          </cell>
        </row>
        <row r="1033">
          <cell r="A1033">
            <v>23414455</v>
          </cell>
          <cell r="B1033" t="str">
            <v>세이디 알리 레이스 계약서</v>
          </cell>
        </row>
        <row r="1034">
          <cell r="A1034">
            <v>23414456</v>
          </cell>
          <cell r="B1034" t="str">
            <v>카타리나 코르네르 계약서</v>
          </cell>
        </row>
        <row r="1035">
          <cell r="A1035">
            <v>23414457</v>
          </cell>
          <cell r="B1035" t="str">
            <v>세페르 레이스 계약서</v>
          </cell>
        </row>
        <row r="1036">
          <cell r="A1036">
            <v>23414458</v>
          </cell>
          <cell r="B1036" t="str">
            <v>그레고리오 세스페데스 계약서</v>
          </cell>
        </row>
        <row r="1037">
          <cell r="A1037">
            <v>23414459</v>
          </cell>
          <cell r="B1037" t="str">
            <v>슈무엘 베일라시 계약서</v>
          </cell>
        </row>
        <row r="1038">
          <cell r="A1038">
            <v>23414460</v>
          </cell>
          <cell r="B1038" t="str">
            <v>시난 레이스 계약서</v>
          </cell>
        </row>
        <row r="1039">
          <cell r="A1039">
            <v>23414462</v>
          </cell>
          <cell r="B1039" t="str">
            <v>하산 아그하 계약서</v>
          </cell>
        </row>
        <row r="1040">
          <cell r="A1040">
            <v>23414463</v>
          </cell>
          <cell r="B1040" t="str">
            <v>무라트 레이스 계약서</v>
          </cell>
        </row>
        <row r="1041">
          <cell r="A1041">
            <v>23414464</v>
          </cell>
          <cell r="B1041" t="str">
            <v>히사카지마 야스케 계약서</v>
          </cell>
        </row>
        <row r="1042">
          <cell r="A1042">
            <v>23414465</v>
          </cell>
          <cell r="B1042" t="str">
            <v>후안 바스케스 계약서</v>
          </cell>
        </row>
        <row r="1043">
          <cell r="A1043">
            <v>23414466</v>
          </cell>
          <cell r="B1043" t="str">
            <v>알베로 스킬라치 계약서</v>
          </cell>
        </row>
        <row r="1044">
          <cell r="A1044">
            <v>23414468</v>
          </cell>
          <cell r="B1044" t="str">
            <v>모리스 드삭스 계약서</v>
          </cell>
        </row>
        <row r="1045">
          <cell r="A1045">
            <v>23414469</v>
          </cell>
          <cell r="B1045" t="str">
            <v>미령 계약서</v>
          </cell>
        </row>
        <row r="1046">
          <cell r="A1046">
            <v>23414470</v>
          </cell>
          <cell r="B1046" t="str">
            <v>홍보 계약서</v>
          </cell>
        </row>
        <row r="1047">
          <cell r="A1047">
            <v>23414471</v>
          </cell>
          <cell r="B1047" t="str">
            <v>주만 계약서</v>
          </cell>
        </row>
        <row r="1048">
          <cell r="A1048">
            <v>23414473</v>
          </cell>
          <cell r="B1048" t="str">
            <v>주문 계약서</v>
          </cell>
        </row>
        <row r="1049">
          <cell r="A1049">
            <v>23414474</v>
          </cell>
          <cell r="B1049" t="str">
            <v>양경 계약서</v>
          </cell>
        </row>
        <row r="1050">
          <cell r="A1050">
            <v>23414475</v>
          </cell>
          <cell r="B1050" t="str">
            <v>성춘향 계약서</v>
          </cell>
        </row>
        <row r="1051">
          <cell r="A1051">
            <v>23414476</v>
          </cell>
          <cell r="B1051" t="str">
            <v>이종무 계약서</v>
          </cell>
        </row>
        <row r="1052">
          <cell r="A1052">
            <v>23414477</v>
          </cell>
          <cell r="B1052" t="str">
            <v>고유강 계약서</v>
          </cell>
        </row>
        <row r="1053">
          <cell r="A1053">
            <v>23414478</v>
          </cell>
          <cell r="B1053" t="str">
            <v>마쓰라 다카노부 계약서</v>
          </cell>
        </row>
        <row r="1054">
          <cell r="A1054">
            <v>23414480</v>
          </cell>
          <cell r="B1054" t="str">
            <v>다가와 시치자에몬 계약서</v>
          </cell>
        </row>
        <row r="1055">
          <cell r="A1055">
            <v>23414481</v>
          </cell>
          <cell r="B1055" t="str">
            <v>알제우나 계약서</v>
          </cell>
        </row>
        <row r="1056">
          <cell r="A1056">
            <v>23414482</v>
          </cell>
          <cell r="B1056" t="str">
            <v>카를로타 계약서</v>
          </cell>
        </row>
        <row r="1057">
          <cell r="A1057">
            <v>23414483</v>
          </cell>
          <cell r="B1057" t="str">
            <v>마르코 계약서</v>
          </cell>
        </row>
        <row r="1058">
          <cell r="A1058">
            <v>23414484</v>
          </cell>
          <cell r="B1058" t="str">
            <v>콘라드 계약서</v>
          </cell>
        </row>
        <row r="1059">
          <cell r="A1059">
            <v>23414488</v>
          </cell>
          <cell r="B1059" t="str">
            <v>타라바이 계약서</v>
          </cell>
        </row>
        <row r="1060">
          <cell r="A1060">
            <v>23414489</v>
          </cell>
          <cell r="B1060" t="str">
            <v>잔 아셰트 계약서</v>
          </cell>
        </row>
        <row r="1061">
          <cell r="A1061">
            <v>23414490</v>
          </cell>
          <cell r="B1061" t="str">
            <v>엄영춘 계약서</v>
          </cell>
        </row>
        <row r="1062">
          <cell r="A1062">
            <v>23414491</v>
          </cell>
          <cell r="B1062" t="str">
            <v>안나 오커히엘름 계약서</v>
          </cell>
        </row>
        <row r="1063">
          <cell r="A1063">
            <v>23414492</v>
          </cell>
          <cell r="B1063" t="str">
            <v>툴리아 다라고나 계약서</v>
          </cell>
        </row>
        <row r="1064">
          <cell r="A1064">
            <v>23414493</v>
          </cell>
          <cell r="B1064" t="str">
            <v>프란체스카 카치니 계약서</v>
          </cell>
        </row>
        <row r="1065">
          <cell r="A1065">
            <v>23414494</v>
          </cell>
          <cell r="B1065" t="str">
            <v>아녜스 소렐 계약서</v>
          </cell>
        </row>
        <row r="1066">
          <cell r="A1066">
            <v>23414498</v>
          </cell>
          <cell r="B1066" t="str">
            <v>소포니스바 앙귀솔라 계약서</v>
          </cell>
        </row>
        <row r="1067">
          <cell r="A1067">
            <v>23414500</v>
          </cell>
          <cell r="B1067" t="str">
            <v>카산드라 페델레 계약서</v>
          </cell>
        </row>
        <row r="1068">
          <cell r="A1068">
            <v>23414501</v>
          </cell>
          <cell r="B1068" t="str">
            <v>아나 마리아 데소토 계약서</v>
          </cell>
        </row>
        <row r="1069">
          <cell r="A1069">
            <v>23414502</v>
          </cell>
          <cell r="B1069" t="str">
            <v>마리아 피타 계약서</v>
          </cell>
        </row>
        <row r="1070">
          <cell r="A1070">
            <v>23414506</v>
          </cell>
          <cell r="B1070" t="str">
            <v>루크레치아 토르나부오니 계약서</v>
          </cell>
        </row>
        <row r="1071">
          <cell r="A1071">
            <v>23414507</v>
          </cell>
          <cell r="B1071" t="str">
            <v>아그네스 베르나우어 계약서</v>
          </cell>
        </row>
        <row r="1072">
          <cell r="A1072">
            <v>23414508</v>
          </cell>
          <cell r="B1072" t="str">
            <v>로드리고 데콜메나레스 계약서</v>
          </cell>
        </row>
        <row r="1073">
          <cell r="A1073">
            <v>23414509</v>
          </cell>
          <cell r="B1073" t="str">
            <v>아즈비케 계약서</v>
          </cell>
        </row>
        <row r="1074">
          <cell r="A1074">
            <v>23414510</v>
          </cell>
          <cell r="B1074" t="str">
            <v>파우라 계약서</v>
          </cell>
        </row>
        <row r="1075">
          <cell r="A1075">
            <v>23414511</v>
          </cell>
          <cell r="B1075" t="str">
            <v>카츄아파 계약서</v>
          </cell>
        </row>
        <row r="1076">
          <cell r="A1076">
            <v>23414512</v>
          </cell>
          <cell r="B1076" t="str">
            <v>죽음의 신 루돌프 계약서</v>
          </cell>
        </row>
        <row r="1077">
          <cell r="A1077">
            <v>23414513</v>
          </cell>
          <cell r="B1077" t="str">
            <v>티노카틀 계약서</v>
          </cell>
        </row>
        <row r="1078">
          <cell r="A1078">
            <v>23414514</v>
          </cell>
          <cell r="B1078" t="str">
            <v>로베르토 에제키엘 계약서</v>
          </cell>
        </row>
        <row r="1079">
          <cell r="A1079">
            <v>23414515</v>
          </cell>
          <cell r="B1079" t="str">
            <v>알베르트 계약서</v>
          </cell>
        </row>
        <row r="1080">
          <cell r="A1080">
            <v>23414516</v>
          </cell>
          <cell r="B1080" t="str">
            <v>조커 다실버 계약서</v>
          </cell>
        </row>
        <row r="1081">
          <cell r="A1081">
            <v>23414517</v>
          </cell>
          <cell r="B1081" t="str">
            <v>아르드비 계약서</v>
          </cell>
        </row>
        <row r="1082">
          <cell r="A1082">
            <v>23414518</v>
          </cell>
          <cell r="B1082" t="str">
            <v>크리스티나 계약서</v>
          </cell>
        </row>
        <row r="1083">
          <cell r="A1083">
            <v>23414519</v>
          </cell>
          <cell r="B1083" t="str">
            <v>시오미 후우키치 계약서</v>
          </cell>
        </row>
        <row r="1084">
          <cell r="A1084">
            <v>23414520</v>
          </cell>
          <cell r="B1084" t="str">
            <v>공손포월 계약서</v>
          </cell>
        </row>
        <row r="1085">
          <cell r="A1085">
            <v>23414521</v>
          </cell>
          <cell r="B1085" t="str">
            <v>귈리스탄 계약서</v>
          </cell>
        </row>
        <row r="1086">
          <cell r="A1086">
            <v>23414522</v>
          </cell>
          <cell r="B1086" t="str">
            <v>사파 계약서</v>
          </cell>
        </row>
        <row r="1087">
          <cell r="A1087">
            <v>23420000</v>
          </cell>
          <cell r="B1087" t="str">
            <v>카모마일차</v>
          </cell>
        </row>
        <row r="1088">
          <cell r="A1088">
            <v>23420001</v>
          </cell>
          <cell r="B1088" t="str">
            <v>히비스커스차</v>
          </cell>
        </row>
        <row r="1089">
          <cell r="A1089">
            <v>23420002</v>
          </cell>
          <cell r="B1089" t="str">
            <v>라벤더차</v>
          </cell>
        </row>
        <row r="1090">
          <cell r="A1090">
            <v>23420003</v>
          </cell>
          <cell r="B1090" t="str">
            <v>장미차</v>
          </cell>
        </row>
        <row r="1091">
          <cell r="A1091">
            <v>23420004</v>
          </cell>
          <cell r="B1091" t="str">
            <v>도자기 술잔</v>
          </cell>
        </row>
        <row r="1092">
          <cell r="A1092">
            <v>23420005</v>
          </cell>
          <cell r="B1092" t="str">
            <v>도자기 접시</v>
          </cell>
        </row>
        <row r="1093">
          <cell r="A1093">
            <v>23420006</v>
          </cell>
          <cell r="B1093" t="str">
            <v>도자기 꽃병</v>
          </cell>
        </row>
        <row r="1094">
          <cell r="A1094">
            <v>23420007</v>
          </cell>
          <cell r="B1094" t="str">
            <v>도자기 주전자</v>
          </cell>
        </row>
        <row r="1095">
          <cell r="A1095">
            <v>23420008</v>
          </cell>
          <cell r="B1095" t="str">
            <v>리넨 손수건</v>
          </cell>
        </row>
        <row r="1096">
          <cell r="A1096">
            <v>23420009</v>
          </cell>
          <cell r="B1096" t="str">
            <v>자수 손수건</v>
          </cell>
        </row>
        <row r="1097">
          <cell r="A1097">
            <v>23420010</v>
          </cell>
          <cell r="B1097" t="str">
            <v>비단 손수건</v>
          </cell>
        </row>
        <row r="1098">
          <cell r="A1098">
            <v>23420011</v>
          </cell>
          <cell r="B1098" t="str">
            <v>금나비 손수건</v>
          </cell>
        </row>
        <row r="1099">
          <cell r="A1099">
            <v>23420012</v>
          </cell>
          <cell r="B1099" t="str">
            <v>양갱</v>
          </cell>
        </row>
        <row r="1100">
          <cell r="A1100">
            <v>23420013</v>
          </cell>
          <cell r="B1100" t="str">
            <v>셈라</v>
          </cell>
        </row>
        <row r="1101">
          <cell r="A1101">
            <v>23420014</v>
          </cell>
          <cell r="B1101" t="str">
            <v>슈네발</v>
          </cell>
        </row>
        <row r="1102">
          <cell r="A1102">
            <v>23420015</v>
          </cell>
          <cell r="B1102" t="str">
            <v>딸기 타르트</v>
          </cell>
        </row>
        <row r="1103">
          <cell r="A1103">
            <v>23420016</v>
          </cell>
          <cell r="B1103" t="str">
            <v>난초 그림 부채</v>
          </cell>
        </row>
        <row r="1104">
          <cell r="A1104">
            <v>23420017</v>
          </cell>
          <cell r="B1104" t="str">
            <v>파초선</v>
          </cell>
        </row>
        <row r="1105">
          <cell r="A1105">
            <v>23420018</v>
          </cell>
          <cell r="B1105" t="str">
            <v>비단 부채</v>
          </cell>
        </row>
        <row r="1106">
          <cell r="A1106">
            <v>23420019</v>
          </cell>
          <cell r="B1106" t="str">
            <v>깃털 부채</v>
          </cell>
        </row>
        <row r="1107">
          <cell r="A1107">
            <v>23420020</v>
          </cell>
          <cell r="B1107" t="str">
            <v>지중해의 모험</v>
          </cell>
        </row>
        <row r="1108">
          <cell r="A1108">
            <v>23420021</v>
          </cell>
          <cell r="B1108" t="str">
            <v>인도의 신비를 찾아서</v>
          </cell>
        </row>
        <row r="1109">
          <cell r="A1109">
            <v>23420022</v>
          </cell>
          <cell r="B1109" t="str">
            <v>북극에서 살아남기</v>
          </cell>
        </row>
        <row r="1110">
          <cell r="A1110">
            <v>23420023</v>
          </cell>
          <cell r="B1110" t="str">
            <v>세계를 유랑하다</v>
          </cell>
        </row>
        <row r="1111">
          <cell r="A1111">
            <v>23420024</v>
          </cell>
          <cell r="B1111" t="str">
            <v>에메랄드 브로치</v>
          </cell>
        </row>
        <row r="1112">
          <cell r="A1112">
            <v>23420025</v>
          </cell>
          <cell r="B1112" t="str">
            <v>루비 브로치</v>
          </cell>
        </row>
        <row r="1113">
          <cell r="A1113">
            <v>23420026</v>
          </cell>
          <cell r="B1113" t="str">
            <v>사파이어 브로치</v>
          </cell>
        </row>
        <row r="1114">
          <cell r="A1114">
            <v>23420027</v>
          </cell>
          <cell r="B1114" t="str">
            <v>다이아몬드 브로치</v>
          </cell>
        </row>
        <row r="1115">
          <cell r="A1115">
            <v>23420028</v>
          </cell>
          <cell r="B1115" t="str">
            <v>마호가니 파이프</v>
          </cell>
        </row>
        <row r="1116">
          <cell r="A1116">
            <v>23420029</v>
          </cell>
          <cell r="B1116" t="str">
            <v>해포석 파이프</v>
          </cell>
        </row>
        <row r="1117">
          <cell r="A1117">
            <v>23420030</v>
          </cell>
          <cell r="B1117" t="str">
            <v>몰타 파이프</v>
          </cell>
        </row>
        <row r="1118">
          <cell r="A1118">
            <v>23420031</v>
          </cell>
          <cell r="B1118" t="str">
            <v>도자기 파이프</v>
          </cell>
        </row>
        <row r="1119">
          <cell r="A1119">
            <v>23420032</v>
          </cell>
          <cell r="B1119" t="str">
            <v>산수경석</v>
          </cell>
        </row>
        <row r="1120">
          <cell r="A1120">
            <v>23420033</v>
          </cell>
          <cell r="B1120" t="str">
            <v>옥 거북이</v>
          </cell>
        </row>
        <row r="1121">
          <cell r="A1121">
            <v>23420034</v>
          </cell>
          <cell r="B1121" t="str">
            <v>황금 라마</v>
          </cell>
        </row>
        <row r="1122">
          <cell r="A1122">
            <v>23420035</v>
          </cell>
          <cell r="B1122" t="str">
            <v>칠보 향로</v>
          </cell>
        </row>
        <row r="1123">
          <cell r="A1123">
            <v>23420036</v>
          </cell>
          <cell r="B1123" t="str">
            <v>일기장</v>
          </cell>
        </row>
        <row r="1124">
          <cell r="A1124">
            <v>23420037</v>
          </cell>
          <cell r="B1124" t="str">
            <v>고급 일기장</v>
          </cell>
        </row>
        <row r="1125">
          <cell r="A1125">
            <v>23420038</v>
          </cell>
          <cell r="B1125" t="str">
            <v>문구 세트</v>
          </cell>
        </row>
        <row r="1126">
          <cell r="A1126">
            <v>23420039</v>
          </cell>
          <cell r="B1126" t="str">
            <v>고급 문구 세트</v>
          </cell>
        </row>
        <row r="1127">
          <cell r="A1127">
            <v>23421000</v>
          </cell>
          <cell r="B1127" t="str">
            <v>기상도</v>
          </cell>
        </row>
        <row r="1128">
          <cell r="A1128">
            <v>23421001</v>
          </cell>
          <cell r="B1128" t="str">
            <v>평면도</v>
          </cell>
        </row>
        <row r="1129">
          <cell r="A1129">
            <v>23421002</v>
          </cell>
          <cell r="B1129" t="str">
            <v>도시 지형도</v>
          </cell>
        </row>
        <row r="1130">
          <cell r="A1130">
            <v>23421003</v>
          </cell>
          <cell r="B1130" t="str">
            <v>마을 지도</v>
          </cell>
        </row>
        <row r="1131">
          <cell r="A1131">
            <v>23421004</v>
          </cell>
          <cell r="B1131" t="str">
            <v>화석 조각</v>
          </cell>
        </row>
        <row r="1132">
          <cell r="A1132">
            <v>23421005</v>
          </cell>
          <cell r="B1132" t="str">
            <v>편마암</v>
          </cell>
        </row>
        <row r="1133">
          <cell r="A1133">
            <v>23421006</v>
          </cell>
          <cell r="B1133" t="str">
            <v>사암</v>
          </cell>
        </row>
        <row r="1134">
          <cell r="A1134">
            <v>23421007</v>
          </cell>
          <cell r="B1134" t="str">
            <v>석회암</v>
          </cell>
        </row>
        <row r="1135">
          <cell r="A1135">
            <v>23421008</v>
          </cell>
          <cell r="B1135" t="str">
            <v>대리암</v>
          </cell>
        </row>
        <row r="1136">
          <cell r="A1136">
            <v>23421009</v>
          </cell>
          <cell r="B1136" t="str">
            <v>물형석</v>
          </cell>
        </row>
        <row r="1137">
          <cell r="A1137">
            <v>23421010</v>
          </cell>
          <cell r="B1137" t="str">
            <v>무늬석</v>
          </cell>
        </row>
        <row r="1138">
          <cell r="A1138">
            <v>23421011</v>
          </cell>
          <cell r="B1138" t="str">
            <v>색채석</v>
          </cell>
        </row>
        <row r="1139">
          <cell r="A1139">
            <v>23421012</v>
          </cell>
          <cell r="B1139" t="str">
            <v>반귀석</v>
          </cell>
        </row>
        <row r="1140">
          <cell r="A1140">
            <v>23421013</v>
          </cell>
          <cell r="B1140" t="str">
            <v>신기한 발톱</v>
          </cell>
        </row>
        <row r="1141">
          <cell r="A1141">
            <v>23421014</v>
          </cell>
          <cell r="B1141" t="str">
            <v>깨끗한 허물</v>
          </cell>
        </row>
        <row r="1142">
          <cell r="A1142">
            <v>23421015</v>
          </cell>
          <cell r="B1142" t="str">
            <v>위험한 독니</v>
          </cell>
        </row>
        <row r="1143">
          <cell r="A1143">
            <v>23421016</v>
          </cell>
          <cell r="B1143" t="str">
            <v>파충류 비늘</v>
          </cell>
        </row>
        <row r="1144">
          <cell r="A1144">
            <v>23421017</v>
          </cell>
          <cell r="B1144" t="str">
            <v>지느러미</v>
          </cell>
        </row>
        <row r="1145">
          <cell r="A1145">
            <v>23421018</v>
          </cell>
          <cell r="B1145" t="str">
            <v>어묵</v>
          </cell>
        </row>
        <row r="1146">
          <cell r="A1146">
            <v>23421019</v>
          </cell>
          <cell r="B1146" t="str">
            <v>바닷가재</v>
          </cell>
        </row>
        <row r="1147">
          <cell r="A1147">
            <v>23421020</v>
          </cell>
          <cell r="B1147" t="str">
            <v>조개껍질</v>
          </cell>
        </row>
        <row r="1148">
          <cell r="A1148">
            <v>23421021</v>
          </cell>
          <cell r="B1148" t="str">
            <v>불가사리</v>
          </cell>
        </row>
        <row r="1149">
          <cell r="A1149">
            <v>23421022</v>
          </cell>
          <cell r="B1149" t="str">
            <v>작가 미상 그림</v>
          </cell>
        </row>
        <row r="1150">
          <cell r="A1150">
            <v>23421023</v>
          </cell>
          <cell r="B1150" t="str">
            <v>작가 미상 조각</v>
          </cell>
        </row>
        <row r="1151">
          <cell r="A1151">
            <v>23421024</v>
          </cell>
          <cell r="B1151" t="str">
            <v>부서진 성물</v>
          </cell>
        </row>
        <row r="1152">
          <cell r="A1152">
            <v>23421025</v>
          </cell>
          <cell r="B1152" t="str">
            <v>항구 견문록</v>
          </cell>
        </row>
        <row r="1153">
          <cell r="A1153">
            <v>23421026</v>
          </cell>
          <cell r="B1153" t="str">
            <v>마을 견문록</v>
          </cell>
        </row>
        <row r="1154">
          <cell r="A1154">
            <v>23421027</v>
          </cell>
          <cell r="B1154" t="str">
            <v>최하급 모험 임명장</v>
          </cell>
        </row>
        <row r="1155">
          <cell r="A1155">
            <v>23421028</v>
          </cell>
          <cell r="B1155" t="str">
            <v>하급 모험 임명장</v>
          </cell>
        </row>
        <row r="1156">
          <cell r="A1156">
            <v>23421029</v>
          </cell>
          <cell r="B1156" t="str">
            <v>중급 모험 임명장</v>
          </cell>
        </row>
        <row r="1157">
          <cell r="A1157">
            <v>23421030</v>
          </cell>
          <cell r="B1157" t="str">
            <v>상급 모험 임명장</v>
          </cell>
        </row>
        <row r="1158">
          <cell r="A1158">
            <v>23421031</v>
          </cell>
          <cell r="B1158" t="str">
            <v>최상급 모험 임명장</v>
          </cell>
        </row>
        <row r="1159">
          <cell r="A1159">
            <v>23421032</v>
          </cell>
          <cell r="B1159" t="str">
            <v>최하급 교역 임명장</v>
          </cell>
        </row>
        <row r="1160">
          <cell r="A1160">
            <v>23421033</v>
          </cell>
          <cell r="B1160" t="str">
            <v>하급 교역 임명장</v>
          </cell>
        </row>
        <row r="1161">
          <cell r="A1161">
            <v>23421034</v>
          </cell>
          <cell r="B1161" t="str">
            <v>중급 교역 임명장</v>
          </cell>
        </row>
        <row r="1162">
          <cell r="A1162">
            <v>23421035</v>
          </cell>
          <cell r="B1162" t="str">
            <v>상급 교역 임명장</v>
          </cell>
        </row>
        <row r="1163">
          <cell r="A1163">
            <v>23421036</v>
          </cell>
          <cell r="B1163" t="str">
            <v>최상급 교역 임명장</v>
          </cell>
        </row>
        <row r="1164">
          <cell r="A1164">
            <v>23421037</v>
          </cell>
          <cell r="B1164" t="str">
            <v>최하급 전투 임명장</v>
          </cell>
        </row>
        <row r="1165">
          <cell r="A1165">
            <v>23421038</v>
          </cell>
          <cell r="B1165" t="str">
            <v>하급 전투 임명장</v>
          </cell>
        </row>
        <row r="1166">
          <cell r="A1166">
            <v>23421039</v>
          </cell>
          <cell r="B1166" t="str">
            <v>중급 전투 임명장</v>
          </cell>
        </row>
        <row r="1167">
          <cell r="A1167">
            <v>23421040</v>
          </cell>
          <cell r="B1167" t="str">
            <v>상급 전투 임명장</v>
          </cell>
        </row>
        <row r="1168">
          <cell r="A1168">
            <v>23421041</v>
          </cell>
          <cell r="B1168" t="str">
            <v>최상급 전투 임명장</v>
          </cell>
        </row>
        <row r="1169">
          <cell r="A1169">
            <v>23421042</v>
          </cell>
          <cell r="B1169" t="str">
            <v>초급 포격술 교본</v>
          </cell>
        </row>
        <row r="1170">
          <cell r="A1170">
            <v>23421043</v>
          </cell>
          <cell r="B1170" t="str">
            <v>중급 포격술 교본</v>
          </cell>
        </row>
        <row r="1171">
          <cell r="A1171">
            <v>23421044</v>
          </cell>
          <cell r="B1171" t="str">
            <v>고급 포격술 교본</v>
          </cell>
        </row>
        <row r="1172">
          <cell r="A1172">
            <v>23421045</v>
          </cell>
          <cell r="B1172" t="str">
            <v>최고급 포격술 교본</v>
          </cell>
        </row>
        <row r="1173">
          <cell r="A1173">
            <v>23421046</v>
          </cell>
          <cell r="B1173" t="str">
            <v>초급 백병술 교본</v>
          </cell>
        </row>
        <row r="1174">
          <cell r="A1174">
            <v>23421047</v>
          </cell>
          <cell r="B1174" t="str">
            <v>중급 백병술 교본</v>
          </cell>
        </row>
        <row r="1175">
          <cell r="A1175">
            <v>23421048</v>
          </cell>
          <cell r="B1175" t="str">
            <v>고급 백병술 교본</v>
          </cell>
        </row>
        <row r="1176">
          <cell r="A1176">
            <v>23421049</v>
          </cell>
          <cell r="B1176" t="str">
            <v>최고급 백병술 교본</v>
          </cell>
        </row>
        <row r="1177">
          <cell r="A1177">
            <v>23421050</v>
          </cell>
          <cell r="B1177" t="str">
            <v>초급 충파술 교본</v>
          </cell>
        </row>
        <row r="1178">
          <cell r="A1178">
            <v>23421051</v>
          </cell>
          <cell r="B1178" t="str">
            <v>중급 충파술 교본</v>
          </cell>
        </row>
        <row r="1179">
          <cell r="A1179">
            <v>23421052</v>
          </cell>
          <cell r="B1179" t="str">
            <v>고급 충파술 교본</v>
          </cell>
        </row>
        <row r="1180">
          <cell r="A1180">
            <v>23421053</v>
          </cell>
          <cell r="B1180" t="str">
            <v>최고급 충파술 교본</v>
          </cell>
        </row>
        <row r="1181">
          <cell r="A1181">
            <v>23421054</v>
          </cell>
          <cell r="B1181" t="str">
            <v>초급 지원술 교본</v>
          </cell>
        </row>
        <row r="1182">
          <cell r="A1182">
            <v>23421055</v>
          </cell>
          <cell r="B1182" t="str">
            <v>중급 지원술 교본</v>
          </cell>
        </row>
        <row r="1183">
          <cell r="A1183">
            <v>23421056</v>
          </cell>
          <cell r="B1183" t="str">
            <v>고급 지원술 교본</v>
          </cell>
        </row>
        <row r="1184">
          <cell r="A1184">
            <v>23421057</v>
          </cell>
          <cell r="B1184" t="str">
            <v>최고급 지원술 교본</v>
          </cell>
        </row>
        <row r="1185">
          <cell r="A1185">
            <v>23421058</v>
          </cell>
          <cell r="B1185" t="str">
            <v>초급 보급법 교본</v>
          </cell>
        </row>
        <row r="1186">
          <cell r="A1186">
            <v>23421059</v>
          </cell>
          <cell r="B1186" t="str">
            <v>중급 보급법 교본</v>
          </cell>
        </row>
        <row r="1187">
          <cell r="A1187">
            <v>23421060</v>
          </cell>
          <cell r="B1187" t="str">
            <v>고급 보급법 교본</v>
          </cell>
        </row>
        <row r="1188">
          <cell r="A1188">
            <v>23421061</v>
          </cell>
          <cell r="B1188" t="str">
            <v>최고급 보급법 교본</v>
          </cell>
        </row>
        <row r="1189">
          <cell r="A1189">
            <v>23421062</v>
          </cell>
          <cell r="B1189" t="str">
            <v>초급 척후법 교본</v>
          </cell>
        </row>
        <row r="1190">
          <cell r="A1190">
            <v>23421063</v>
          </cell>
          <cell r="B1190" t="str">
            <v>중급 척후법 교본</v>
          </cell>
        </row>
        <row r="1191">
          <cell r="A1191">
            <v>23421064</v>
          </cell>
          <cell r="B1191" t="str">
            <v>고급 척후법 교본</v>
          </cell>
        </row>
        <row r="1192">
          <cell r="A1192">
            <v>23421065</v>
          </cell>
          <cell r="B1192" t="str">
            <v>최고급 척후법 교본</v>
          </cell>
        </row>
        <row r="1193">
          <cell r="A1193">
            <v>23421066</v>
          </cell>
          <cell r="B1193" t="str">
            <v>초급 박물학 교본</v>
          </cell>
        </row>
        <row r="1194">
          <cell r="A1194">
            <v>23421067</v>
          </cell>
          <cell r="B1194" t="str">
            <v>중급 박물학 교본</v>
          </cell>
        </row>
        <row r="1195">
          <cell r="A1195">
            <v>23421068</v>
          </cell>
          <cell r="B1195" t="str">
            <v>고급 박물학 교본</v>
          </cell>
        </row>
        <row r="1196">
          <cell r="A1196">
            <v>23421069</v>
          </cell>
          <cell r="B1196" t="str">
            <v>최고급 박물학 교본</v>
          </cell>
        </row>
        <row r="1197">
          <cell r="A1197">
            <v>23421070</v>
          </cell>
          <cell r="B1197" t="str">
            <v>초급 심미학 교본</v>
          </cell>
        </row>
        <row r="1198">
          <cell r="A1198">
            <v>23421071</v>
          </cell>
          <cell r="B1198" t="str">
            <v>중급 심미학 교본</v>
          </cell>
        </row>
        <row r="1199">
          <cell r="A1199">
            <v>23421072</v>
          </cell>
          <cell r="B1199" t="str">
            <v>고급 심미학 교본</v>
          </cell>
        </row>
        <row r="1200">
          <cell r="A1200">
            <v>23421073</v>
          </cell>
          <cell r="B1200" t="str">
            <v>최고급 심미학 교본</v>
          </cell>
        </row>
        <row r="1201">
          <cell r="A1201">
            <v>23421074</v>
          </cell>
          <cell r="B1201" t="str">
            <v>초급 구매 전략 교본</v>
          </cell>
        </row>
        <row r="1202">
          <cell r="A1202">
            <v>23421075</v>
          </cell>
          <cell r="B1202" t="str">
            <v>중급 구매 전략 교본</v>
          </cell>
        </row>
        <row r="1203">
          <cell r="A1203">
            <v>23421076</v>
          </cell>
          <cell r="B1203" t="str">
            <v>고급 구매 전략 교본</v>
          </cell>
        </row>
        <row r="1204">
          <cell r="A1204">
            <v>23421077</v>
          </cell>
          <cell r="B1204" t="str">
            <v>최고급 구매 전략 교본</v>
          </cell>
        </row>
        <row r="1205">
          <cell r="A1205">
            <v>23421078</v>
          </cell>
          <cell r="B1205" t="str">
            <v>초급 판매 전략 교본</v>
          </cell>
        </row>
        <row r="1206">
          <cell r="A1206">
            <v>23421079</v>
          </cell>
          <cell r="B1206" t="str">
            <v>중급 판매 전략 교본</v>
          </cell>
        </row>
        <row r="1207">
          <cell r="A1207">
            <v>23421080</v>
          </cell>
          <cell r="B1207" t="str">
            <v>고급 판매 전략 교본</v>
          </cell>
        </row>
        <row r="1208">
          <cell r="A1208">
            <v>23421081</v>
          </cell>
          <cell r="B1208" t="str">
            <v>최고급 판매 전략 교본</v>
          </cell>
        </row>
        <row r="1209">
          <cell r="A1209">
            <v>23421082</v>
          </cell>
          <cell r="B1209" t="str">
            <v>초급 협상 전략 교본</v>
          </cell>
        </row>
        <row r="1210">
          <cell r="A1210">
            <v>23421083</v>
          </cell>
          <cell r="B1210" t="str">
            <v>중급 협상 전략 교본</v>
          </cell>
        </row>
        <row r="1211">
          <cell r="A1211">
            <v>23421084</v>
          </cell>
          <cell r="B1211" t="str">
            <v>고급 협상 전략 교본</v>
          </cell>
        </row>
        <row r="1212">
          <cell r="A1212">
            <v>23421085</v>
          </cell>
          <cell r="B1212" t="str">
            <v>최고급 협상 전략 교본</v>
          </cell>
        </row>
        <row r="1213">
          <cell r="A1213">
            <v>23421086</v>
          </cell>
          <cell r="B1213" t="str">
            <v>초급 교환 전략 교본</v>
          </cell>
        </row>
        <row r="1214">
          <cell r="A1214">
            <v>23421087</v>
          </cell>
          <cell r="B1214" t="str">
            <v>중급 교환 전략 교본</v>
          </cell>
        </row>
        <row r="1215">
          <cell r="A1215">
            <v>23421088</v>
          </cell>
          <cell r="B1215" t="str">
            <v>고급 교환 전략 교본</v>
          </cell>
        </row>
        <row r="1216">
          <cell r="A1216">
            <v>23421089</v>
          </cell>
          <cell r="B1216" t="str">
            <v>최고급 교환 전략 교본</v>
          </cell>
        </row>
        <row r="1217">
          <cell r="A1217">
            <v>23421090</v>
          </cell>
          <cell r="B1217" t="str">
            <v>낡은 상자</v>
          </cell>
        </row>
        <row r="1218">
          <cell r="A1218">
            <v>23421091</v>
          </cell>
          <cell r="B1218" t="str">
            <v>토벌령</v>
          </cell>
        </row>
        <row r="1219">
          <cell r="A1219">
            <v>23430000</v>
          </cell>
          <cell r="B1219" t="str">
            <v>[대표]도면</v>
          </cell>
        </row>
        <row r="1220">
          <cell r="A1220">
            <v>23430001</v>
          </cell>
          <cell r="B1220" t="str">
            <v>[대표]건조 재료</v>
          </cell>
        </row>
        <row r="1221">
          <cell r="A1221">
            <v>23430002</v>
          </cell>
          <cell r="B1221" t="str">
            <v>[대표]장비</v>
          </cell>
        </row>
        <row r="1222">
          <cell r="A1222">
            <v>23430003</v>
          </cell>
          <cell r="B1222" t="str">
            <v>[대표]부품</v>
          </cell>
        </row>
        <row r="1223">
          <cell r="A1223">
            <v>23430004</v>
          </cell>
          <cell r="B1223" t="str">
            <v>[대표]승급 재료</v>
          </cell>
        </row>
        <row r="1224">
          <cell r="A1224">
            <v>23430005</v>
          </cell>
          <cell r="B1224" t="str">
            <v>[대표]항해사 선물</v>
          </cell>
        </row>
        <row r="1225">
          <cell r="A1225">
            <v>23430006</v>
          </cell>
          <cell r="B1225" t="str">
            <v>[대표]특수 자원</v>
          </cell>
        </row>
        <row r="1226">
          <cell r="A1226">
            <v>23430007</v>
          </cell>
          <cell r="B1226" t="str">
            <v>[대표]계약서</v>
          </cell>
        </row>
        <row r="1227">
          <cell r="A1227">
            <v>23500001</v>
          </cell>
          <cell r="B1227" t="str">
            <v>상자 열쇠</v>
          </cell>
        </row>
        <row r="1228">
          <cell r="A1228">
            <v>23500002</v>
          </cell>
          <cell r="B1228" t="str">
            <v>정기선 탑승권</v>
          </cell>
        </row>
        <row r="1229">
          <cell r="A1229">
            <v>23500003</v>
          </cell>
          <cell r="B1229" t="str">
            <v>정기선 탑승권 (거래 불가)</v>
          </cell>
        </row>
        <row r="1230">
          <cell r="A1230">
            <v>23500004</v>
          </cell>
          <cell r="B1230" t="str">
            <v>고용 가속권 5분</v>
          </cell>
        </row>
        <row r="1231">
          <cell r="A1231">
            <v>23500005</v>
          </cell>
          <cell r="B1231" t="str">
            <v>고용 가속권 10분</v>
          </cell>
        </row>
        <row r="1232">
          <cell r="A1232">
            <v>23500006</v>
          </cell>
          <cell r="B1232" t="str">
            <v>고용 가속권 30분</v>
          </cell>
        </row>
        <row r="1233">
          <cell r="A1233">
            <v>23500007</v>
          </cell>
          <cell r="B1233" t="str">
            <v>고용 가속권 1시간</v>
          </cell>
        </row>
        <row r="1234">
          <cell r="A1234">
            <v>23500008</v>
          </cell>
          <cell r="B1234" t="str">
            <v>고용 가속권 6시간</v>
          </cell>
        </row>
        <row r="1235">
          <cell r="A1235">
            <v>23500009</v>
          </cell>
          <cell r="B1235" t="str">
            <v>고용 가속권 1일</v>
          </cell>
        </row>
        <row r="1236">
          <cell r="A1236">
            <v>23500010</v>
          </cell>
          <cell r="B1236" t="str">
            <v>격려 가속권 5분</v>
          </cell>
        </row>
        <row r="1237">
          <cell r="A1237">
            <v>23500011</v>
          </cell>
          <cell r="B1237" t="str">
            <v>격려 가속권 10분</v>
          </cell>
        </row>
        <row r="1238">
          <cell r="A1238">
            <v>23500012</v>
          </cell>
          <cell r="B1238" t="str">
            <v>격려 가속권 30분</v>
          </cell>
        </row>
        <row r="1239">
          <cell r="A1239">
            <v>23500013</v>
          </cell>
          <cell r="B1239" t="str">
            <v>격려 가속권 1시간</v>
          </cell>
        </row>
        <row r="1240">
          <cell r="A1240">
            <v>23500014</v>
          </cell>
          <cell r="B1240" t="str">
            <v>격려 가속권 6시간</v>
          </cell>
        </row>
        <row r="1241">
          <cell r="A1241">
            <v>23500015</v>
          </cell>
          <cell r="B1241" t="str">
            <v>격려 가속권 1일</v>
          </cell>
        </row>
        <row r="1242">
          <cell r="A1242">
            <v>23500016</v>
          </cell>
          <cell r="B1242" t="str">
            <v>건조 가속권 5분</v>
          </cell>
        </row>
        <row r="1243">
          <cell r="A1243">
            <v>23500017</v>
          </cell>
          <cell r="B1243" t="str">
            <v>건조 가속권 10분</v>
          </cell>
        </row>
        <row r="1244">
          <cell r="A1244">
            <v>23500018</v>
          </cell>
          <cell r="B1244" t="str">
            <v>건조 가속권 30분</v>
          </cell>
        </row>
        <row r="1245">
          <cell r="A1245">
            <v>23500019</v>
          </cell>
          <cell r="B1245" t="str">
            <v>건조 가속권 1시간</v>
          </cell>
        </row>
        <row r="1246">
          <cell r="A1246">
            <v>23500020</v>
          </cell>
          <cell r="B1246" t="str">
            <v>건조 가속권 6시간</v>
          </cell>
        </row>
        <row r="1247">
          <cell r="A1247">
            <v>23500021</v>
          </cell>
          <cell r="B1247" t="str">
            <v>건조 가속권 1일</v>
          </cell>
        </row>
        <row r="1248">
          <cell r="A1248">
            <v>23500022</v>
          </cell>
          <cell r="B1248" t="str">
            <v>승급 가속권 5분</v>
          </cell>
        </row>
        <row r="1249">
          <cell r="A1249">
            <v>23500023</v>
          </cell>
          <cell r="B1249" t="str">
            <v>승급 가속권 10분</v>
          </cell>
        </row>
        <row r="1250">
          <cell r="A1250">
            <v>23500024</v>
          </cell>
          <cell r="B1250" t="str">
            <v>승급 가속권 30분</v>
          </cell>
        </row>
        <row r="1251">
          <cell r="A1251">
            <v>23500025</v>
          </cell>
          <cell r="B1251" t="str">
            <v>승급 가속권 1시간</v>
          </cell>
        </row>
        <row r="1252">
          <cell r="A1252">
            <v>23500026</v>
          </cell>
          <cell r="B1252" t="str">
            <v>승급 가속권 6시간</v>
          </cell>
        </row>
        <row r="1253">
          <cell r="A1253">
            <v>23500027</v>
          </cell>
          <cell r="B1253" t="str">
            <v>승급 가속권 1일</v>
          </cell>
        </row>
        <row r="1254">
          <cell r="A1254">
            <v>23500028</v>
          </cell>
          <cell r="B1254" t="str">
            <v>학습 가속권 5분</v>
          </cell>
        </row>
        <row r="1255">
          <cell r="A1255">
            <v>23500029</v>
          </cell>
          <cell r="B1255" t="str">
            <v>학습 가속권 10분</v>
          </cell>
        </row>
        <row r="1256">
          <cell r="A1256">
            <v>23500030</v>
          </cell>
          <cell r="B1256" t="str">
            <v>학습 가속권 30분</v>
          </cell>
        </row>
        <row r="1257">
          <cell r="A1257">
            <v>23500031</v>
          </cell>
          <cell r="B1257" t="str">
            <v>학습 가속권 1시간</v>
          </cell>
        </row>
        <row r="1258">
          <cell r="A1258">
            <v>23500032</v>
          </cell>
          <cell r="B1258" t="str">
            <v>학습 가속권 6시간</v>
          </cell>
        </row>
        <row r="1259">
          <cell r="A1259">
            <v>23500033</v>
          </cell>
          <cell r="B1259" t="str">
            <v>학습 가속권 1일</v>
          </cell>
        </row>
        <row r="1260">
          <cell r="A1260">
            <v>23500034</v>
          </cell>
          <cell r="B1260" t="str">
            <v>제작 가속권 5분</v>
          </cell>
        </row>
        <row r="1261">
          <cell r="A1261">
            <v>23500035</v>
          </cell>
          <cell r="B1261" t="str">
            <v>제작 가속권 10분</v>
          </cell>
        </row>
        <row r="1262">
          <cell r="A1262">
            <v>23500036</v>
          </cell>
          <cell r="B1262" t="str">
            <v>제작 가속권 30분</v>
          </cell>
        </row>
        <row r="1263">
          <cell r="A1263">
            <v>23500037</v>
          </cell>
          <cell r="B1263" t="str">
            <v>제작 가속권 1시간</v>
          </cell>
        </row>
        <row r="1264">
          <cell r="A1264">
            <v>23500038</v>
          </cell>
          <cell r="B1264" t="str">
            <v>제작 가속권 6시간</v>
          </cell>
        </row>
        <row r="1265">
          <cell r="A1265">
            <v>23500039</v>
          </cell>
          <cell r="B1265" t="str">
            <v>제작 가속권 1일</v>
          </cell>
        </row>
        <row r="1266">
          <cell r="A1266">
            <v>23550001</v>
          </cell>
          <cell r="B1266" t="str">
            <v>C급 장비 의뢰서</v>
          </cell>
        </row>
        <row r="1267">
          <cell r="A1267">
            <v>23550002</v>
          </cell>
          <cell r="B1267" t="str">
            <v>C급 녹색 광석</v>
          </cell>
        </row>
        <row r="1268">
          <cell r="A1268">
            <v>23550003</v>
          </cell>
          <cell r="B1268" t="str">
            <v>C급 푸른색 광석</v>
          </cell>
        </row>
        <row r="1269">
          <cell r="A1269">
            <v>23550004</v>
          </cell>
          <cell r="B1269" t="str">
            <v>C급 붉은색 광석</v>
          </cell>
        </row>
        <row r="1270">
          <cell r="A1270">
            <v>23550005</v>
          </cell>
          <cell r="B1270" t="str">
            <v>B급 장비 의뢰서</v>
          </cell>
        </row>
        <row r="1271">
          <cell r="A1271">
            <v>23550006</v>
          </cell>
          <cell r="B1271" t="str">
            <v>B급 녹색 광석</v>
          </cell>
        </row>
        <row r="1272">
          <cell r="A1272">
            <v>23550007</v>
          </cell>
          <cell r="B1272" t="str">
            <v>B급 푸른색 광석</v>
          </cell>
        </row>
        <row r="1273">
          <cell r="A1273">
            <v>23550008</v>
          </cell>
          <cell r="B1273" t="str">
            <v>B급 붉은색 광석</v>
          </cell>
        </row>
        <row r="1274">
          <cell r="A1274">
            <v>23550009</v>
          </cell>
          <cell r="B1274" t="str">
            <v>A급 장비 의뢰서</v>
          </cell>
        </row>
        <row r="1275">
          <cell r="A1275">
            <v>23550010</v>
          </cell>
          <cell r="B1275" t="str">
            <v>A급 녹색 광석</v>
          </cell>
        </row>
        <row r="1276">
          <cell r="A1276">
            <v>23550011</v>
          </cell>
          <cell r="B1276" t="str">
            <v>A급 푸른색 광석</v>
          </cell>
        </row>
        <row r="1277">
          <cell r="A1277">
            <v>23550012</v>
          </cell>
          <cell r="B1277" t="str">
            <v>A급 붉은색 광석</v>
          </cell>
        </row>
        <row r="1278">
          <cell r="A1278">
            <v>23550013</v>
          </cell>
          <cell r="B1278" t="str">
            <v>C급 부품 의뢰서</v>
          </cell>
        </row>
        <row r="1279">
          <cell r="A1279">
            <v>23550014</v>
          </cell>
          <cell r="B1279" t="str">
            <v>C급 가공 금속</v>
          </cell>
        </row>
        <row r="1280">
          <cell r="A1280">
            <v>23550015</v>
          </cell>
          <cell r="B1280" t="str">
            <v>C급 가공 철재</v>
          </cell>
        </row>
        <row r="1281">
          <cell r="A1281">
            <v>23550016</v>
          </cell>
          <cell r="B1281" t="str">
            <v>C급 가공 목재</v>
          </cell>
        </row>
        <row r="1282">
          <cell r="A1282">
            <v>23550017</v>
          </cell>
          <cell r="B1282" t="str">
            <v>B급 부품 의뢰서</v>
          </cell>
        </row>
        <row r="1283">
          <cell r="A1283">
            <v>23550018</v>
          </cell>
          <cell r="B1283" t="str">
            <v>B급 가공 금속</v>
          </cell>
        </row>
        <row r="1284">
          <cell r="A1284">
            <v>23550019</v>
          </cell>
          <cell r="B1284" t="str">
            <v>B급 가공 철재</v>
          </cell>
        </row>
        <row r="1285">
          <cell r="A1285">
            <v>23550020</v>
          </cell>
          <cell r="B1285" t="str">
            <v>B급 가공 목재</v>
          </cell>
        </row>
        <row r="1286">
          <cell r="A1286">
            <v>23550021</v>
          </cell>
          <cell r="B1286" t="str">
            <v>A급 부품 의뢰서</v>
          </cell>
        </row>
        <row r="1287">
          <cell r="A1287">
            <v>23550022</v>
          </cell>
          <cell r="B1287" t="str">
            <v>A급 가공 금속</v>
          </cell>
        </row>
        <row r="1288">
          <cell r="A1288">
            <v>23550023</v>
          </cell>
          <cell r="B1288" t="str">
            <v>A급 가공 철재</v>
          </cell>
        </row>
        <row r="1289">
          <cell r="A1289">
            <v>23550024</v>
          </cell>
          <cell r="B1289" t="str">
            <v>A급 가공 목재</v>
          </cell>
        </row>
        <row r="1290">
          <cell r="A1290">
            <v>23600000</v>
          </cell>
          <cell r="B1290" t="str">
            <v>저렴한 낚싯대</v>
          </cell>
        </row>
        <row r="1291">
          <cell r="A1291">
            <v>23600001</v>
          </cell>
          <cell r="B1291" t="str">
            <v>중급 낚싯대</v>
          </cell>
        </row>
        <row r="1292">
          <cell r="A1292">
            <v>23600002</v>
          </cell>
          <cell r="B1292" t="str">
            <v>고급 낚싯대</v>
          </cell>
        </row>
        <row r="1293">
          <cell r="A1293">
            <v>23600003</v>
          </cell>
          <cell r="B1293" t="str">
            <v>특별한 낚싯대</v>
          </cell>
        </row>
        <row r="1294">
          <cell r="A1294">
            <v>23600004</v>
          </cell>
          <cell r="B1294" t="str">
            <v>전설의 낚싯대</v>
          </cell>
        </row>
        <row r="1295">
          <cell r="A1295">
            <v>23600010</v>
          </cell>
          <cell r="B1295" t="str">
            <v>저렴한 떡밥</v>
          </cell>
        </row>
        <row r="1296">
          <cell r="A1296">
            <v>23600011</v>
          </cell>
          <cell r="B1296" t="str">
            <v>중급 떡밥</v>
          </cell>
        </row>
        <row r="1297">
          <cell r="A1297">
            <v>23600012</v>
          </cell>
          <cell r="B1297" t="str">
            <v>고급 떡밥</v>
          </cell>
        </row>
        <row r="1298">
          <cell r="A1298">
            <v>23600013</v>
          </cell>
          <cell r="B1298" t="str">
            <v>특별한 떡밥</v>
          </cell>
        </row>
        <row r="1299">
          <cell r="A1299">
            <v>23600014</v>
          </cell>
          <cell r="B1299" t="str">
            <v>전설의 떡밥</v>
          </cell>
        </row>
        <row r="1300">
          <cell r="A1300">
            <v>23610000</v>
          </cell>
          <cell r="B1300" t="str">
            <v>소형 용골</v>
          </cell>
        </row>
        <row r="1301">
          <cell r="A1301">
            <v>23610001</v>
          </cell>
          <cell r="B1301" t="str">
            <v>중형 용골</v>
          </cell>
        </row>
        <row r="1302">
          <cell r="A1302">
            <v>23610002</v>
          </cell>
          <cell r="B1302" t="str">
            <v>대형 용골</v>
          </cell>
        </row>
        <row r="1303">
          <cell r="A1303">
            <v>23610003</v>
          </cell>
          <cell r="B1303" t="str">
            <v>초대형 용골</v>
          </cell>
        </row>
        <row r="1304">
          <cell r="A1304">
            <v>23610004</v>
          </cell>
          <cell r="B1304" t="str">
            <v>밧줄</v>
          </cell>
        </row>
        <row r="1305">
          <cell r="A1305">
            <v>23610005</v>
          </cell>
          <cell r="B1305" t="str">
            <v>특수 가공 밧줄</v>
          </cell>
        </row>
        <row r="1306">
          <cell r="A1306">
            <v>23610006</v>
          </cell>
          <cell r="B1306" t="str">
            <v>강화 밧줄</v>
          </cell>
        </row>
        <row r="1307">
          <cell r="A1307">
            <v>23610007</v>
          </cell>
          <cell r="B1307" t="str">
            <v>특수 강화 밧줄</v>
          </cell>
        </row>
        <row r="1308">
          <cell r="A1308">
            <v>23610008</v>
          </cell>
          <cell r="B1308" t="str">
            <v>삼나무</v>
          </cell>
        </row>
        <row r="1309">
          <cell r="A1309">
            <v>23610009</v>
          </cell>
          <cell r="B1309" t="str">
            <v>가문비나무</v>
          </cell>
        </row>
        <row r="1310">
          <cell r="A1310">
            <v>23610010</v>
          </cell>
          <cell r="B1310" t="str">
            <v>적송</v>
          </cell>
        </row>
        <row r="1311">
          <cell r="A1311">
            <v>23610011</v>
          </cell>
          <cell r="B1311" t="str">
            <v>오리나무</v>
          </cell>
        </row>
        <row r="1312">
          <cell r="A1312">
            <v>23610012</v>
          </cell>
          <cell r="B1312" t="str">
            <v>너도밤나무</v>
          </cell>
        </row>
        <row r="1313">
          <cell r="A1313">
            <v>23610013</v>
          </cell>
          <cell r="B1313" t="str">
            <v>티크</v>
          </cell>
        </row>
        <row r="1314">
          <cell r="A1314">
            <v>23610014</v>
          </cell>
          <cell r="B1314" t="str">
            <v>호두나무</v>
          </cell>
        </row>
        <row r="1315">
          <cell r="A1315">
            <v>23610015</v>
          </cell>
          <cell r="B1315" t="str">
            <v>자단나무</v>
          </cell>
        </row>
        <row r="1316">
          <cell r="A1316">
            <v>23610016</v>
          </cell>
          <cell r="B1316" t="str">
            <v>흑단나무</v>
          </cell>
        </row>
        <row r="1317">
          <cell r="A1317">
            <v>23610017</v>
          </cell>
          <cell r="B1317" t="str">
            <v>삼나무 돛대</v>
          </cell>
        </row>
        <row r="1318">
          <cell r="A1318">
            <v>23610018</v>
          </cell>
          <cell r="B1318" t="str">
            <v>가문비나무 돛대</v>
          </cell>
        </row>
        <row r="1319">
          <cell r="A1319">
            <v>23610019</v>
          </cell>
          <cell r="B1319" t="str">
            <v>적송 돛대</v>
          </cell>
        </row>
        <row r="1320">
          <cell r="A1320">
            <v>23610020</v>
          </cell>
          <cell r="B1320" t="str">
            <v>오리나무 돛대</v>
          </cell>
        </row>
        <row r="1321">
          <cell r="A1321">
            <v>23610021</v>
          </cell>
          <cell r="B1321" t="str">
            <v>너도밤나무 돛대</v>
          </cell>
        </row>
        <row r="1322">
          <cell r="A1322">
            <v>23610022</v>
          </cell>
          <cell r="B1322" t="str">
            <v>티크 돛대</v>
          </cell>
        </row>
        <row r="1323">
          <cell r="A1323">
            <v>23610023</v>
          </cell>
          <cell r="B1323" t="str">
            <v>호두나무 돛대</v>
          </cell>
        </row>
        <row r="1324">
          <cell r="A1324">
            <v>23610024</v>
          </cell>
          <cell r="B1324" t="str">
            <v>자단나무 돛대</v>
          </cell>
        </row>
        <row r="1325">
          <cell r="A1325">
            <v>23610025</v>
          </cell>
          <cell r="B1325" t="str">
            <v>흑단나무 돛대</v>
          </cell>
        </row>
        <row r="1326">
          <cell r="A1326">
            <v>23610026</v>
          </cell>
          <cell r="B1326" t="str">
            <v>양모</v>
          </cell>
        </row>
        <row r="1327">
          <cell r="A1327">
            <v>23610027</v>
          </cell>
          <cell r="B1327" t="str">
            <v>대마</v>
          </cell>
        </row>
        <row r="1328">
          <cell r="A1328">
            <v>23610028</v>
          </cell>
          <cell r="B1328" t="str">
            <v>고급 대마</v>
          </cell>
        </row>
        <row r="1329">
          <cell r="A1329">
            <v>23610029</v>
          </cell>
          <cell r="B1329" t="str">
            <v>황마</v>
          </cell>
        </row>
        <row r="1330">
          <cell r="A1330">
            <v>23610030</v>
          </cell>
          <cell r="B1330" t="str">
            <v>고급 황마</v>
          </cell>
        </row>
        <row r="1331">
          <cell r="A1331">
            <v>23610031</v>
          </cell>
          <cell r="B1331" t="str">
            <v>리넨</v>
          </cell>
        </row>
        <row r="1332">
          <cell r="A1332">
            <v>23610032</v>
          </cell>
          <cell r="B1332" t="str">
            <v>고급 리넨</v>
          </cell>
        </row>
        <row r="1333">
          <cell r="A1333">
            <v>23610033</v>
          </cell>
          <cell r="B1333" t="str">
            <v>면</v>
          </cell>
        </row>
        <row r="1334">
          <cell r="A1334">
            <v>23610034</v>
          </cell>
          <cell r="B1334" t="str">
            <v>고급 면</v>
          </cell>
        </row>
        <row r="1335">
          <cell r="A1335">
            <v>23610035</v>
          </cell>
          <cell r="B1335" t="str">
            <v>훈련용 포문</v>
          </cell>
        </row>
        <row r="1336">
          <cell r="A1336">
            <v>23610036</v>
          </cell>
          <cell r="B1336" t="str">
            <v>소형 포문</v>
          </cell>
        </row>
        <row r="1337">
          <cell r="A1337">
            <v>23610037</v>
          </cell>
          <cell r="B1337" t="str">
            <v>중형 포문</v>
          </cell>
        </row>
        <row r="1338">
          <cell r="A1338">
            <v>23610038</v>
          </cell>
          <cell r="B1338" t="str">
            <v>개량형 중형 포문</v>
          </cell>
        </row>
        <row r="1339">
          <cell r="A1339">
            <v>23610039</v>
          </cell>
          <cell r="B1339" t="str">
            <v>강화 중형 포문</v>
          </cell>
        </row>
        <row r="1340">
          <cell r="A1340">
            <v>23610040</v>
          </cell>
          <cell r="B1340" t="str">
            <v>특수 강화 중형 포문</v>
          </cell>
        </row>
        <row r="1341">
          <cell r="A1341">
            <v>23610041</v>
          </cell>
          <cell r="B1341" t="str">
            <v>대형 포문</v>
          </cell>
        </row>
        <row r="1342">
          <cell r="A1342">
            <v>23610042</v>
          </cell>
          <cell r="B1342" t="str">
            <v>개량형 대형 포문</v>
          </cell>
        </row>
        <row r="1343">
          <cell r="A1343">
            <v>23610043</v>
          </cell>
          <cell r="B1343" t="str">
            <v>강화 대형 포문</v>
          </cell>
        </row>
        <row r="1344">
          <cell r="A1344">
            <v>23610044</v>
          </cell>
          <cell r="B1344" t="str">
            <v>특수 강화 대형 포문</v>
          </cell>
        </row>
        <row r="1345">
          <cell r="A1345">
            <v>23610045</v>
          </cell>
          <cell r="B1345" t="str">
            <v>초대형 포문</v>
          </cell>
        </row>
        <row r="1346">
          <cell r="A1346">
            <v>23610046</v>
          </cell>
          <cell r="B1346" t="str">
            <v>개량형 초대형 포문</v>
          </cell>
        </row>
        <row r="1347">
          <cell r="A1347">
            <v>23610047</v>
          </cell>
          <cell r="B1347" t="str">
            <v>강화 초대형 포문</v>
          </cell>
        </row>
        <row r="1348">
          <cell r="A1348">
            <v>23610048</v>
          </cell>
          <cell r="B1348" t="str">
            <v>특수 강화 초대형 포문</v>
          </cell>
        </row>
        <row r="1349">
          <cell r="A1349">
            <v>23700000</v>
          </cell>
          <cell r="B1349" t="str">
            <v>망원경</v>
          </cell>
        </row>
        <row r="1350">
          <cell r="A1350">
            <v>23700001</v>
          </cell>
          <cell r="B1350" t="str">
            <v>마체테</v>
          </cell>
        </row>
        <row r="1351">
          <cell r="A1351">
            <v>23700002</v>
          </cell>
          <cell r="B1351" t="str">
            <v>낡은 로프</v>
          </cell>
        </row>
        <row r="1352">
          <cell r="A1352">
            <v>23700003</v>
          </cell>
          <cell r="B1352" t="str">
            <v>일반 로프</v>
          </cell>
        </row>
        <row r="1353">
          <cell r="A1353">
            <v>23700004</v>
          </cell>
          <cell r="B1353" t="str">
            <v>고급 로프</v>
          </cell>
        </row>
        <row r="1354">
          <cell r="A1354">
            <v>23700005</v>
          </cell>
          <cell r="B1354" t="str">
            <v>판초</v>
          </cell>
        </row>
        <row r="1355">
          <cell r="A1355">
            <v>23700006</v>
          </cell>
          <cell r="B1355" t="str">
            <v>설피</v>
          </cell>
        </row>
        <row r="1356">
          <cell r="A1356">
            <v>23700007</v>
          </cell>
          <cell r="B1356" t="str">
            <v>부싯돌</v>
          </cell>
        </row>
        <row r="1357">
          <cell r="A1357">
            <v>23700008</v>
          </cell>
          <cell r="B1357" t="str">
            <v>나무 썰매</v>
          </cell>
        </row>
        <row r="1358">
          <cell r="A1358">
            <v>23700009</v>
          </cell>
          <cell r="B1358" t="str">
            <v>횃불</v>
          </cell>
        </row>
        <row r="1359">
          <cell r="A1359">
            <v>23700010</v>
          </cell>
          <cell r="B1359" t="str">
            <v>모험 도구_톱</v>
          </cell>
        </row>
        <row r="1360">
          <cell r="A1360">
            <v>23700011</v>
          </cell>
          <cell r="B1360" t="str">
            <v>깨끗한 유리병</v>
          </cell>
        </row>
        <row r="1361">
          <cell r="A1361">
            <v>23700012</v>
          </cell>
          <cell r="B1361" t="str">
            <v>조잡한 수레</v>
          </cell>
        </row>
        <row r="1362">
          <cell r="A1362">
            <v>23700013</v>
          </cell>
          <cell r="B1362" t="str">
            <v>간이 들것</v>
          </cell>
        </row>
        <row r="1363">
          <cell r="A1363">
            <v>23700014</v>
          </cell>
          <cell r="B1363" t="str">
            <v>지혈대</v>
          </cell>
        </row>
        <row r="1364">
          <cell r="A1364">
            <v>23700015</v>
          </cell>
          <cell r="B1364" t="str">
            <v>치료용 약초</v>
          </cell>
        </row>
        <row r="1365">
          <cell r="A1365">
            <v>23700016</v>
          </cell>
          <cell r="B1365" t="str">
            <v>손도끼</v>
          </cell>
        </row>
        <row r="1366">
          <cell r="A1366">
            <v>23700017</v>
          </cell>
          <cell r="B1366" t="str">
            <v>침낭_D</v>
          </cell>
        </row>
        <row r="1367">
          <cell r="A1367">
            <v>23700018</v>
          </cell>
          <cell r="B1367" t="str">
            <v>고양이</v>
          </cell>
        </row>
        <row r="1368">
          <cell r="A1368">
            <v>23700019</v>
          </cell>
          <cell r="B1368" t="str">
            <v>동양의 부적</v>
          </cell>
        </row>
        <row r="1369">
          <cell r="A1369">
            <v>23700020</v>
          </cell>
          <cell r="B1369" t="str">
            <v>빛바랜 신상</v>
          </cell>
        </row>
        <row r="1370">
          <cell r="A1370">
            <v>23700021</v>
          </cell>
          <cell r="B1370" t="str">
            <v>옥 목걸이</v>
          </cell>
        </row>
        <row r="1371">
          <cell r="A1371">
            <v>23700022</v>
          </cell>
          <cell r="B1371" t="str">
            <v>말발굽</v>
          </cell>
        </row>
        <row r="1372">
          <cell r="A1372">
            <v>23700023</v>
          </cell>
          <cell r="B1372" t="str">
            <v>침낭_C</v>
          </cell>
        </row>
        <row r="1373">
          <cell r="A1373">
            <v>23700024</v>
          </cell>
          <cell r="B1373" t="str">
            <v>침낭_B</v>
          </cell>
        </row>
        <row r="1374">
          <cell r="A1374">
            <v>23700025</v>
          </cell>
          <cell r="B1374" t="str">
            <v>황금 소형 용골</v>
          </cell>
        </row>
        <row r="1375">
          <cell r="A1375" t="str">
            <v>#23100036</v>
          </cell>
          <cell r="B1375" t="str">
            <v>풍속도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 t="str">
            <v>id</v>
          </cell>
        </row>
        <row r="2">
          <cell r="A2" t="str">
            <v>key:21200000~21399999</v>
          </cell>
        </row>
        <row r="3">
          <cell r="A3" t="str">
            <v>:required</v>
          </cell>
        </row>
        <row r="4">
          <cell r="A4" t="str">
            <v>:min</v>
          </cell>
        </row>
        <row r="5">
          <cell r="A5" t="str">
            <v>:max</v>
          </cell>
        </row>
        <row r="6">
          <cell r="A6" t="str">
            <v>:enum</v>
          </cell>
        </row>
        <row r="7">
          <cell r="A7" t="str">
            <v>:links</v>
          </cell>
        </row>
        <row r="8">
          <cell r="A8">
            <v>21200001</v>
          </cell>
          <cell r="C8" t="str">
            <v>조안 페레로</v>
          </cell>
        </row>
        <row r="9">
          <cell r="A9">
            <v>21200002</v>
          </cell>
          <cell r="C9" t="str">
            <v>카탈리나 에란초</v>
          </cell>
        </row>
        <row r="10">
          <cell r="A10">
            <v>21200003</v>
          </cell>
          <cell r="C10" t="str">
            <v>알 베자스</v>
          </cell>
        </row>
        <row r="11">
          <cell r="A11">
            <v>21200004</v>
          </cell>
          <cell r="C11" t="str">
            <v>옷토 스피노라</v>
          </cell>
        </row>
        <row r="12">
          <cell r="A12">
            <v>21200005</v>
          </cell>
          <cell r="C12" t="str">
            <v>에르네스트 로페스</v>
          </cell>
        </row>
        <row r="13">
          <cell r="A13">
            <v>21200006</v>
          </cell>
          <cell r="C13" t="str">
            <v>피에트로 콘티</v>
          </cell>
        </row>
        <row r="14">
          <cell r="A14">
            <v>21200007</v>
          </cell>
          <cell r="C14" t="str">
            <v>밀란다 베르테</v>
          </cell>
        </row>
        <row r="15">
          <cell r="A15">
            <v>21200008</v>
          </cell>
          <cell r="C15" t="str">
            <v>살바도르 레이스</v>
          </cell>
        </row>
        <row r="16">
          <cell r="A16">
            <v>21200009</v>
          </cell>
          <cell r="C16" t="str">
            <v>레온 페레로</v>
          </cell>
        </row>
        <row r="17">
          <cell r="A17">
            <v>21200010</v>
          </cell>
          <cell r="C17" t="str">
            <v>정화</v>
          </cell>
        </row>
        <row r="18">
          <cell r="A18">
            <v>21200011</v>
          </cell>
          <cell r="C18" t="str">
            <v>척계광</v>
          </cell>
        </row>
        <row r="19">
          <cell r="A19">
            <v>21200012</v>
          </cell>
          <cell r="C19" t="str">
            <v>그레이스 오말리</v>
          </cell>
        </row>
        <row r="20">
          <cell r="A20">
            <v>21200013</v>
          </cell>
          <cell r="C20" t="str">
            <v>정성공</v>
          </cell>
        </row>
        <row r="21">
          <cell r="A21">
            <v>21200014</v>
          </cell>
          <cell r="C21" t="str">
            <v>김만덕</v>
          </cell>
        </row>
        <row r="22">
          <cell r="A22">
            <v>21200015</v>
          </cell>
          <cell r="C22" t="str">
            <v>홍길동</v>
          </cell>
        </row>
        <row r="23">
          <cell r="A23">
            <v>21200016</v>
          </cell>
          <cell r="C23" t="str">
            <v>이순신</v>
          </cell>
        </row>
        <row r="24">
          <cell r="A24">
            <v>21200017</v>
          </cell>
          <cell r="C24" t="str">
            <v>다테 마사무네</v>
          </cell>
        </row>
        <row r="25">
          <cell r="A25">
            <v>21200018</v>
          </cell>
          <cell r="C25" t="str">
            <v>이마이 사키</v>
          </cell>
        </row>
        <row r="26">
          <cell r="A26">
            <v>21200019</v>
          </cell>
          <cell r="C26" t="str">
            <v>누이 호쿠</v>
          </cell>
        </row>
        <row r="27">
          <cell r="A27">
            <v>21200020</v>
          </cell>
          <cell r="C27" t="str">
            <v>찬드 비비</v>
          </cell>
        </row>
        <row r="28">
          <cell r="A28">
            <v>21200021</v>
          </cell>
          <cell r="C28" t="str">
            <v>표트르 1세</v>
          </cell>
        </row>
        <row r="29">
          <cell r="A29">
            <v>21200022</v>
          </cell>
          <cell r="C29" t="str">
            <v>사이이다 알 후라</v>
          </cell>
        </row>
        <row r="30">
          <cell r="A30">
            <v>21200023</v>
          </cell>
          <cell r="C30" t="str">
            <v>에르난 코르테스</v>
          </cell>
        </row>
        <row r="31">
          <cell r="A31">
            <v>21200024</v>
          </cell>
          <cell r="C31" t="str">
            <v>앤 보니</v>
          </cell>
        </row>
        <row r="32">
          <cell r="A32">
            <v>21200025</v>
          </cell>
          <cell r="C32" t="str">
            <v>필리 레이스</v>
          </cell>
        </row>
        <row r="33">
          <cell r="A33">
            <v>21200026</v>
          </cell>
          <cell r="C33" t="str">
            <v>파브리스 페레로</v>
          </cell>
        </row>
        <row r="34">
          <cell r="A34">
            <v>21300001</v>
          </cell>
          <cell r="C34" t="str">
            <v>잔 다르크</v>
          </cell>
        </row>
        <row r="35">
          <cell r="A35">
            <v>21300002</v>
          </cell>
          <cell r="C35" t="str">
            <v>사피예 술탄</v>
          </cell>
        </row>
        <row r="36">
          <cell r="A36">
            <v>21300003</v>
          </cell>
          <cell r="C36" t="str">
            <v>마리 앙투아네트</v>
          </cell>
        </row>
        <row r="37">
          <cell r="A37">
            <v>21300004</v>
          </cell>
          <cell r="C37" t="str">
            <v>알프레드 로우</v>
          </cell>
        </row>
        <row r="38">
          <cell r="A38">
            <v>21300005</v>
          </cell>
          <cell r="C38" t="str">
            <v>하이레딘 레이스</v>
          </cell>
        </row>
        <row r="39">
          <cell r="A39">
            <v>21300006</v>
          </cell>
          <cell r="C39" t="str">
            <v>메흐메트 슐루크</v>
          </cell>
        </row>
        <row r="40">
          <cell r="A40">
            <v>21300007</v>
          </cell>
          <cell r="C40" t="str">
            <v>카라 룸루</v>
          </cell>
        </row>
        <row r="41">
          <cell r="A41">
            <v>21300008</v>
          </cell>
          <cell r="C41" t="str">
            <v>로코 알렘켈</v>
          </cell>
        </row>
        <row r="42">
          <cell r="A42">
            <v>21300009</v>
          </cell>
          <cell r="C42" t="str">
            <v>오다 노부나가</v>
          </cell>
        </row>
        <row r="43">
          <cell r="A43">
            <v>21300010</v>
          </cell>
          <cell r="C43" t="str">
            <v>크리스토발 콜론</v>
          </cell>
        </row>
        <row r="44">
          <cell r="A44">
            <v>21300011</v>
          </cell>
          <cell r="C44" t="str">
            <v>줄리 도비니</v>
          </cell>
        </row>
        <row r="45">
          <cell r="A45">
            <v>21300012</v>
          </cell>
          <cell r="C45" t="str">
            <v>페르난도 데마가야네스</v>
          </cell>
        </row>
        <row r="46">
          <cell r="A46">
            <v>21300013</v>
          </cell>
          <cell r="C46" t="str">
            <v>쿠아우테목</v>
          </cell>
        </row>
        <row r="47">
          <cell r="A47">
            <v>21300014</v>
          </cell>
          <cell r="C47" t="str">
            <v>소피아 알렉세예브나</v>
          </cell>
        </row>
        <row r="48">
          <cell r="A48">
            <v>21300015</v>
          </cell>
          <cell r="C48" t="str">
            <v>호레스 디스탈디</v>
          </cell>
        </row>
        <row r="49">
          <cell r="A49">
            <v>21300016</v>
          </cell>
          <cell r="C49" t="str">
            <v>레오나르도 다빈치</v>
          </cell>
        </row>
        <row r="50">
          <cell r="A50">
            <v>21300017</v>
          </cell>
          <cell r="C50" t="str">
            <v>우르지 바르바로사</v>
          </cell>
        </row>
        <row r="51">
          <cell r="A51">
            <v>21300018</v>
          </cell>
          <cell r="C51" t="str">
            <v>체사레 보르자</v>
          </cell>
        </row>
        <row r="52">
          <cell r="A52">
            <v>21300019</v>
          </cell>
          <cell r="C52" t="str">
            <v>마리아 에스트라다</v>
          </cell>
        </row>
        <row r="53">
          <cell r="A53">
            <v>21300020</v>
          </cell>
          <cell r="C53" t="str">
            <v>프랜시스 드레이크</v>
          </cell>
        </row>
        <row r="54">
          <cell r="A54">
            <v>21300021</v>
          </cell>
          <cell r="C54" t="str">
            <v>갈릴레오 갈릴레이</v>
          </cell>
        </row>
        <row r="55">
          <cell r="A55">
            <v>21300022</v>
          </cell>
          <cell r="C55" t="str">
            <v>아이작 뉴턴</v>
          </cell>
        </row>
        <row r="56">
          <cell r="A56">
            <v>21300023</v>
          </cell>
          <cell r="C56" t="str">
            <v>에드워드 티치</v>
          </cell>
        </row>
        <row r="57">
          <cell r="A57">
            <v>21300024</v>
          </cell>
          <cell r="C57" t="str">
            <v>바솔로뮤 로버츠</v>
          </cell>
        </row>
        <row r="58">
          <cell r="A58">
            <v>21300025</v>
          </cell>
          <cell r="C58" t="str">
            <v>호레이쇼 넬슨</v>
          </cell>
        </row>
        <row r="59">
          <cell r="A59">
            <v>21300026</v>
          </cell>
          <cell r="C59" t="str">
            <v>에드워드 잉글랜드</v>
          </cell>
        </row>
        <row r="60">
          <cell r="A60">
            <v>21300027</v>
          </cell>
          <cell r="C60" t="str">
            <v>토마스 튜</v>
          </cell>
        </row>
        <row r="61">
          <cell r="A61">
            <v>21300028</v>
          </cell>
          <cell r="C61" t="str">
            <v>장 플뢰리</v>
          </cell>
        </row>
        <row r="62">
          <cell r="A62">
            <v>21300029</v>
          </cell>
          <cell r="C62" t="str">
            <v>도쿠가와 이에야스</v>
          </cell>
        </row>
        <row r="63">
          <cell r="A63">
            <v>21300030</v>
          </cell>
          <cell r="C63" t="str">
            <v>마히데브란</v>
          </cell>
        </row>
        <row r="64">
          <cell r="A64">
            <v>21300031</v>
          </cell>
          <cell r="C64" t="str">
            <v>황진</v>
          </cell>
        </row>
        <row r="65">
          <cell r="A65">
            <v>21300032</v>
          </cell>
          <cell r="C65" t="str">
            <v>마리아 마가레타 빙켈만</v>
          </cell>
        </row>
        <row r="66">
          <cell r="A66">
            <v>21300033</v>
          </cell>
          <cell r="C66" t="str">
            <v>타치바나 긴치요</v>
          </cell>
        </row>
        <row r="67">
          <cell r="A67">
            <v>21300034</v>
          </cell>
          <cell r="C67" t="str">
            <v>장금</v>
          </cell>
        </row>
        <row r="68">
          <cell r="A68">
            <v>21300035</v>
          </cell>
          <cell r="C68" t="str">
            <v>루크레치아 보르자</v>
          </cell>
        </row>
        <row r="69">
          <cell r="A69">
            <v>21300036</v>
          </cell>
          <cell r="C69" t="str">
            <v>카테리나 스포르차</v>
          </cell>
        </row>
        <row r="70">
          <cell r="A70">
            <v>21300037</v>
          </cell>
          <cell r="C70" t="str">
            <v>이사벨라 데스테</v>
          </cell>
        </row>
        <row r="71">
          <cell r="A71">
            <v>21300038</v>
          </cell>
          <cell r="C71" t="str">
            <v>마르거리트 드발루아</v>
          </cell>
        </row>
        <row r="72">
          <cell r="A72">
            <v>21300039</v>
          </cell>
          <cell r="C72" t="str">
            <v>카테리나 데메디치</v>
          </cell>
        </row>
        <row r="73">
          <cell r="A73">
            <v>21300040</v>
          </cell>
          <cell r="C73" t="str">
            <v>잔 바레</v>
          </cell>
        </row>
        <row r="74">
          <cell r="A74">
            <v>21300041</v>
          </cell>
          <cell r="C74" t="str">
            <v>메리 스튜어트</v>
          </cell>
        </row>
        <row r="75">
          <cell r="A75">
            <v>21300042</v>
          </cell>
          <cell r="C75" t="str">
            <v>예카테리나 1세</v>
          </cell>
        </row>
        <row r="76">
          <cell r="A76">
            <v>21300043</v>
          </cell>
          <cell r="C76" t="str">
            <v>쿠말라하야티</v>
          </cell>
        </row>
        <row r="77">
          <cell r="A77">
            <v>21300044</v>
          </cell>
          <cell r="C77" t="str">
            <v>메리 리드</v>
          </cell>
        </row>
        <row r="78">
          <cell r="A78">
            <v>21300045</v>
          </cell>
          <cell r="C78" t="str">
            <v>아미나</v>
          </cell>
        </row>
        <row r="79">
          <cell r="A79">
            <v>21300046</v>
          </cell>
          <cell r="C79" t="str">
            <v>진양옥</v>
          </cell>
        </row>
        <row r="80">
          <cell r="A80">
            <v>21300047</v>
          </cell>
          <cell r="C80" t="str">
            <v>샬롯 드베리</v>
          </cell>
        </row>
        <row r="81">
          <cell r="A81">
            <v>21300048</v>
          </cell>
          <cell r="C81" t="str">
            <v>안드레아 그리마니</v>
          </cell>
        </row>
        <row r="82">
          <cell r="A82">
            <v>21300049</v>
          </cell>
          <cell r="C82" t="str">
            <v>가르시아 알바레스</v>
          </cell>
        </row>
        <row r="83">
          <cell r="A83">
            <v>21300050</v>
          </cell>
          <cell r="C83" t="str">
            <v>에르난 베리오</v>
          </cell>
        </row>
        <row r="84">
          <cell r="A84">
            <v>21300051</v>
          </cell>
          <cell r="C84" t="str">
            <v>아이든 레이스</v>
          </cell>
        </row>
        <row r="85">
          <cell r="A85">
            <v>21300052</v>
          </cell>
          <cell r="C85" t="str">
            <v>루이 코스타</v>
          </cell>
        </row>
        <row r="86">
          <cell r="A86">
            <v>21300053</v>
          </cell>
          <cell r="C86" t="str">
            <v>아고스티노 바르바리고</v>
          </cell>
        </row>
        <row r="87">
          <cell r="A87">
            <v>21300054</v>
          </cell>
          <cell r="C87" t="str">
            <v>다라 쉰</v>
          </cell>
        </row>
        <row r="88">
          <cell r="A88">
            <v>21300055</v>
          </cell>
          <cell r="C88" t="str">
            <v>하코보 포르툰데</v>
          </cell>
        </row>
        <row r="89">
          <cell r="A89">
            <v>21300056</v>
          </cell>
          <cell r="C89" t="str">
            <v>필럼 헤인</v>
          </cell>
        </row>
        <row r="90">
          <cell r="A90">
            <v>21300057</v>
          </cell>
          <cell r="C90" t="str">
            <v>안드레아 도리아</v>
          </cell>
        </row>
        <row r="91">
          <cell r="A91">
            <v>21300058</v>
          </cell>
          <cell r="C91" t="str">
            <v>뮈에진자데 알리 파샤</v>
          </cell>
        </row>
        <row r="92">
          <cell r="A92">
            <v>21300059</v>
          </cell>
          <cell r="C92" t="str">
            <v>후안 폰세 데레온</v>
          </cell>
        </row>
        <row r="93">
          <cell r="A93">
            <v>21300060</v>
          </cell>
          <cell r="C93" t="str">
            <v>시모네타 베스푸치</v>
          </cell>
        </row>
        <row r="94">
          <cell r="A94">
            <v>21300061</v>
          </cell>
          <cell r="C94" t="str">
            <v>아폰수 드알부케르크</v>
          </cell>
        </row>
        <row r="95">
          <cell r="A95">
            <v>21300062</v>
          </cell>
          <cell r="C95" t="str">
            <v>가스팔 신트라</v>
          </cell>
        </row>
        <row r="96">
          <cell r="A96">
            <v>21300063</v>
          </cell>
          <cell r="C96" t="str">
            <v>임상옥</v>
          </cell>
        </row>
        <row r="97">
          <cell r="A97">
            <v>21300064</v>
          </cell>
          <cell r="C97" t="str">
            <v>바바라 팔머</v>
          </cell>
        </row>
        <row r="98">
          <cell r="A98">
            <v>21300065</v>
          </cell>
          <cell r="C98" t="str">
            <v>바스쿠 다가마</v>
          </cell>
        </row>
        <row r="99">
          <cell r="A99">
            <v>21300066</v>
          </cell>
          <cell r="C99" t="str">
            <v>존 호킨스</v>
          </cell>
        </row>
        <row r="100">
          <cell r="A100">
            <v>21300067</v>
          </cell>
          <cell r="C100" t="str">
            <v>구키 요시타카</v>
          </cell>
        </row>
        <row r="101">
          <cell r="A101">
            <v>21300068</v>
          </cell>
          <cell r="C101" t="str">
            <v>돈 후안 데아우스트리아</v>
          </cell>
        </row>
        <row r="102">
          <cell r="A102">
            <v>21300069</v>
          </cell>
          <cell r="C102" t="str">
            <v>리슐리외</v>
          </cell>
        </row>
        <row r="103">
          <cell r="A103">
            <v>21300070</v>
          </cell>
          <cell r="C103" t="str">
            <v>제임스 쿡</v>
          </cell>
        </row>
        <row r="104">
          <cell r="A104">
            <v>21300071</v>
          </cell>
          <cell r="C104" t="str">
            <v>엔히크 드아비스</v>
          </cell>
        </row>
        <row r="105">
          <cell r="A105">
            <v>21300072</v>
          </cell>
          <cell r="C105" t="str">
            <v>주앙 다노바</v>
          </cell>
        </row>
        <row r="106">
          <cell r="A106">
            <v>21300073</v>
          </cell>
          <cell r="C106" t="str">
            <v>바스코 누녜스 데발보아</v>
          </cell>
        </row>
        <row r="107">
          <cell r="A107">
            <v>21300074</v>
          </cell>
          <cell r="C107" t="str">
            <v>스티드 보닛</v>
          </cell>
        </row>
        <row r="108">
          <cell r="A108">
            <v>21300075</v>
          </cell>
          <cell r="C108" t="str">
            <v>마리아 지빌라 메리안</v>
          </cell>
        </row>
        <row r="109">
          <cell r="A109">
            <v>21300076</v>
          </cell>
          <cell r="C109" t="str">
            <v>헨드릭 하멜</v>
          </cell>
        </row>
        <row r="110">
          <cell r="A110">
            <v>21300077</v>
          </cell>
          <cell r="C110" t="str">
            <v>조지 앤슨</v>
          </cell>
        </row>
        <row r="111">
          <cell r="A111">
            <v>21300078</v>
          </cell>
          <cell r="C111" t="str">
            <v>존 바이런</v>
          </cell>
        </row>
        <row r="112">
          <cell r="A112">
            <v>21300079</v>
          </cell>
          <cell r="C112" t="str">
            <v>가토 기요마사</v>
          </cell>
        </row>
        <row r="113">
          <cell r="A113">
            <v>21300080</v>
          </cell>
          <cell r="C113" t="str">
            <v>루프마티</v>
          </cell>
        </row>
        <row r="114">
          <cell r="A114">
            <v>21300081</v>
          </cell>
          <cell r="C114" t="str">
            <v>필리푸스 파라켈수스</v>
          </cell>
        </row>
        <row r="115">
          <cell r="A115">
            <v>21300082</v>
          </cell>
          <cell r="C115" t="str">
            <v>안드레스 데우르다네타</v>
          </cell>
        </row>
        <row r="116">
          <cell r="A116">
            <v>21300083</v>
          </cell>
          <cell r="C116" t="str">
            <v>아흐메트 케말레딘</v>
          </cell>
        </row>
        <row r="117">
          <cell r="A117">
            <v>21300084</v>
          </cell>
          <cell r="C117" t="str">
            <v>휴 윌로비</v>
          </cell>
        </row>
        <row r="118">
          <cell r="A118">
            <v>21300085</v>
          </cell>
          <cell r="C118" t="str">
            <v>알브레히트 발렌슈타인</v>
          </cell>
        </row>
        <row r="119">
          <cell r="A119">
            <v>21300086</v>
          </cell>
          <cell r="C119" t="str">
            <v>구스타브 2세 아돌프</v>
          </cell>
        </row>
        <row r="120">
          <cell r="A120">
            <v>21300087</v>
          </cell>
          <cell r="C120" t="str">
            <v>샤를 달타냥</v>
          </cell>
        </row>
        <row r="121">
          <cell r="A121">
            <v>21300088</v>
          </cell>
          <cell r="C121" t="str">
            <v>윌리엄 키드</v>
          </cell>
        </row>
        <row r="122">
          <cell r="A122">
            <v>21300089</v>
          </cell>
          <cell r="C122" t="str">
            <v>디에고 데아라나</v>
          </cell>
        </row>
        <row r="123">
          <cell r="A123">
            <v>21300090</v>
          </cell>
          <cell r="C123" t="str">
            <v>디안 드푸아티에</v>
          </cell>
        </row>
        <row r="124">
          <cell r="A124">
            <v>21300091</v>
          </cell>
          <cell r="C124" t="str">
            <v>루이 앙투안 드부갱빌</v>
          </cell>
        </row>
        <row r="125">
          <cell r="A125">
            <v>21300092</v>
          </cell>
          <cell r="C125" t="str">
            <v>후아나 이녜스</v>
          </cell>
        </row>
        <row r="126">
          <cell r="A126">
            <v>21300093</v>
          </cell>
          <cell r="C126" t="str">
            <v>요하네스 케플러</v>
          </cell>
        </row>
        <row r="127">
          <cell r="A127">
            <v>21300094</v>
          </cell>
          <cell r="C127" t="str">
            <v>최무선</v>
          </cell>
        </row>
        <row r="128">
          <cell r="A128">
            <v>21300095</v>
          </cell>
          <cell r="C128" t="str">
            <v>하웰 데이비스</v>
          </cell>
        </row>
        <row r="129">
          <cell r="A129">
            <v>21300096</v>
          </cell>
          <cell r="C129" t="str">
            <v>이븐 바투타</v>
          </cell>
        </row>
        <row r="130">
          <cell r="A130">
            <v>21300097</v>
          </cell>
          <cell r="C130" t="str">
            <v>권준</v>
          </cell>
        </row>
        <row r="131">
          <cell r="A131">
            <v>21300098</v>
          </cell>
          <cell r="C131" t="str">
            <v>트레볼 에스티브라</v>
          </cell>
        </row>
        <row r="132">
          <cell r="A132">
            <v>21300099</v>
          </cell>
          <cell r="C132" t="str">
            <v>오즈월드 레밍톤</v>
          </cell>
        </row>
        <row r="133">
          <cell r="A133">
            <v>21300100</v>
          </cell>
          <cell r="C133" t="str">
            <v>투르구트 레이스</v>
          </cell>
        </row>
        <row r="134">
          <cell r="A134">
            <v>21300101</v>
          </cell>
          <cell r="C134" t="str">
            <v>입부</v>
          </cell>
        </row>
        <row r="135">
          <cell r="A135">
            <v>21300102</v>
          </cell>
          <cell r="C135" t="str">
            <v>휘렘 술탄</v>
          </cell>
        </row>
        <row r="136">
          <cell r="A136">
            <v>21300103</v>
          </cell>
          <cell r="C136" t="str">
            <v>김홍도</v>
          </cell>
        </row>
        <row r="137">
          <cell r="A137">
            <v>21300104</v>
          </cell>
          <cell r="C137" t="str">
            <v>주여화</v>
          </cell>
        </row>
        <row r="138">
          <cell r="A138">
            <v>21300105</v>
          </cell>
          <cell r="C138" t="str">
            <v>알론소 데카르데나스</v>
          </cell>
        </row>
        <row r="139">
          <cell r="A139">
            <v>21300106</v>
          </cell>
          <cell r="C139" t="str">
            <v>전우치</v>
          </cell>
        </row>
        <row r="140">
          <cell r="A140">
            <v>21300107</v>
          </cell>
          <cell r="C140" t="str">
            <v>임꺽정</v>
          </cell>
        </row>
        <row r="141">
          <cell r="A141">
            <v>21300108</v>
          </cell>
          <cell r="C141" t="str">
            <v>이즈모 오쿠니</v>
          </cell>
        </row>
        <row r="142">
          <cell r="A142">
            <v>21300109</v>
          </cell>
          <cell r="C142" t="str">
            <v>테쿠이치포츠 이시카쇼치친</v>
          </cell>
        </row>
        <row r="143">
          <cell r="A143">
            <v>21300110</v>
          </cell>
          <cell r="C143" t="str">
            <v>루이스 부르주아</v>
          </cell>
        </row>
        <row r="144">
          <cell r="A144">
            <v>21300111</v>
          </cell>
          <cell r="C144" t="str">
            <v>이사벨라 코르테세</v>
          </cell>
        </row>
        <row r="145">
          <cell r="A145">
            <v>21300112</v>
          </cell>
          <cell r="C145" t="str">
            <v>로레다나 마르첼로</v>
          </cell>
        </row>
        <row r="146">
          <cell r="A146">
            <v>21300113</v>
          </cell>
          <cell r="C146" t="str">
            <v>잉엘라 가텐히엘름</v>
          </cell>
        </row>
        <row r="147">
          <cell r="A147">
            <v>21300114</v>
          </cell>
          <cell r="C147" t="str">
            <v>담윤현</v>
          </cell>
        </row>
        <row r="148">
          <cell r="A148">
            <v>21300115</v>
          </cell>
          <cell r="C148" t="str">
            <v>레베카 롤프</v>
          </cell>
        </row>
        <row r="149">
          <cell r="A149">
            <v>21300116</v>
          </cell>
          <cell r="C149" t="str">
            <v>타즐루 하눔</v>
          </cell>
        </row>
        <row r="150">
          <cell r="A150">
            <v>21300117</v>
          </cell>
          <cell r="C150" t="str">
            <v>아바카 초우타</v>
          </cell>
        </row>
        <row r="151">
          <cell r="A151">
            <v>21300118</v>
          </cell>
          <cell r="C151" t="str">
            <v>가이타나</v>
          </cell>
        </row>
        <row r="152">
          <cell r="A152">
            <v>21300119</v>
          </cell>
          <cell r="C152" t="str">
            <v>이네스 데수아레스</v>
          </cell>
        </row>
        <row r="153">
          <cell r="A153">
            <v>21300120</v>
          </cell>
          <cell r="C153" t="str">
            <v>뭄타즈 마할</v>
          </cell>
        </row>
        <row r="154">
          <cell r="A154">
            <v>21300121</v>
          </cell>
          <cell r="C154" t="str">
            <v>말린체</v>
          </cell>
        </row>
        <row r="155">
          <cell r="A155">
            <v>21300122</v>
          </cell>
          <cell r="C155" t="str">
            <v>크리스티나 알렉산드라</v>
          </cell>
        </row>
        <row r="156">
          <cell r="A156">
            <v>21300123</v>
          </cell>
          <cell r="C156" t="str">
            <v>샤를로트 코르데</v>
          </cell>
        </row>
        <row r="157">
          <cell r="A157">
            <v>21300124</v>
          </cell>
          <cell r="C157" t="str">
            <v>노라 에켈멘디트</v>
          </cell>
        </row>
        <row r="158">
          <cell r="A158">
            <v>21300125</v>
          </cell>
          <cell r="C158" t="str">
            <v>심운영</v>
          </cell>
        </row>
        <row r="159">
          <cell r="A159">
            <v>21300126</v>
          </cell>
          <cell r="C159" t="str">
            <v>마리 앤</v>
          </cell>
        </row>
        <row r="160">
          <cell r="A160">
            <v>21300127</v>
          </cell>
          <cell r="C160" t="str">
            <v>레이첼 월</v>
          </cell>
        </row>
        <row r="161">
          <cell r="A161">
            <v>21300128</v>
          </cell>
          <cell r="C161" t="str">
            <v>이자벨 드로렌</v>
          </cell>
        </row>
        <row r="162">
          <cell r="A162">
            <v>21300129</v>
          </cell>
          <cell r="C162" t="str">
            <v>앤 불린</v>
          </cell>
        </row>
        <row r="163">
          <cell r="A163">
            <v>21300130</v>
          </cell>
          <cell r="C163" t="str">
            <v>아나 데멘도사</v>
          </cell>
        </row>
        <row r="164">
          <cell r="A164">
            <v>21300131</v>
          </cell>
          <cell r="C164" t="str">
            <v>카탈리나 데에라우소</v>
          </cell>
        </row>
        <row r="165">
          <cell r="A165">
            <v>21300132</v>
          </cell>
          <cell r="C165" t="str">
            <v>안 도트리슈</v>
          </cell>
        </row>
        <row r="166">
          <cell r="A166">
            <v>21300133</v>
          </cell>
          <cell r="C166" t="str">
            <v>아흐메트 무히딘</v>
          </cell>
        </row>
        <row r="167">
          <cell r="A167">
            <v>21300134</v>
          </cell>
          <cell r="C167" t="str">
            <v>하프메트 그라니에</v>
          </cell>
        </row>
        <row r="168">
          <cell r="A168">
            <v>21300135</v>
          </cell>
          <cell r="C168" t="str">
            <v>레오 아프리카누스</v>
          </cell>
        </row>
        <row r="169">
          <cell r="A169">
            <v>21300136</v>
          </cell>
          <cell r="C169" t="str">
            <v>아폰수 안드라드</v>
          </cell>
        </row>
        <row r="170">
          <cell r="A170">
            <v>21300137</v>
          </cell>
          <cell r="C170" t="str">
            <v>알로이지 조반니</v>
          </cell>
        </row>
        <row r="171">
          <cell r="A171">
            <v>21300138</v>
          </cell>
          <cell r="C171" t="str">
            <v>알렉산드로 바조</v>
          </cell>
        </row>
        <row r="172">
          <cell r="A172">
            <v>21300139</v>
          </cell>
          <cell r="C172" t="str">
            <v>안드레아 기지</v>
          </cell>
        </row>
        <row r="173">
          <cell r="A173">
            <v>21300140</v>
          </cell>
          <cell r="C173" t="str">
            <v>안토니오 칸</v>
          </cell>
        </row>
        <row r="174">
          <cell r="A174">
            <v>21300141</v>
          </cell>
          <cell r="C174" t="str">
            <v>디에고 데쿠에야르</v>
          </cell>
        </row>
        <row r="175">
          <cell r="A175">
            <v>21300142</v>
          </cell>
          <cell r="C175" t="str">
            <v>카미로 스테파노</v>
          </cell>
        </row>
        <row r="176">
          <cell r="A176">
            <v>21300143</v>
          </cell>
          <cell r="C176" t="str">
            <v>디오구 파군드스</v>
          </cell>
        </row>
        <row r="177">
          <cell r="A177">
            <v>21300144</v>
          </cell>
          <cell r="C177" t="str">
            <v>도밍고 마냐나</v>
          </cell>
        </row>
        <row r="178">
          <cell r="A178">
            <v>21300145</v>
          </cell>
          <cell r="C178" t="str">
            <v>에드먼드 길버트</v>
          </cell>
        </row>
        <row r="179">
          <cell r="A179">
            <v>21300146</v>
          </cell>
          <cell r="C179" t="str">
            <v>프랑코 사누드</v>
          </cell>
        </row>
        <row r="180">
          <cell r="A180">
            <v>21300147</v>
          </cell>
          <cell r="C180" t="str">
            <v>엔리코 마리오네</v>
          </cell>
        </row>
        <row r="181">
          <cell r="A181">
            <v>21300148</v>
          </cell>
          <cell r="C181" t="str">
            <v>에스테반 오르테가</v>
          </cell>
        </row>
        <row r="182">
          <cell r="A182">
            <v>21300149</v>
          </cell>
          <cell r="C182" t="str">
            <v>페르낭 멘드스 핀투</v>
          </cell>
        </row>
        <row r="183">
          <cell r="A183">
            <v>21300150</v>
          </cell>
          <cell r="C183" t="str">
            <v>케빈 피셔</v>
          </cell>
        </row>
        <row r="184">
          <cell r="A184">
            <v>21300152</v>
          </cell>
          <cell r="C184" t="str">
            <v>로이드 스탓텐</v>
          </cell>
        </row>
        <row r="185">
          <cell r="A185">
            <v>21300153</v>
          </cell>
          <cell r="C185" t="str">
            <v>존 래컴</v>
          </cell>
        </row>
        <row r="186">
          <cell r="A186">
            <v>21300154</v>
          </cell>
          <cell r="C186" t="str">
            <v>존 데이비스</v>
          </cell>
        </row>
        <row r="187">
          <cell r="A187">
            <v>21300155</v>
          </cell>
          <cell r="C187" t="str">
            <v>로렌주 핀투</v>
          </cell>
        </row>
        <row r="188">
          <cell r="A188">
            <v>21300156</v>
          </cell>
          <cell r="C188" t="str">
            <v>루이스 스콧</v>
          </cell>
        </row>
        <row r="189">
          <cell r="A189">
            <v>21300157</v>
          </cell>
          <cell r="C189" t="str">
            <v>후안 데라 코사</v>
          </cell>
        </row>
        <row r="190">
          <cell r="A190">
            <v>21300158</v>
          </cell>
          <cell r="C190" t="str">
            <v>이스칼 야사르</v>
          </cell>
        </row>
        <row r="191">
          <cell r="A191">
            <v>21300159</v>
          </cell>
          <cell r="C191" t="str">
            <v>크리스티안 글로리아</v>
          </cell>
        </row>
        <row r="192">
          <cell r="A192">
            <v>21300160</v>
          </cell>
          <cell r="C192" t="str">
            <v>마슈 로이</v>
          </cell>
        </row>
        <row r="193">
          <cell r="A193">
            <v>21300161</v>
          </cell>
          <cell r="C193" t="str">
            <v>미겔 코르트 헤알</v>
          </cell>
        </row>
        <row r="194">
          <cell r="A194">
            <v>21300162</v>
          </cell>
          <cell r="C194" t="str">
            <v>니콜로 스테파노</v>
          </cell>
        </row>
        <row r="195">
          <cell r="A195">
            <v>21300163</v>
          </cell>
          <cell r="C195" t="str">
            <v>하파엘 세하누</v>
          </cell>
        </row>
        <row r="196">
          <cell r="A196">
            <v>21300164</v>
          </cell>
          <cell r="C196" t="str">
            <v>시난 파샤</v>
          </cell>
        </row>
        <row r="197">
          <cell r="A197">
            <v>21300165</v>
          </cell>
          <cell r="C197" t="str">
            <v>페론소 아기레</v>
          </cell>
        </row>
        <row r="198">
          <cell r="A198">
            <v>21300166</v>
          </cell>
          <cell r="C198" t="str">
            <v>로버트 로우</v>
          </cell>
        </row>
        <row r="199">
          <cell r="A199">
            <v>21300167</v>
          </cell>
          <cell r="C199" t="str">
            <v>마르틴 발보아</v>
          </cell>
        </row>
        <row r="200">
          <cell r="A200">
            <v>21300168</v>
          </cell>
          <cell r="C200" t="str">
            <v>자한 사림</v>
          </cell>
        </row>
        <row r="201">
          <cell r="A201">
            <v>21300169</v>
          </cell>
          <cell r="C201" t="str">
            <v>다니엘 미르자</v>
          </cell>
        </row>
        <row r="202">
          <cell r="A202">
            <v>21300170</v>
          </cell>
          <cell r="C202" t="str">
            <v>시몬 세게이라</v>
          </cell>
        </row>
        <row r="203">
          <cell r="A203">
            <v>21300171</v>
          </cell>
          <cell r="C203" t="str">
            <v>울루치 알리</v>
          </cell>
        </row>
        <row r="204">
          <cell r="A204">
            <v>21300173</v>
          </cell>
          <cell r="C204" t="str">
            <v>서굉조</v>
          </cell>
        </row>
        <row r="205">
          <cell r="A205">
            <v>21300174</v>
          </cell>
          <cell r="C205" t="str">
            <v>비센테 야녜스 핀손</v>
          </cell>
        </row>
        <row r="206">
          <cell r="A206">
            <v>21300175</v>
          </cell>
          <cell r="C206" t="str">
            <v>니콜라우 코엘류</v>
          </cell>
        </row>
        <row r="207">
          <cell r="A207">
            <v>21300176</v>
          </cell>
          <cell r="C207" t="str">
            <v>프란시스쿠 드알메이다</v>
          </cell>
        </row>
        <row r="208">
          <cell r="A208">
            <v>21300177</v>
          </cell>
          <cell r="C208" t="str">
            <v>후안 디아스 데솔리스</v>
          </cell>
        </row>
        <row r="209">
          <cell r="A209">
            <v>21300178</v>
          </cell>
          <cell r="C209" t="str">
            <v>알론소 데오헤다</v>
          </cell>
        </row>
        <row r="210">
          <cell r="A210">
            <v>21300179</v>
          </cell>
          <cell r="C210" t="str">
            <v>로드리고 데바스티다스</v>
          </cell>
        </row>
        <row r="211">
          <cell r="A211">
            <v>21300180</v>
          </cell>
          <cell r="C211" t="str">
            <v>안토니오 데베리오</v>
          </cell>
        </row>
        <row r="212">
          <cell r="A212">
            <v>21300181</v>
          </cell>
          <cell r="C212" t="str">
            <v>정지룡</v>
          </cell>
        </row>
        <row r="213">
          <cell r="A213">
            <v>21300182</v>
          </cell>
          <cell r="C213" t="str">
            <v>리차드 월리</v>
          </cell>
        </row>
        <row r="214">
          <cell r="A214">
            <v>21300183</v>
          </cell>
          <cell r="C214" t="str">
            <v>찰스 베인</v>
          </cell>
        </row>
        <row r="215">
          <cell r="A215">
            <v>21300184</v>
          </cell>
          <cell r="C215" t="str">
            <v>왕경홍</v>
          </cell>
        </row>
        <row r="216">
          <cell r="A216">
            <v>21300185</v>
          </cell>
          <cell r="C216" t="str">
            <v>알바로 데멘다냐</v>
          </cell>
        </row>
        <row r="217">
          <cell r="A217">
            <v>21300186</v>
          </cell>
          <cell r="C217" t="str">
            <v>루이스 바에스 데토레스</v>
          </cell>
        </row>
        <row r="218">
          <cell r="A218">
            <v>21300187</v>
          </cell>
          <cell r="C218" t="str">
            <v>빌럼 얀손</v>
          </cell>
        </row>
        <row r="219">
          <cell r="A219">
            <v>21300188</v>
          </cell>
          <cell r="C219" t="str">
            <v>아벌 얀손 타스만</v>
          </cell>
        </row>
        <row r="220">
          <cell r="A220">
            <v>21300189</v>
          </cell>
          <cell r="C220" t="str">
            <v>와키자카 야스하루</v>
          </cell>
        </row>
        <row r="221">
          <cell r="A221">
            <v>21300190</v>
          </cell>
          <cell r="C221" t="str">
            <v>도도 다카토라</v>
          </cell>
        </row>
        <row r="222">
          <cell r="A222">
            <v>21300191</v>
          </cell>
          <cell r="C222" t="str">
            <v>도고 구르마니</v>
          </cell>
        </row>
        <row r="223">
          <cell r="A223">
            <v>21300192</v>
          </cell>
          <cell r="C223" t="str">
            <v>고스 다카드</v>
          </cell>
        </row>
        <row r="224">
          <cell r="A224">
            <v>21300193</v>
          </cell>
          <cell r="C224" t="str">
            <v>월터 롤리</v>
          </cell>
        </row>
        <row r="225">
          <cell r="A225">
            <v>21300194</v>
          </cell>
          <cell r="C225" t="str">
            <v>베르날 델카스티요</v>
          </cell>
        </row>
        <row r="226">
          <cell r="A226">
            <v>21300195</v>
          </cell>
          <cell r="C226" t="str">
            <v>디오구 드세케이라</v>
          </cell>
        </row>
        <row r="227">
          <cell r="A227">
            <v>21300196</v>
          </cell>
          <cell r="C227" t="str">
            <v>토메 피르스</v>
          </cell>
        </row>
        <row r="228">
          <cell r="A228">
            <v>21300197</v>
          </cell>
          <cell r="C228" t="str">
            <v>미켈란젤로 부오나로티</v>
          </cell>
        </row>
        <row r="229">
          <cell r="A229">
            <v>21300198</v>
          </cell>
          <cell r="C229" t="str">
            <v>다나카 쇼스케</v>
          </cell>
        </row>
        <row r="230">
          <cell r="A230">
            <v>21300199</v>
          </cell>
          <cell r="C230" t="str">
            <v>하세쿠라 쓰네나가</v>
          </cell>
        </row>
        <row r="231">
          <cell r="A231">
            <v>21300200</v>
          </cell>
          <cell r="C231" t="str">
            <v>페르낭 드안드라드</v>
          </cell>
        </row>
        <row r="232">
          <cell r="A232">
            <v>21300201</v>
          </cell>
          <cell r="C232" t="str">
            <v>시마즈 요시히로</v>
          </cell>
        </row>
        <row r="233">
          <cell r="A233">
            <v>21300202</v>
          </cell>
          <cell r="C233" t="str">
            <v>니콜라스 데오반도</v>
          </cell>
        </row>
        <row r="234">
          <cell r="A234">
            <v>21300203</v>
          </cell>
          <cell r="C234" t="str">
            <v>안토니오 피가페타</v>
          </cell>
        </row>
        <row r="235">
          <cell r="A235">
            <v>21300204</v>
          </cell>
          <cell r="C235" t="str">
            <v>곤살로 피사로</v>
          </cell>
        </row>
        <row r="236">
          <cell r="A236">
            <v>21300205</v>
          </cell>
          <cell r="C236" t="str">
            <v>얀 피터손 쿤</v>
          </cell>
        </row>
        <row r="237">
          <cell r="A237">
            <v>21300206</v>
          </cell>
          <cell r="C237" t="str">
            <v>가스파르 코르트 헤알</v>
          </cell>
        </row>
        <row r="238">
          <cell r="A238">
            <v>21300207</v>
          </cell>
          <cell r="C238" t="str">
            <v>페르난데스 데엔시소</v>
          </cell>
        </row>
        <row r="239">
          <cell r="A239">
            <v>21300208</v>
          </cell>
          <cell r="C239" t="str">
            <v>새뮤얼 버지스</v>
          </cell>
        </row>
        <row r="240">
          <cell r="A240">
            <v>21300209</v>
          </cell>
          <cell r="C240" t="str">
            <v>로푸 드알베르가리아</v>
          </cell>
        </row>
        <row r="241">
          <cell r="A241">
            <v>21300210</v>
          </cell>
          <cell r="C241" t="str">
            <v>문순득</v>
          </cell>
        </row>
        <row r="242">
          <cell r="A242">
            <v>21300211</v>
          </cell>
          <cell r="C242" t="str">
            <v>우즈 로저스</v>
          </cell>
        </row>
        <row r="243">
          <cell r="A243">
            <v>21300212</v>
          </cell>
          <cell r="C243" t="str">
            <v>페루 다코빌량</v>
          </cell>
        </row>
        <row r="244">
          <cell r="A244">
            <v>21300213</v>
          </cell>
          <cell r="C244" t="str">
            <v>조르조 바사리</v>
          </cell>
        </row>
        <row r="245">
          <cell r="A245">
            <v>21300214</v>
          </cell>
          <cell r="C245" t="str">
            <v>두아르테 바르보사</v>
          </cell>
        </row>
        <row r="246">
          <cell r="A246">
            <v>21300215</v>
          </cell>
          <cell r="C246" t="str">
            <v>주앙 세항</v>
          </cell>
        </row>
        <row r="247">
          <cell r="A247">
            <v>21300216</v>
          </cell>
          <cell r="C247" t="str">
            <v>윌리엄 윈터</v>
          </cell>
        </row>
        <row r="248">
          <cell r="A248">
            <v>21300217</v>
          </cell>
          <cell r="C248" t="str">
            <v>얀 얀스 벨테브레이</v>
          </cell>
        </row>
        <row r="249">
          <cell r="A249">
            <v>21300218</v>
          </cell>
          <cell r="C249" t="str">
            <v>조르즈 드메네즈스</v>
          </cell>
        </row>
        <row r="250">
          <cell r="A250">
            <v>21300219</v>
          </cell>
          <cell r="C250" t="str">
            <v>프란시스코 알보</v>
          </cell>
        </row>
        <row r="251">
          <cell r="A251">
            <v>21300220</v>
          </cell>
          <cell r="C251" t="str">
            <v>프랑수아 르클레르</v>
          </cell>
        </row>
        <row r="252">
          <cell r="A252">
            <v>21300221</v>
          </cell>
          <cell r="C252" t="str">
            <v>니콜라우스 페데르만</v>
          </cell>
        </row>
        <row r="253">
          <cell r="A253">
            <v>21300222</v>
          </cell>
          <cell r="C253" t="str">
            <v>가스파르 데케사다</v>
          </cell>
        </row>
        <row r="254">
          <cell r="A254">
            <v>21300223</v>
          </cell>
          <cell r="C254" t="str">
            <v>요하네스 구텐베르크</v>
          </cell>
        </row>
        <row r="255">
          <cell r="A255">
            <v>21300224</v>
          </cell>
          <cell r="C255" t="str">
            <v>페드로 데멘도사</v>
          </cell>
        </row>
        <row r="256">
          <cell r="A256">
            <v>21300225</v>
          </cell>
          <cell r="C256" t="str">
            <v>문익점</v>
          </cell>
        </row>
        <row r="257">
          <cell r="A257">
            <v>21300226</v>
          </cell>
          <cell r="C257" t="str">
            <v>알리 알 만드리</v>
          </cell>
        </row>
        <row r="258">
          <cell r="A258">
            <v>21300228</v>
          </cell>
          <cell r="C258" t="str">
            <v>아흐메드 알 와타시</v>
          </cell>
        </row>
        <row r="259">
          <cell r="A259">
            <v>21300229</v>
          </cell>
          <cell r="C259" t="str">
            <v>윌리엄 셰익스피어</v>
          </cell>
        </row>
        <row r="260">
          <cell r="A260">
            <v>21300230</v>
          </cell>
          <cell r="C260" t="str">
            <v>카베사 데바카</v>
          </cell>
        </row>
        <row r="261">
          <cell r="A261">
            <v>21300231</v>
          </cell>
          <cell r="C261" t="str">
            <v>미겔 로페스 데레가스피</v>
          </cell>
        </row>
        <row r="262">
          <cell r="A262">
            <v>21300232</v>
          </cell>
          <cell r="C262" t="str">
            <v>바스케스 데코로나도</v>
          </cell>
        </row>
        <row r="263">
          <cell r="A263">
            <v>21300233</v>
          </cell>
          <cell r="C263" t="str">
            <v>권근</v>
          </cell>
        </row>
        <row r="264">
          <cell r="A264">
            <v>21300234</v>
          </cell>
          <cell r="C264" t="str">
            <v>엔히크 드말라카</v>
          </cell>
        </row>
        <row r="265">
          <cell r="A265">
            <v>21300235</v>
          </cell>
          <cell r="C265" t="str">
            <v>프란시스코 데오레야나</v>
          </cell>
        </row>
        <row r="266">
          <cell r="A266">
            <v>21300236</v>
          </cell>
          <cell r="C266" t="str">
            <v>파올로 토스카넬리</v>
          </cell>
        </row>
        <row r="267">
          <cell r="A267">
            <v>21300237</v>
          </cell>
          <cell r="C267" t="str">
            <v>셰르 샤</v>
          </cell>
        </row>
        <row r="268">
          <cell r="A268">
            <v>21300238</v>
          </cell>
          <cell r="C268" t="str">
            <v>악셀 욱센헤나</v>
          </cell>
        </row>
        <row r="269">
          <cell r="A269">
            <v>21300239</v>
          </cell>
          <cell r="C269" t="str">
            <v>알렉산더 해밀턴</v>
          </cell>
        </row>
        <row r="270">
          <cell r="A270">
            <v>21300240</v>
          </cell>
          <cell r="C270" t="str">
            <v>마르틴 베하임</v>
          </cell>
        </row>
        <row r="271">
          <cell r="A271">
            <v>21300241</v>
          </cell>
          <cell r="C271" t="str">
            <v>장 프랑수아 드갈로</v>
          </cell>
        </row>
        <row r="272">
          <cell r="A272">
            <v>21300242</v>
          </cell>
          <cell r="C272" t="str">
            <v>필리베르 코메르송</v>
          </cell>
        </row>
        <row r="273">
          <cell r="A273">
            <v>21300243</v>
          </cell>
          <cell r="C273" t="str">
            <v>자크 카르티에</v>
          </cell>
        </row>
        <row r="274">
          <cell r="A274">
            <v>21300244</v>
          </cell>
          <cell r="C274" t="str">
            <v>허초희</v>
          </cell>
        </row>
        <row r="275">
          <cell r="A275">
            <v>21300245</v>
          </cell>
          <cell r="C275" t="str">
            <v>정운</v>
          </cell>
        </row>
        <row r="276">
          <cell r="A276">
            <v>21300246</v>
          </cell>
          <cell r="C276" t="str">
            <v>나대용</v>
          </cell>
        </row>
        <row r="277">
          <cell r="A277">
            <v>21300247</v>
          </cell>
          <cell r="C277" t="str">
            <v>마르틴 루터</v>
          </cell>
        </row>
        <row r="278">
          <cell r="A278">
            <v>21300248</v>
          </cell>
          <cell r="C278" t="str">
            <v>야콥 푸거</v>
          </cell>
        </row>
        <row r="279">
          <cell r="A279">
            <v>21300250</v>
          </cell>
          <cell r="C279" t="str">
            <v>마테오 리치</v>
          </cell>
        </row>
        <row r="280">
          <cell r="A280">
            <v>21300251</v>
          </cell>
          <cell r="C280" t="str">
            <v>토니오 롯시</v>
          </cell>
        </row>
        <row r="281">
          <cell r="A281">
            <v>21300252</v>
          </cell>
          <cell r="C281" t="str">
            <v>리오노 아반츄라</v>
          </cell>
        </row>
        <row r="282">
          <cell r="A282">
            <v>21300253</v>
          </cell>
          <cell r="C282" t="str">
            <v>하산 파샤</v>
          </cell>
        </row>
        <row r="283">
          <cell r="A283">
            <v>21300254</v>
          </cell>
          <cell r="C283" t="str">
            <v>이운룡</v>
          </cell>
        </row>
        <row r="284">
          <cell r="A284">
            <v>21300255</v>
          </cell>
          <cell r="C284" t="str">
            <v>이억기</v>
          </cell>
        </row>
        <row r="285">
          <cell r="A285">
            <v>21300256</v>
          </cell>
          <cell r="C285" t="str">
            <v>살리흐 레이스</v>
          </cell>
        </row>
        <row r="286">
          <cell r="A286">
            <v>21300257</v>
          </cell>
          <cell r="C286" t="str">
            <v>페트뤼스 플란시우스</v>
          </cell>
        </row>
        <row r="287">
          <cell r="A287">
            <v>21300258</v>
          </cell>
          <cell r="C287" t="str">
            <v>프란시스쿠 세항</v>
          </cell>
        </row>
        <row r="288">
          <cell r="A288">
            <v>21300259</v>
          </cell>
          <cell r="C288" t="str">
            <v>아메리고 베스푸치</v>
          </cell>
        </row>
        <row r="289">
          <cell r="A289">
            <v>21300260</v>
          </cell>
          <cell r="C289" t="str">
            <v>루이스 프로이스</v>
          </cell>
        </row>
        <row r="290">
          <cell r="A290">
            <v>21300261</v>
          </cell>
          <cell r="C290" t="str">
            <v>조반니 안드레아 도리아</v>
          </cell>
        </row>
        <row r="291">
          <cell r="A291">
            <v>21300262</v>
          </cell>
          <cell r="C291" t="str">
            <v>두아르트 드메네즈스</v>
          </cell>
        </row>
        <row r="292">
          <cell r="A292">
            <v>21300263</v>
          </cell>
          <cell r="C292" t="str">
            <v>니콜라스 쿠크베커</v>
          </cell>
        </row>
        <row r="293">
          <cell r="A293">
            <v>21300264</v>
          </cell>
          <cell r="C293" t="str">
            <v>석양</v>
          </cell>
        </row>
        <row r="294">
          <cell r="A294">
            <v>21300265</v>
          </cell>
          <cell r="C294" t="str">
            <v>에드워드 로우</v>
          </cell>
        </row>
        <row r="295">
          <cell r="A295">
            <v>21300266</v>
          </cell>
          <cell r="C295" t="str">
            <v>주앙 곤살베스 자르쿠</v>
          </cell>
        </row>
        <row r="296">
          <cell r="A296">
            <v>21300267</v>
          </cell>
          <cell r="C296" t="str">
            <v>존 롤프</v>
          </cell>
        </row>
        <row r="297">
          <cell r="A297">
            <v>21300268</v>
          </cell>
          <cell r="C297" t="str">
            <v>알렉산더 셀커크</v>
          </cell>
        </row>
        <row r="298">
          <cell r="A298">
            <v>21300269</v>
          </cell>
          <cell r="C298" t="str">
            <v>알비세 카다모스토</v>
          </cell>
        </row>
        <row r="299">
          <cell r="A299">
            <v>21300270</v>
          </cell>
          <cell r="C299" t="str">
            <v>쿠르톨루 무슬리딘</v>
          </cell>
        </row>
        <row r="300">
          <cell r="A300">
            <v>21300271</v>
          </cell>
          <cell r="C300" t="str">
            <v>미겔 데세르반테스</v>
          </cell>
        </row>
        <row r="301">
          <cell r="A301">
            <v>21300272</v>
          </cell>
          <cell r="C301" t="str">
            <v>야스케</v>
          </cell>
        </row>
        <row r="302">
          <cell r="A302">
            <v>21300273</v>
          </cell>
          <cell r="C302" t="str">
            <v>기린아</v>
          </cell>
        </row>
        <row r="303">
          <cell r="A303">
            <v>21300274</v>
          </cell>
          <cell r="C303" t="str">
            <v>이몽룡</v>
          </cell>
        </row>
        <row r="304">
          <cell r="A304">
            <v>21300277</v>
          </cell>
          <cell r="C304" t="str">
            <v>진조의</v>
          </cell>
        </row>
        <row r="305">
          <cell r="A305">
            <v>21300278</v>
          </cell>
          <cell r="C305" t="str">
            <v>노국공주</v>
          </cell>
        </row>
        <row r="306">
          <cell r="A306">
            <v>21300279</v>
          </cell>
          <cell r="C306" t="str">
            <v>카시드</v>
          </cell>
        </row>
        <row r="307">
          <cell r="A307">
            <v>21300280</v>
          </cell>
          <cell r="C307" t="str">
            <v>비라 알라케스바라</v>
          </cell>
        </row>
        <row r="308">
          <cell r="A308">
            <v>21300281</v>
          </cell>
          <cell r="C308" t="str">
            <v>리차드 빙엄</v>
          </cell>
        </row>
        <row r="309">
          <cell r="A309">
            <v>21300282</v>
          </cell>
          <cell r="C309" t="str">
            <v>피터르 제라뒤스</v>
          </cell>
        </row>
        <row r="310">
          <cell r="A310">
            <v>21300283</v>
          </cell>
          <cell r="C310" t="str">
            <v>호종헌</v>
          </cell>
        </row>
        <row r="311">
          <cell r="A311">
            <v>21300284</v>
          </cell>
          <cell r="C311" t="str">
            <v>알탄 칸</v>
          </cell>
        </row>
        <row r="312">
          <cell r="A312">
            <v>21300285</v>
          </cell>
          <cell r="C312" t="str">
            <v>알렉산드르 멘시코프</v>
          </cell>
        </row>
        <row r="313">
          <cell r="A313">
            <v>21300286</v>
          </cell>
          <cell r="C313" t="str">
            <v>트실라카트신</v>
          </cell>
        </row>
        <row r="314">
          <cell r="A314">
            <v>21300287</v>
          </cell>
          <cell r="C314" t="str">
            <v>김광택</v>
          </cell>
        </row>
        <row r="315">
          <cell r="A315">
            <v>21300288</v>
          </cell>
          <cell r="C315" t="str">
            <v>유대유</v>
          </cell>
        </row>
        <row r="316">
          <cell r="A316">
            <v>21300289</v>
          </cell>
          <cell r="C316" t="str">
            <v>이초</v>
          </cell>
        </row>
        <row r="317">
          <cell r="A317">
            <v>21300290</v>
          </cell>
          <cell r="C317" t="str">
            <v>호수인</v>
          </cell>
        </row>
        <row r="318">
          <cell r="A318">
            <v>21300291</v>
          </cell>
          <cell r="C318" t="str">
            <v>왕직</v>
          </cell>
        </row>
        <row r="319">
          <cell r="A319">
            <v>21300292</v>
          </cell>
          <cell r="C319" t="str">
            <v>바실리 골리친</v>
          </cell>
        </row>
        <row r="320">
          <cell r="A320">
            <v>21300295</v>
          </cell>
          <cell r="C320" t="str">
            <v>시랑</v>
          </cell>
        </row>
        <row r="321">
          <cell r="A321">
            <v>21300296</v>
          </cell>
          <cell r="C321" t="str">
            <v>라 이카이카</v>
          </cell>
        </row>
        <row r="322">
          <cell r="A322">
            <v>21300298</v>
          </cell>
          <cell r="C322" t="str">
            <v>나니 마히나</v>
          </cell>
        </row>
        <row r="323">
          <cell r="A323">
            <v>21300299</v>
          </cell>
          <cell r="C323" t="str">
            <v>아나 얀선스</v>
          </cell>
        </row>
        <row r="324">
          <cell r="A324">
            <v>21300300</v>
          </cell>
          <cell r="C324" t="str">
            <v>발푸리 인나마</v>
          </cell>
        </row>
        <row r="325">
          <cell r="A325">
            <v>21300301</v>
          </cell>
          <cell r="C325" t="str">
            <v>카리나 물티알라</v>
          </cell>
        </row>
        <row r="326">
          <cell r="A326">
            <v>21300302</v>
          </cell>
          <cell r="C326" t="str">
            <v>도리테 니버스</v>
          </cell>
        </row>
        <row r="327">
          <cell r="A327">
            <v>21300303</v>
          </cell>
          <cell r="C327" t="str">
            <v>타네커 스코닝스</v>
          </cell>
        </row>
        <row r="328">
          <cell r="A328">
            <v>21300304</v>
          </cell>
          <cell r="C328" t="str">
            <v>엘리자베스 바튼</v>
          </cell>
        </row>
        <row r="329">
          <cell r="A329">
            <v>21300305</v>
          </cell>
          <cell r="C329" t="str">
            <v>잔 드샹탈</v>
          </cell>
        </row>
        <row r="330">
          <cell r="A330">
            <v>21300306</v>
          </cell>
          <cell r="C330" t="str">
            <v>아사르파이</v>
          </cell>
        </row>
        <row r="331">
          <cell r="A331">
            <v>21300307</v>
          </cell>
          <cell r="C331" t="str">
            <v>마리아 바르톨라</v>
          </cell>
        </row>
        <row r="332">
          <cell r="A332">
            <v>21300308</v>
          </cell>
          <cell r="C332" t="str">
            <v>시도니아 폰보르크</v>
          </cell>
        </row>
        <row r="333">
          <cell r="A333">
            <v>21300309</v>
          </cell>
          <cell r="C333" t="str">
            <v>비올란테 도리아</v>
          </cell>
        </row>
        <row r="334">
          <cell r="A334">
            <v>21300310</v>
          </cell>
          <cell r="C334" t="str">
            <v>앤 다우리치</v>
          </cell>
        </row>
        <row r="335">
          <cell r="A335">
            <v>21300311</v>
          </cell>
          <cell r="C335" t="str">
            <v>카타리나 헤노트</v>
          </cell>
        </row>
        <row r="336">
          <cell r="A336">
            <v>21300312</v>
          </cell>
          <cell r="C336" t="str">
            <v>이사벨 데게바라</v>
          </cell>
        </row>
        <row r="337">
          <cell r="A337">
            <v>21300313</v>
          </cell>
          <cell r="C337" t="str">
            <v>엘리자베스 루카</v>
          </cell>
        </row>
        <row r="338">
          <cell r="A338">
            <v>21300314</v>
          </cell>
          <cell r="C338" t="str">
            <v>아나 루머르스 피스허르</v>
          </cell>
        </row>
        <row r="339">
          <cell r="A339">
            <v>21300315</v>
          </cell>
          <cell r="C339" t="str">
            <v>이사벨라 휘트니</v>
          </cell>
        </row>
        <row r="340">
          <cell r="A340">
            <v>21300316</v>
          </cell>
          <cell r="C340" t="str">
            <v>케나우 하셀라르</v>
          </cell>
        </row>
        <row r="341">
          <cell r="A341">
            <v>21300317</v>
          </cell>
          <cell r="C341" t="str">
            <v>크리스티나 닐스도테르</v>
          </cell>
        </row>
        <row r="342">
          <cell r="A342">
            <v>21300318</v>
          </cell>
          <cell r="C342" t="str">
            <v>와씨</v>
          </cell>
        </row>
        <row r="343">
          <cell r="A343">
            <v>21300319</v>
          </cell>
          <cell r="C343" t="str">
            <v>고계영</v>
          </cell>
        </row>
        <row r="344">
          <cell r="A344">
            <v>21300320</v>
          </cell>
          <cell r="C344" t="str">
            <v>클라라 카마랑</v>
          </cell>
        </row>
        <row r="345">
          <cell r="A345">
            <v>21300321</v>
          </cell>
          <cell r="C345" t="str">
            <v>알론소 데멘도사</v>
          </cell>
        </row>
        <row r="346">
          <cell r="A346">
            <v>21300322</v>
          </cell>
          <cell r="C346" t="str">
            <v>암브로지우스 에힝어</v>
          </cell>
        </row>
        <row r="347">
          <cell r="A347">
            <v>21300323</v>
          </cell>
          <cell r="C347" t="str">
            <v>앤서니 셜리</v>
          </cell>
        </row>
        <row r="348">
          <cell r="A348">
            <v>21300324</v>
          </cell>
          <cell r="C348" t="str">
            <v>라울 핏치</v>
          </cell>
        </row>
        <row r="349">
          <cell r="A349">
            <v>21300325</v>
          </cell>
          <cell r="C349" t="str">
            <v>안토니오 핀데아도</v>
          </cell>
        </row>
        <row r="350">
          <cell r="A350">
            <v>21300326</v>
          </cell>
          <cell r="C350" t="str">
            <v>베니토 고메스</v>
          </cell>
        </row>
        <row r="351">
          <cell r="A351">
            <v>21300327</v>
          </cell>
          <cell r="C351" t="str">
            <v>베르날 로욜라</v>
          </cell>
        </row>
        <row r="352">
          <cell r="A352">
            <v>21300328</v>
          </cell>
          <cell r="C352" t="str">
            <v>에스테반 페론</v>
          </cell>
        </row>
        <row r="353">
          <cell r="A353">
            <v>21300330</v>
          </cell>
          <cell r="C353" t="str">
            <v>프란시스쿠 알바레스</v>
          </cell>
        </row>
        <row r="354">
          <cell r="A354">
            <v>21300331</v>
          </cell>
          <cell r="C354" t="str">
            <v>두아르트 페레이라</v>
          </cell>
        </row>
        <row r="355">
          <cell r="A355">
            <v>21300332</v>
          </cell>
          <cell r="C355" t="str">
            <v>디에구 소사</v>
          </cell>
        </row>
        <row r="356">
          <cell r="A356">
            <v>21300333</v>
          </cell>
          <cell r="C356" t="str">
            <v>곤잘루 실베이라</v>
          </cell>
        </row>
        <row r="357">
          <cell r="A357">
            <v>21300334</v>
          </cell>
          <cell r="C357" t="str">
            <v>에드먼드 하비</v>
          </cell>
        </row>
        <row r="358">
          <cell r="A358">
            <v>21300335</v>
          </cell>
          <cell r="C358" t="str">
            <v>조반니 라무시오</v>
          </cell>
        </row>
        <row r="359">
          <cell r="A359">
            <v>21300337</v>
          </cell>
          <cell r="C359" t="str">
            <v>게오르크 폰슈파이어</v>
          </cell>
        </row>
        <row r="360">
          <cell r="A360">
            <v>21300338</v>
          </cell>
          <cell r="C360" t="str">
            <v>조반니 베세리스</v>
          </cell>
        </row>
        <row r="361">
          <cell r="A361">
            <v>21300340</v>
          </cell>
          <cell r="C361" t="str">
            <v>귀도 벤조</v>
          </cell>
        </row>
        <row r="362">
          <cell r="A362">
            <v>21300341</v>
          </cell>
          <cell r="C362" t="str">
            <v>앤서니 존슨</v>
          </cell>
        </row>
        <row r="363">
          <cell r="A363">
            <v>21300342</v>
          </cell>
          <cell r="C363" t="str">
            <v>헨리 만스펠</v>
          </cell>
        </row>
        <row r="364">
          <cell r="A364">
            <v>21300343</v>
          </cell>
          <cell r="C364" t="str">
            <v>우고 데몽카다</v>
          </cell>
        </row>
        <row r="365">
          <cell r="A365">
            <v>21300344</v>
          </cell>
          <cell r="C365" t="str">
            <v>휘호 올잭</v>
          </cell>
        </row>
        <row r="366">
          <cell r="A366">
            <v>21300345</v>
          </cell>
          <cell r="C366" t="str">
            <v>에드워드 댐피어</v>
          </cell>
        </row>
        <row r="367">
          <cell r="A367">
            <v>21300346</v>
          </cell>
          <cell r="C367" t="str">
            <v>야코프 발바커</v>
          </cell>
        </row>
        <row r="368">
          <cell r="A368">
            <v>21300347</v>
          </cell>
          <cell r="C368" t="str">
            <v>자크 브룸</v>
          </cell>
        </row>
        <row r="369">
          <cell r="A369">
            <v>21300348</v>
          </cell>
          <cell r="C369" t="str">
            <v>조셉 이스트먼</v>
          </cell>
        </row>
        <row r="370">
          <cell r="A370">
            <v>21300349</v>
          </cell>
          <cell r="C370" t="str">
            <v>쥬세페 루도비코</v>
          </cell>
        </row>
        <row r="371">
          <cell r="A371">
            <v>21300350</v>
          </cell>
          <cell r="C371" t="str">
            <v>발보아 오리드</v>
          </cell>
        </row>
        <row r="372">
          <cell r="A372">
            <v>21300351</v>
          </cell>
          <cell r="C372" t="str">
            <v>율리스 하위헌스</v>
          </cell>
        </row>
        <row r="373">
          <cell r="A373">
            <v>21300352</v>
          </cell>
          <cell r="C373" t="str">
            <v>율리안 페르메이르</v>
          </cell>
        </row>
        <row r="374">
          <cell r="A374">
            <v>21300354</v>
          </cell>
          <cell r="C374" t="str">
            <v>로런스 에드워드</v>
          </cell>
        </row>
        <row r="375">
          <cell r="A375">
            <v>21300355</v>
          </cell>
          <cell r="C375" t="str">
            <v>피터르 벤후크</v>
          </cell>
        </row>
        <row r="376">
          <cell r="A376">
            <v>21300357</v>
          </cell>
          <cell r="C376" t="str">
            <v>마누엘 페레스트렐루</v>
          </cell>
        </row>
        <row r="377">
          <cell r="A377">
            <v>21300358</v>
          </cell>
          <cell r="C377" t="str">
            <v>모리스 레이든</v>
          </cell>
        </row>
        <row r="378">
          <cell r="A378">
            <v>21300359</v>
          </cell>
          <cell r="C378" t="str">
            <v>판필로 오리드</v>
          </cell>
        </row>
        <row r="379">
          <cell r="A379">
            <v>21300360</v>
          </cell>
          <cell r="C379" t="str">
            <v>한스 슈타덴</v>
          </cell>
        </row>
        <row r="380">
          <cell r="A380">
            <v>21300361</v>
          </cell>
          <cell r="C380" t="str">
            <v>리처드 헉슬리</v>
          </cell>
        </row>
        <row r="381">
          <cell r="A381">
            <v>21300362</v>
          </cell>
          <cell r="C381" t="str">
            <v>로버트 와일드</v>
          </cell>
        </row>
        <row r="382">
          <cell r="A382">
            <v>21300363</v>
          </cell>
          <cell r="C382" t="str">
            <v>주앙 드카스트루</v>
          </cell>
        </row>
        <row r="383">
          <cell r="A383">
            <v>21300364</v>
          </cell>
          <cell r="C383" t="str">
            <v>로푸 페레이라</v>
          </cell>
        </row>
        <row r="384">
          <cell r="A384">
            <v>21300365</v>
          </cell>
          <cell r="C384" t="str">
            <v>살림 괴브데</v>
          </cell>
        </row>
        <row r="385">
          <cell r="A385">
            <v>21300366</v>
          </cell>
          <cell r="C385" t="str">
            <v>카밀로 사보나롤라</v>
          </cell>
        </row>
        <row r="386">
          <cell r="A386">
            <v>21300368</v>
          </cell>
          <cell r="C386" t="str">
            <v>빅터 러셀</v>
          </cell>
        </row>
        <row r="387">
          <cell r="A387">
            <v>21300369</v>
          </cell>
          <cell r="C387" t="str">
            <v>귀친 케말</v>
          </cell>
        </row>
        <row r="388">
          <cell r="A388">
            <v>21300370</v>
          </cell>
          <cell r="C388" t="str">
            <v>월터 로런스</v>
          </cell>
        </row>
        <row r="389">
          <cell r="A389">
            <v>21300371</v>
          </cell>
          <cell r="C389" t="str">
            <v>윌리엄 클라이브</v>
          </cell>
        </row>
        <row r="390">
          <cell r="A390">
            <v>21300372</v>
          </cell>
          <cell r="C390" t="str">
            <v>페드로 나바로</v>
          </cell>
        </row>
        <row r="391">
          <cell r="A391">
            <v>21300373</v>
          </cell>
          <cell r="C391" t="str">
            <v>우준 카이프</v>
          </cell>
        </row>
        <row r="392">
          <cell r="A392">
            <v>21300374</v>
          </cell>
          <cell r="C392" t="str">
            <v>자가노스 베이</v>
          </cell>
        </row>
        <row r="393">
          <cell r="A393">
            <v>21300375</v>
          </cell>
          <cell r="C393" t="str">
            <v>주앙 아폰수</v>
          </cell>
        </row>
        <row r="394">
          <cell r="A394">
            <v>21300380</v>
          </cell>
          <cell r="C394" t="str">
            <v>비신</v>
          </cell>
        </row>
        <row r="395">
          <cell r="A395">
            <v>21300381</v>
          </cell>
          <cell r="C395" t="str">
            <v>장안순</v>
          </cell>
        </row>
        <row r="396">
          <cell r="A396">
            <v>21300382</v>
          </cell>
          <cell r="C396" t="str">
            <v>미켈레토 코렐라</v>
          </cell>
        </row>
        <row r="397">
          <cell r="A397">
            <v>21300383</v>
          </cell>
          <cell r="C397" t="str">
            <v>후안 세바스티안 엘카노</v>
          </cell>
        </row>
        <row r="398">
          <cell r="A398">
            <v>21300384</v>
          </cell>
          <cell r="C398" t="str">
            <v>프란시스코 하비에르</v>
          </cell>
        </row>
        <row r="399">
          <cell r="A399">
            <v>21300385</v>
          </cell>
          <cell r="C399" t="str">
            <v>곤살로 데케사다</v>
          </cell>
        </row>
        <row r="400">
          <cell r="A400">
            <v>21300386</v>
          </cell>
          <cell r="C400" t="str">
            <v>세바스티안 비스카이노</v>
          </cell>
        </row>
        <row r="401">
          <cell r="A401">
            <v>21300387</v>
          </cell>
          <cell r="C401" t="str">
            <v>페드로 데키로스</v>
          </cell>
        </row>
        <row r="402">
          <cell r="A402">
            <v>21300388</v>
          </cell>
          <cell r="C402" t="str">
            <v>야코프 로헤베인</v>
          </cell>
        </row>
        <row r="403">
          <cell r="A403">
            <v>21300389</v>
          </cell>
          <cell r="C403" t="str">
            <v>존 해리슨</v>
          </cell>
        </row>
        <row r="404">
          <cell r="A404">
            <v>21300390</v>
          </cell>
          <cell r="C404" t="str">
            <v>얀 요스턴 판로덴스테인</v>
          </cell>
        </row>
        <row r="405">
          <cell r="A405">
            <v>21300391</v>
          </cell>
          <cell r="C405" t="str">
            <v>페르낭 고메스 다미나</v>
          </cell>
        </row>
        <row r="406">
          <cell r="A406">
            <v>21300392</v>
          </cell>
          <cell r="C406" t="str">
            <v>디오구 캉</v>
          </cell>
        </row>
        <row r="407">
          <cell r="A407">
            <v>21300393</v>
          </cell>
          <cell r="C407" t="str">
            <v>아불 파즐</v>
          </cell>
        </row>
        <row r="408">
          <cell r="A408">
            <v>21300395</v>
          </cell>
          <cell r="C408" t="str">
            <v>페르낭 둘무</v>
          </cell>
        </row>
        <row r="409">
          <cell r="A409">
            <v>21300396</v>
          </cell>
          <cell r="C409" t="str">
            <v>마환</v>
          </cell>
        </row>
        <row r="410">
          <cell r="A410">
            <v>21300397</v>
          </cell>
          <cell r="C410" t="str">
            <v>안토니우 드아브레우</v>
          </cell>
        </row>
        <row r="411">
          <cell r="A411">
            <v>21300398</v>
          </cell>
          <cell r="C411" t="str">
            <v>조르즈 알바르스</v>
          </cell>
        </row>
        <row r="412">
          <cell r="A412">
            <v>21300399</v>
          </cell>
          <cell r="C412" t="str">
            <v>디에고 데니쿠에사</v>
          </cell>
        </row>
        <row r="413">
          <cell r="A413">
            <v>21300400</v>
          </cell>
          <cell r="C413" t="str">
            <v>미르자 아지즈 코카</v>
          </cell>
        </row>
        <row r="414">
          <cell r="A414">
            <v>21300401</v>
          </cell>
          <cell r="C414" t="str">
            <v>프란시스코 데보바디야</v>
          </cell>
        </row>
        <row r="415">
          <cell r="A415">
            <v>21300402</v>
          </cell>
          <cell r="C415" t="str">
            <v>판필로 데나르바에스</v>
          </cell>
        </row>
        <row r="416">
          <cell r="A416">
            <v>21300403</v>
          </cell>
          <cell r="C416" t="str">
            <v>알론소 알바레스 데피네다</v>
          </cell>
        </row>
        <row r="417">
          <cell r="A417">
            <v>21300404</v>
          </cell>
          <cell r="C417" t="str">
            <v>쿠스라우 미르자</v>
          </cell>
        </row>
        <row r="418">
          <cell r="A418">
            <v>21300405</v>
          </cell>
          <cell r="C418" t="str">
            <v>후안 데그리할바</v>
          </cell>
        </row>
        <row r="419">
          <cell r="A419">
            <v>21300407</v>
          </cell>
          <cell r="C419" t="str">
            <v>디에고 데오르다스</v>
          </cell>
        </row>
        <row r="420">
          <cell r="A420">
            <v>21300408</v>
          </cell>
          <cell r="C420" t="str">
            <v>에르난도 데소토</v>
          </cell>
        </row>
        <row r="421">
          <cell r="A421">
            <v>21300409</v>
          </cell>
          <cell r="C421" t="str">
            <v>프란시스코 데몬테호</v>
          </cell>
        </row>
        <row r="422">
          <cell r="A422">
            <v>21300410</v>
          </cell>
          <cell r="C422" t="str">
            <v>마르코스 데니사</v>
          </cell>
        </row>
        <row r="423">
          <cell r="A423">
            <v>21300412</v>
          </cell>
          <cell r="C423" t="str">
            <v>세바스찬 캐벗</v>
          </cell>
        </row>
        <row r="424">
          <cell r="A424">
            <v>21300413</v>
          </cell>
          <cell r="C424" t="str">
            <v>고스와미 툴시다스</v>
          </cell>
        </row>
        <row r="425">
          <cell r="A425">
            <v>21300414</v>
          </cell>
          <cell r="C425" t="str">
            <v>토다르 말</v>
          </cell>
        </row>
        <row r="426">
          <cell r="A426">
            <v>21300416</v>
          </cell>
          <cell r="C426" t="str">
            <v>기도 데라베사리스</v>
          </cell>
        </row>
        <row r="427">
          <cell r="A427">
            <v>21300417</v>
          </cell>
          <cell r="C427" t="str">
            <v>이마이 소쿤</v>
          </cell>
        </row>
        <row r="428">
          <cell r="A428">
            <v>21300418</v>
          </cell>
          <cell r="C428" t="str">
            <v>이마이 소큐</v>
          </cell>
        </row>
        <row r="429">
          <cell r="A429">
            <v>21300419</v>
          </cell>
          <cell r="C429" t="str">
            <v>이스테방 고메스</v>
          </cell>
        </row>
        <row r="430">
          <cell r="A430">
            <v>21300420</v>
          </cell>
          <cell r="C430" t="str">
            <v>아이 마타</v>
          </cell>
        </row>
        <row r="431">
          <cell r="A431">
            <v>21300421</v>
          </cell>
          <cell r="C431" t="str">
            <v>디에고 카바예로</v>
          </cell>
        </row>
        <row r="432">
          <cell r="A432">
            <v>21300423</v>
          </cell>
          <cell r="C432" t="str">
            <v>페드로 데감보아</v>
          </cell>
        </row>
        <row r="433">
          <cell r="A433">
            <v>21300426</v>
          </cell>
          <cell r="C433" t="str">
            <v>요한 할레르</v>
          </cell>
        </row>
        <row r="434">
          <cell r="A434">
            <v>21300427</v>
          </cell>
          <cell r="C434" t="str">
            <v>트리폰 코로베이니코프</v>
          </cell>
        </row>
        <row r="435">
          <cell r="A435">
            <v>21300428</v>
          </cell>
          <cell r="C435" t="str">
            <v>안토니우 드살다냐</v>
          </cell>
        </row>
        <row r="436">
          <cell r="A436">
            <v>21300429</v>
          </cell>
          <cell r="C436" t="str">
            <v>마르팅 아폰수 드소자</v>
          </cell>
        </row>
        <row r="437">
          <cell r="A437">
            <v>21300430</v>
          </cell>
          <cell r="C437" t="str">
            <v>예르마크 티모페예비치</v>
          </cell>
        </row>
        <row r="438">
          <cell r="A438">
            <v>21300431</v>
          </cell>
          <cell r="C438" t="str">
            <v>세묜 스트로가노프</v>
          </cell>
        </row>
        <row r="439">
          <cell r="A439">
            <v>21300433</v>
          </cell>
          <cell r="C439" t="str">
            <v>헨리 미들턴</v>
          </cell>
        </row>
        <row r="440">
          <cell r="A440">
            <v>21300434</v>
          </cell>
          <cell r="C440" t="str">
            <v>루이스 데토레스</v>
          </cell>
        </row>
        <row r="441">
          <cell r="A441">
            <v>21300435</v>
          </cell>
          <cell r="C441" t="str">
            <v>운니야르카</v>
          </cell>
        </row>
        <row r="442">
          <cell r="A442">
            <v>21300436</v>
          </cell>
          <cell r="C442" t="str">
            <v>스미노쿠라 료이</v>
          </cell>
        </row>
        <row r="443">
          <cell r="A443">
            <v>21300437</v>
          </cell>
          <cell r="C443" t="str">
            <v>하바 카툰</v>
          </cell>
        </row>
        <row r="444">
          <cell r="A444">
            <v>21300438</v>
          </cell>
          <cell r="C444" t="str">
            <v>디에고 알바레스 창카</v>
          </cell>
        </row>
        <row r="445">
          <cell r="A445">
            <v>21300439</v>
          </cell>
          <cell r="C445" t="str">
            <v>로버트 아마다스</v>
          </cell>
        </row>
        <row r="446">
          <cell r="A446">
            <v>21300440</v>
          </cell>
          <cell r="C446" t="str">
            <v>프란시스코 데헤레스</v>
          </cell>
        </row>
        <row r="447">
          <cell r="A447">
            <v>21300441</v>
          </cell>
          <cell r="C447" t="str">
            <v>바르톨로메 데라스 카사스</v>
          </cell>
        </row>
        <row r="448">
          <cell r="A448">
            <v>21300442</v>
          </cell>
          <cell r="C448" t="str">
            <v>니콜라스 플라멜</v>
          </cell>
        </row>
        <row r="449">
          <cell r="A449">
            <v>21300443</v>
          </cell>
          <cell r="C449" t="str">
            <v>루도비코 데바르테마</v>
          </cell>
        </row>
        <row r="450">
          <cell r="A450">
            <v>21300444</v>
          </cell>
          <cell r="C450" t="str">
            <v>야코프 판넥</v>
          </cell>
        </row>
        <row r="451">
          <cell r="A451">
            <v>21300445</v>
          </cell>
          <cell r="C451" t="str">
            <v>가메이 고레노리</v>
          </cell>
        </row>
        <row r="452">
          <cell r="A452">
            <v>21300446</v>
          </cell>
          <cell r="C452" t="str">
            <v>혜희</v>
          </cell>
        </row>
        <row r="453">
          <cell r="A453">
            <v>21300447</v>
          </cell>
          <cell r="C453" t="str">
            <v>가스파로 발비</v>
          </cell>
        </row>
        <row r="454">
          <cell r="A454">
            <v>21300448</v>
          </cell>
          <cell r="C454" t="str">
            <v>심청</v>
          </cell>
        </row>
        <row r="455">
          <cell r="A455">
            <v>21300449</v>
          </cell>
          <cell r="C455" t="str">
            <v>구루시마 미치후사</v>
          </cell>
        </row>
        <row r="456">
          <cell r="A456">
            <v>21300450</v>
          </cell>
          <cell r="C456" t="str">
            <v>진린</v>
          </cell>
        </row>
        <row r="457">
          <cell r="A457">
            <v>21300451</v>
          </cell>
          <cell r="C457" t="str">
            <v>도날 나피오파</v>
          </cell>
        </row>
        <row r="458">
          <cell r="A458">
            <v>21300452</v>
          </cell>
          <cell r="C458" t="str">
            <v>조너선 바넷</v>
          </cell>
        </row>
        <row r="459">
          <cell r="A459">
            <v>21300455</v>
          </cell>
          <cell r="C459" t="str">
            <v>세이디 알리 레이스</v>
          </cell>
        </row>
        <row r="460">
          <cell r="A460">
            <v>21300456</v>
          </cell>
          <cell r="C460" t="str">
            <v>카타리나 코르네르</v>
          </cell>
        </row>
        <row r="461">
          <cell r="A461">
            <v>21300457</v>
          </cell>
          <cell r="C461" t="str">
            <v>세페르 레이스</v>
          </cell>
        </row>
        <row r="462">
          <cell r="A462">
            <v>21300458</v>
          </cell>
          <cell r="C462" t="str">
            <v>그레고리오 세스페데스</v>
          </cell>
        </row>
        <row r="463">
          <cell r="A463">
            <v>21300459</v>
          </cell>
          <cell r="C463" t="str">
            <v>슈무엘 베일라시</v>
          </cell>
        </row>
        <row r="464">
          <cell r="A464">
            <v>21300460</v>
          </cell>
          <cell r="C464" t="str">
            <v>시난 레이스</v>
          </cell>
        </row>
        <row r="465">
          <cell r="A465">
            <v>21300462</v>
          </cell>
          <cell r="C465" t="str">
            <v>하산 아그하</v>
          </cell>
        </row>
        <row r="466">
          <cell r="A466">
            <v>21300463</v>
          </cell>
          <cell r="C466" t="str">
            <v>무라트 레이스</v>
          </cell>
        </row>
        <row r="467">
          <cell r="A467">
            <v>21300464</v>
          </cell>
          <cell r="C467" t="str">
            <v>히사카지마 야스케</v>
          </cell>
        </row>
        <row r="468">
          <cell r="A468">
            <v>21300465</v>
          </cell>
          <cell r="C468" t="str">
            <v>후안 바스케스</v>
          </cell>
        </row>
        <row r="469">
          <cell r="A469">
            <v>21300466</v>
          </cell>
          <cell r="C469" t="str">
            <v>알베로 스킬라치</v>
          </cell>
        </row>
        <row r="470">
          <cell r="A470">
            <v>21300468</v>
          </cell>
          <cell r="C470" t="str">
            <v>모리스 드삭스</v>
          </cell>
        </row>
        <row r="471">
          <cell r="A471">
            <v>21300469</v>
          </cell>
          <cell r="C471" t="str">
            <v>미령</v>
          </cell>
        </row>
        <row r="472">
          <cell r="A472">
            <v>21300470</v>
          </cell>
          <cell r="C472" t="str">
            <v>홍보</v>
          </cell>
        </row>
        <row r="473">
          <cell r="A473">
            <v>21300471</v>
          </cell>
          <cell r="C473" t="str">
            <v>주만</v>
          </cell>
        </row>
        <row r="474">
          <cell r="A474">
            <v>21300473</v>
          </cell>
          <cell r="C474" t="str">
            <v>주문</v>
          </cell>
        </row>
        <row r="475">
          <cell r="A475">
            <v>21300474</v>
          </cell>
          <cell r="C475" t="str">
            <v>양경</v>
          </cell>
        </row>
        <row r="476">
          <cell r="A476">
            <v>21300475</v>
          </cell>
          <cell r="C476" t="str">
            <v>성춘향</v>
          </cell>
        </row>
        <row r="477">
          <cell r="A477">
            <v>21300476</v>
          </cell>
          <cell r="C477" t="str">
            <v>이종무</v>
          </cell>
        </row>
        <row r="478">
          <cell r="A478">
            <v>21300477</v>
          </cell>
          <cell r="C478" t="str">
            <v>고유강</v>
          </cell>
        </row>
        <row r="479">
          <cell r="A479">
            <v>21300478</v>
          </cell>
          <cell r="C479" t="str">
            <v>마쓰라 다카노부</v>
          </cell>
        </row>
        <row r="480">
          <cell r="A480">
            <v>21300480</v>
          </cell>
          <cell r="C480" t="str">
            <v>다가와 시치자에몬</v>
          </cell>
        </row>
        <row r="481">
          <cell r="A481">
            <v>21300481</v>
          </cell>
          <cell r="C481" t="str">
            <v>알제우나</v>
          </cell>
        </row>
        <row r="482">
          <cell r="A482">
            <v>21300482</v>
          </cell>
          <cell r="C482" t="str">
            <v>카를로타1</v>
          </cell>
        </row>
        <row r="483">
          <cell r="A483">
            <v>21300483</v>
          </cell>
          <cell r="C483" t="str">
            <v>마르코1</v>
          </cell>
        </row>
        <row r="484">
          <cell r="A484">
            <v>21300484</v>
          </cell>
          <cell r="C484" t="str">
            <v>콘라드</v>
          </cell>
        </row>
        <row r="485">
          <cell r="A485">
            <v>21300488</v>
          </cell>
          <cell r="C485" t="str">
            <v>타라바이</v>
          </cell>
        </row>
        <row r="486">
          <cell r="A486">
            <v>21300489</v>
          </cell>
          <cell r="C486" t="str">
            <v>잔 아셰트</v>
          </cell>
        </row>
        <row r="487">
          <cell r="A487">
            <v>21300490</v>
          </cell>
          <cell r="C487" t="str">
            <v>엄영춘</v>
          </cell>
        </row>
        <row r="488">
          <cell r="A488">
            <v>21300491</v>
          </cell>
          <cell r="C488" t="str">
            <v>안나 오커히엘름</v>
          </cell>
        </row>
        <row r="489">
          <cell r="A489">
            <v>21300492</v>
          </cell>
          <cell r="C489" t="str">
            <v>툴리아 다라고나</v>
          </cell>
        </row>
        <row r="490">
          <cell r="A490">
            <v>21300493</v>
          </cell>
          <cell r="C490" t="str">
            <v>프란체스카 카치니</v>
          </cell>
        </row>
        <row r="491">
          <cell r="A491">
            <v>21300494</v>
          </cell>
          <cell r="C491" t="str">
            <v>아녜스 소렐</v>
          </cell>
        </row>
        <row r="492">
          <cell r="A492">
            <v>21300498</v>
          </cell>
          <cell r="C492" t="str">
            <v>소포니스바 앙귀솔라</v>
          </cell>
        </row>
        <row r="493">
          <cell r="A493">
            <v>21300500</v>
          </cell>
          <cell r="C493" t="str">
            <v>카산드라 페델레</v>
          </cell>
        </row>
        <row r="494">
          <cell r="A494">
            <v>21300501</v>
          </cell>
          <cell r="C494" t="str">
            <v>아나 마리아 데소토</v>
          </cell>
        </row>
        <row r="495">
          <cell r="A495">
            <v>21300502</v>
          </cell>
          <cell r="C495" t="str">
            <v>마리아 피타</v>
          </cell>
        </row>
        <row r="496">
          <cell r="A496">
            <v>21300506</v>
          </cell>
          <cell r="C496" t="str">
            <v>루크레치아 토르나부오니</v>
          </cell>
        </row>
        <row r="497">
          <cell r="A497">
            <v>21300507</v>
          </cell>
          <cell r="C497" t="str">
            <v>아그네스 베르나우어</v>
          </cell>
        </row>
        <row r="498">
          <cell r="A498">
            <v>21300508</v>
          </cell>
          <cell r="C498" t="str">
            <v>로드리고 데콜메나레스</v>
          </cell>
        </row>
        <row r="499">
          <cell r="A499">
            <v>21300509</v>
          </cell>
          <cell r="C499" t="str">
            <v>아즈비케</v>
          </cell>
        </row>
        <row r="500">
          <cell r="A500">
            <v>21300510</v>
          </cell>
          <cell r="C500" t="str">
            <v>파우라</v>
          </cell>
        </row>
        <row r="501">
          <cell r="A501">
            <v>21300511</v>
          </cell>
          <cell r="C501" t="str">
            <v>카츄아파</v>
          </cell>
        </row>
        <row r="502">
          <cell r="A502">
            <v>21300512</v>
          </cell>
          <cell r="C502" t="str">
            <v>죽음의 신 루돌프1</v>
          </cell>
        </row>
        <row r="503">
          <cell r="A503">
            <v>21300513</v>
          </cell>
          <cell r="C503" t="str">
            <v>티노카틀1</v>
          </cell>
        </row>
        <row r="504">
          <cell r="A504">
            <v>21300514</v>
          </cell>
          <cell r="C504" t="str">
            <v>로베르토 에제키엘1</v>
          </cell>
        </row>
        <row r="505">
          <cell r="A505">
            <v>21300515</v>
          </cell>
          <cell r="C505" t="str">
            <v>알베르트1</v>
          </cell>
        </row>
        <row r="506">
          <cell r="A506">
            <v>21300516</v>
          </cell>
          <cell r="C506" t="str">
            <v>조커 다실버1</v>
          </cell>
        </row>
        <row r="507">
          <cell r="A507">
            <v>21300517</v>
          </cell>
          <cell r="C507" t="str">
            <v>아르드비1</v>
          </cell>
        </row>
        <row r="508">
          <cell r="A508">
            <v>21300518</v>
          </cell>
          <cell r="C508" t="str">
            <v>크리스티나</v>
          </cell>
        </row>
        <row r="509">
          <cell r="A509">
            <v>21300519</v>
          </cell>
          <cell r="C509" t="str">
            <v>시오미 후우키치1</v>
          </cell>
        </row>
        <row r="510">
          <cell r="A510">
            <v>21300520</v>
          </cell>
          <cell r="C510" t="str">
            <v>공손포월</v>
          </cell>
        </row>
        <row r="511">
          <cell r="A511">
            <v>21300521</v>
          </cell>
          <cell r="C511" t="str">
            <v>귈리스탄</v>
          </cell>
        </row>
        <row r="512">
          <cell r="A512">
            <v>21300522</v>
          </cell>
          <cell r="C512" t="str">
            <v>사파1</v>
          </cell>
        </row>
        <row r="513">
          <cell r="A513">
            <v>21320005</v>
          </cell>
          <cell r="C513" t="str">
            <v>엘리트 하이레딘 레이스</v>
          </cell>
        </row>
        <row r="514">
          <cell r="A514">
            <v>21320006</v>
          </cell>
          <cell r="C514" t="str">
            <v>엘리트 메흐메트 슐루크</v>
          </cell>
        </row>
        <row r="515">
          <cell r="A515">
            <v>21320017</v>
          </cell>
          <cell r="C515" t="str">
            <v>엘리트 우르지 바르바로사</v>
          </cell>
        </row>
        <row r="516">
          <cell r="A516">
            <v>21320023</v>
          </cell>
          <cell r="C516" t="str">
            <v>엘리트 에드워드 티치</v>
          </cell>
        </row>
        <row r="517">
          <cell r="A517">
            <v>21320024</v>
          </cell>
          <cell r="C517" t="str">
            <v>엘리트 바솔로뮤 로버츠</v>
          </cell>
        </row>
        <row r="518">
          <cell r="A518">
            <v>21320026</v>
          </cell>
          <cell r="C518" t="str">
            <v>엘리트 에드워드 잉글랜드</v>
          </cell>
        </row>
        <row r="519">
          <cell r="A519">
            <v>21320027</v>
          </cell>
          <cell r="C519" t="str">
            <v>엘리트 토마스 튜</v>
          </cell>
        </row>
        <row r="520">
          <cell r="A520">
            <v>21320044</v>
          </cell>
          <cell r="C520" t="str">
            <v>엘리트 메리 리드</v>
          </cell>
        </row>
        <row r="521">
          <cell r="A521">
            <v>21320047</v>
          </cell>
          <cell r="C521" t="str">
            <v>엘리트 샬롯 드베리</v>
          </cell>
        </row>
        <row r="522">
          <cell r="A522">
            <v>21320051</v>
          </cell>
          <cell r="C522" t="str">
            <v>엘리트 아이든 레이스</v>
          </cell>
        </row>
        <row r="523">
          <cell r="A523">
            <v>21320062</v>
          </cell>
          <cell r="C523" t="str">
            <v>엘리트 가스팔 신트라</v>
          </cell>
        </row>
        <row r="524">
          <cell r="A524">
            <v>21320074</v>
          </cell>
          <cell r="C524" t="str">
            <v>엘리트 스티드 보닛</v>
          </cell>
        </row>
        <row r="525">
          <cell r="A525">
            <v>21320088</v>
          </cell>
          <cell r="C525" t="str">
            <v>엘리트 윌리엄 키드</v>
          </cell>
        </row>
        <row r="526">
          <cell r="A526">
            <v>21320095</v>
          </cell>
          <cell r="C526" t="str">
            <v>엘리트 하웰 데이비스</v>
          </cell>
        </row>
        <row r="527">
          <cell r="A527">
            <v>21320098</v>
          </cell>
          <cell r="C527" t="str">
            <v>엘리트 트레볼 에스티브라</v>
          </cell>
        </row>
        <row r="528">
          <cell r="A528">
            <v>21320099</v>
          </cell>
          <cell r="C528" t="str">
            <v>엘리트 오즈월드 레밍톤</v>
          </cell>
        </row>
        <row r="529">
          <cell r="A529">
            <v>21320126</v>
          </cell>
          <cell r="C529" t="str">
            <v>엘리트 마리 앤</v>
          </cell>
        </row>
        <row r="530">
          <cell r="A530">
            <v>21320127</v>
          </cell>
          <cell r="C530" t="str">
            <v>엘리트 레이첼 월</v>
          </cell>
        </row>
        <row r="531">
          <cell r="A531">
            <v>21320140</v>
          </cell>
          <cell r="C531" t="str">
            <v>엘리트 안토니오 칸</v>
          </cell>
        </row>
        <row r="532">
          <cell r="A532">
            <v>21320150</v>
          </cell>
          <cell r="C532" t="str">
            <v>엘리트 케빈 피셔</v>
          </cell>
        </row>
        <row r="533">
          <cell r="A533">
            <v>21320152</v>
          </cell>
          <cell r="C533" t="str">
            <v>엘리트 존 래컴</v>
          </cell>
        </row>
        <row r="534">
          <cell r="A534">
            <v>21320153</v>
          </cell>
          <cell r="C534" t="str">
            <v>엘리트 존 데이비스</v>
          </cell>
        </row>
        <row r="535">
          <cell r="A535">
            <v>21320155</v>
          </cell>
          <cell r="C535" t="str">
            <v>엘리트 루이스 스콧</v>
          </cell>
        </row>
        <row r="536">
          <cell r="A536">
            <v>21320165</v>
          </cell>
          <cell r="C536" t="str">
            <v>엘리트 로버트 로우</v>
          </cell>
        </row>
        <row r="537">
          <cell r="A537">
            <v>21320170</v>
          </cell>
          <cell r="C537" t="str">
            <v>엘리트 울루치 알리</v>
          </cell>
        </row>
        <row r="538">
          <cell r="A538">
            <v>21320180</v>
          </cell>
          <cell r="C538" t="str">
            <v>엘리트 리차드 월리</v>
          </cell>
        </row>
        <row r="539">
          <cell r="A539">
            <v>21320181</v>
          </cell>
          <cell r="C539" t="str">
            <v>엘리트 찰스 베인</v>
          </cell>
        </row>
        <row r="540">
          <cell r="A540">
            <v>21320218</v>
          </cell>
          <cell r="C540" t="str">
            <v>엘리트 프랑수아 르클레르</v>
          </cell>
        </row>
        <row r="541">
          <cell r="A541">
            <v>21320260</v>
          </cell>
          <cell r="C541" t="str">
            <v>엘리트 석양</v>
          </cell>
        </row>
        <row r="542">
          <cell r="A542">
            <v>21320261</v>
          </cell>
          <cell r="C542" t="str">
            <v>엘리트 에드워드 로우</v>
          </cell>
        </row>
        <row r="543">
          <cell r="A543">
            <v>21320271</v>
          </cell>
          <cell r="C543" t="str">
            <v>엘리트 진조의</v>
          </cell>
        </row>
        <row r="544">
          <cell r="A544">
            <v>21320273</v>
          </cell>
          <cell r="C544" t="str">
            <v>엘리트 카시드</v>
          </cell>
        </row>
        <row r="545">
          <cell r="A545">
            <v>21320285</v>
          </cell>
          <cell r="C545" t="str">
            <v>엘리트 왕직</v>
          </cell>
        </row>
        <row r="546">
          <cell r="A546">
            <v>21320297</v>
          </cell>
          <cell r="C546" t="str">
            <v>엘리트 아사르파이</v>
          </cell>
        </row>
        <row r="547">
          <cell r="A547">
            <v>21320313</v>
          </cell>
          <cell r="C547" t="str">
            <v>엘리트 암브로지우스 에힝어</v>
          </cell>
        </row>
        <row r="548">
          <cell r="A548">
            <v>21320316</v>
          </cell>
          <cell r="C548" t="str">
            <v>엘리트 안토니오 핀데아도</v>
          </cell>
        </row>
        <row r="549">
          <cell r="A549">
            <v>21320326</v>
          </cell>
          <cell r="C549" t="str">
            <v>엘리트 게오르크 폰슈파이어</v>
          </cell>
        </row>
        <row r="550">
          <cell r="A550">
            <v>21320330</v>
          </cell>
          <cell r="C550" t="str">
            <v>엘리트 헨리 만스펠</v>
          </cell>
        </row>
        <row r="551">
          <cell r="A551">
            <v>21320333</v>
          </cell>
          <cell r="C551" t="str">
            <v>엘리트 에드워드 댐피어</v>
          </cell>
        </row>
        <row r="552">
          <cell r="A552">
            <v>21320334</v>
          </cell>
          <cell r="C552" t="str">
            <v>엘리트 야코프 발바커</v>
          </cell>
        </row>
        <row r="553">
          <cell r="A553">
            <v>21320347</v>
          </cell>
          <cell r="C553" t="str">
            <v>엘리트 리처드 헉슬리</v>
          </cell>
        </row>
        <row r="554">
          <cell r="A554">
            <v>21320356</v>
          </cell>
          <cell r="C554" t="str">
            <v>엘리트 윌리엄 클라이브</v>
          </cell>
        </row>
        <row r="555">
          <cell r="A555">
            <v>21320360</v>
          </cell>
          <cell r="C555" t="str">
            <v>엘리트 주앙 아폰수</v>
          </cell>
        </row>
        <row r="556">
          <cell r="A556">
            <v>21320362</v>
          </cell>
          <cell r="C556" t="str">
            <v>엘리트 장안순</v>
          </cell>
        </row>
        <row r="557">
          <cell r="A557">
            <v>21320431</v>
          </cell>
          <cell r="C557" t="str">
            <v>엘리트 시난 레이스</v>
          </cell>
        </row>
        <row r="558">
          <cell r="A558">
            <v>21320434</v>
          </cell>
          <cell r="C558" t="str">
            <v>엘리트 히사카지마 야스케</v>
          </cell>
        </row>
        <row r="559">
          <cell r="A559">
            <v>21320446</v>
          </cell>
          <cell r="C559" t="str">
            <v>엘리트 마쓰라 다카노부</v>
          </cell>
        </row>
        <row r="560">
          <cell r="A560">
            <v>21320451</v>
          </cell>
          <cell r="C560" t="str">
            <v>엘리트 콘라드</v>
          </cell>
        </row>
        <row r="561">
          <cell r="A561">
            <v>21320466</v>
          </cell>
          <cell r="C561" t="str">
            <v>엘리트 아즈비케</v>
          </cell>
        </row>
        <row r="562">
          <cell r="A562">
            <v>21329991</v>
          </cell>
          <cell r="C562" t="str">
            <v>엘리트_해적 간부</v>
          </cell>
        </row>
        <row r="563">
          <cell r="A563">
            <v>21329992</v>
          </cell>
          <cell r="C563" t="str">
            <v>엘리트_노련한 선원</v>
          </cell>
        </row>
        <row r="564">
          <cell r="A564">
            <v>21329993</v>
          </cell>
          <cell r="C564" t="str">
            <v>엘리트_능숙한 선원</v>
          </cell>
        </row>
        <row r="565">
          <cell r="A565">
            <v>21329994</v>
          </cell>
          <cell r="C565" t="str">
            <v>엘리트_노련한 해적</v>
          </cell>
        </row>
        <row r="566">
          <cell r="A566">
            <v>21329995</v>
          </cell>
          <cell r="C566" t="str">
            <v>엘리트_능숙한 해적</v>
          </cell>
        </row>
        <row r="567">
          <cell r="A567">
            <v>21329996</v>
          </cell>
          <cell r="C567" t="str">
            <v>엘리트_잔인한 해적</v>
          </cell>
        </row>
        <row r="568">
          <cell r="A568">
            <v>21329997</v>
          </cell>
          <cell r="C568" t="str">
            <v>엘리트_포악한 해적</v>
          </cell>
        </row>
        <row r="569">
          <cell r="A569">
            <v>21329998</v>
          </cell>
          <cell r="C569" t="str">
            <v>엘리트_쾌활한 여해적</v>
          </cell>
        </row>
        <row r="570">
          <cell r="A570">
            <v>21329999</v>
          </cell>
          <cell r="C570" t="str">
            <v>엘리트_심약한 해적</v>
          </cell>
        </row>
        <row r="571">
          <cell r="A571">
            <v>21310001</v>
          </cell>
          <cell r="C571" t="str">
            <v>선원</v>
          </cell>
        </row>
        <row r="572">
          <cell r="A572">
            <v>21310002</v>
          </cell>
          <cell r="C572" t="str">
            <v>마르티네스</v>
          </cell>
        </row>
        <row r="573">
          <cell r="A573">
            <v>21310003</v>
          </cell>
          <cell r="C573" t="str">
            <v>로베르토 에제키엘</v>
          </cell>
        </row>
        <row r="574">
          <cell r="A574">
            <v>21310004</v>
          </cell>
          <cell r="C574" t="str">
            <v>프레트 페로</v>
          </cell>
        </row>
        <row r="575">
          <cell r="A575">
            <v>21310005</v>
          </cell>
          <cell r="C575" t="str">
            <v>왕수신</v>
          </cell>
        </row>
        <row r="576">
          <cell r="A576">
            <v>21310006</v>
          </cell>
          <cell r="C576" t="str">
            <v>죽음의 신 루돌프</v>
          </cell>
        </row>
        <row r="577">
          <cell r="A577">
            <v>21310007</v>
          </cell>
          <cell r="C577" t="str">
            <v>레온 페레로1</v>
          </cell>
        </row>
        <row r="578">
          <cell r="A578">
            <v>21310008</v>
          </cell>
          <cell r="C578" t="str">
            <v>레온 페레로1</v>
          </cell>
        </row>
        <row r="579">
          <cell r="A579">
            <v>21310009</v>
          </cell>
          <cell r="C579" t="str">
            <v>마슈 로이2</v>
          </cell>
        </row>
        <row r="580">
          <cell r="A580">
            <v>21310010</v>
          </cell>
          <cell r="C580" t="str">
            <v>헨리 만스펠2</v>
          </cell>
        </row>
        <row r="581">
          <cell r="A581">
            <v>21310011</v>
          </cell>
          <cell r="C581" t="str">
            <v>곤잘레스 비고르</v>
          </cell>
        </row>
        <row r="582">
          <cell r="A582">
            <v>21310012</v>
          </cell>
          <cell r="C582" t="str">
            <v>로드리게스 비고르</v>
          </cell>
        </row>
        <row r="583">
          <cell r="A583">
            <v>21310013</v>
          </cell>
          <cell r="C583" t="str">
            <v>가스팔 피렐리</v>
          </cell>
        </row>
        <row r="584">
          <cell r="A584">
            <v>21310014</v>
          </cell>
          <cell r="C584" t="str">
            <v>마리벨</v>
          </cell>
        </row>
        <row r="585">
          <cell r="A585">
            <v>21310015</v>
          </cell>
          <cell r="C585" t="str">
            <v>유지</v>
          </cell>
        </row>
        <row r="586">
          <cell r="A586">
            <v>21310016</v>
          </cell>
          <cell r="C586" t="str">
            <v>피라리</v>
          </cell>
        </row>
        <row r="587">
          <cell r="A587">
            <v>21330000</v>
          </cell>
          <cell r="C587" t="str">
            <v>교황령 선원 1</v>
          </cell>
        </row>
        <row r="588">
          <cell r="A588">
            <v>21330001</v>
          </cell>
          <cell r="C588" t="str">
            <v>교황령 선원 2</v>
          </cell>
        </row>
        <row r="589">
          <cell r="A589">
            <v>21330002</v>
          </cell>
          <cell r="C589" t="str">
            <v>교황령 선원 3</v>
          </cell>
        </row>
        <row r="590">
          <cell r="A590">
            <v>21330003</v>
          </cell>
          <cell r="C590" t="str">
            <v>교황령 선원 4</v>
          </cell>
        </row>
        <row r="591">
          <cell r="A591">
            <v>21330004</v>
          </cell>
          <cell r="C591" t="str">
            <v>구자라트 선원 1</v>
          </cell>
        </row>
        <row r="592">
          <cell r="A592">
            <v>21330005</v>
          </cell>
          <cell r="C592" t="str">
            <v>구자라트 선원 2</v>
          </cell>
        </row>
        <row r="593">
          <cell r="A593">
            <v>21330006</v>
          </cell>
          <cell r="C593" t="str">
            <v>구자라트 선원 3</v>
          </cell>
        </row>
        <row r="594">
          <cell r="A594">
            <v>21330007</v>
          </cell>
          <cell r="C594" t="str">
            <v>구자라트 선원 4</v>
          </cell>
        </row>
        <row r="595">
          <cell r="A595">
            <v>21330008</v>
          </cell>
          <cell r="C595" t="str">
            <v>구자라트 선원 5</v>
          </cell>
        </row>
        <row r="596">
          <cell r="A596">
            <v>21330009</v>
          </cell>
          <cell r="C596" t="str">
            <v>구자라트 선원 6</v>
          </cell>
        </row>
        <row r="597">
          <cell r="A597">
            <v>21330010</v>
          </cell>
          <cell r="C597" t="str">
            <v>덴마크 선원 1</v>
          </cell>
        </row>
        <row r="598">
          <cell r="A598">
            <v>21330011</v>
          </cell>
          <cell r="C598" t="str">
            <v>덴마크 선원 2</v>
          </cell>
        </row>
        <row r="599">
          <cell r="A599">
            <v>21330012</v>
          </cell>
          <cell r="C599" t="str">
            <v>덴마크 선원 3</v>
          </cell>
        </row>
        <row r="600">
          <cell r="A600">
            <v>21330013</v>
          </cell>
          <cell r="C600" t="str">
            <v>덴마크 선원 4</v>
          </cell>
        </row>
        <row r="601">
          <cell r="A601">
            <v>21330014</v>
          </cell>
          <cell r="C601" t="str">
            <v>덴마크 선원 5</v>
          </cell>
        </row>
        <row r="602">
          <cell r="A602">
            <v>21330015</v>
          </cell>
          <cell r="C602" t="str">
            <v>덴마크 선원 6</v>
          </cell>
        </row>
        <row r="603">
          <cell r="A603">
            <v>21330016</v>
          </cell>
          <cell r="C603" t="str">
            <v>루스 선원 1</v>
          </cell>
        </row>
        <row r="604">
          <cell r="A604">
            <v>21330017</v>
          </cell>
          <cell r="C604" t="str">
            <v>루스 선원 2</v>
          </cell>
        </row>
        <row r="605">
          <cell r="A605">
            <v>21330018</v>
          </cell>
          <cell r="C605" t="str">
            <v>루스 선원 3</v>
          </cell>
        </row>
        <row r="606">
          <cell r="A606">
            <v>21330019</v>
          </cell>
          <cell r="C606" t="str">
            <v>베네치아 선원 1</v>
          </cell>
        </row>
        <row r="607">
          <cell r="A607">
            <v>21330020</v>
          </cell>
          <cell r="C607" t="str">
            <v>비자야나가르 선원 1</v>
          </cell>
        </row>
        <row r="608">
          <cell r="A608">
            <v>21330021</v>
          </cell>
          <cell r="C608" t="str">
            <v>비자야나가르 선원 2</v>
          </cell>
        </row>
        <row r="609">
          <cell r="A609">
            <v>21330022</v>
          </cell>
          <cell r="C609" t="str">
            <v>비자야나가르 선원 3</v>
          </cell>
        </row>
        <row r="610">
          <cell r="A610">
            <v>21330023</v>
          </cell>
          <cell r="C610" t="str">
            <v>비자야나가르 선원 4</v>
          </cell>
        </row>
        <row r="611">
          <cell r="A611">
            <v>21330024</v>
          </cell>
          <cell r="C611" t="str">
            <v>비자야나가르 선원 5</v>
          </cell>
        </row>
        <row r="612">
          <cell r="A612">
            <v>21330025</v>
          </cell>
          <cell r="C612" t="str">
            <v>스웨덴 선원 1</v>
          </cell>
        </row>
        <row r="613">
          <cell r="A613">
            <v>21330026</v>
          </cell>
          <cell r="C613" t="str">
            <v>스코틀랜드 선원 1</v>
          </cell>
        </row>
        <row r="614">
          <cell r="A614">
            <v>21330027</v>
          </cell>
          <cell r="C614" t="str">
            <v>스코틀랜드 선원 2</v>
          </cell>
        </row>
        <row r="615">
          <cell r="A615">
            <v>21330028</v>
          </cell>
          <cell r="C615" t="str">
            <v>스코틀랜드 선원 3</v>
          </cell>
        </row>
        <row r="616">
          <cell r="A616">
            <v>21330029</v>
          </cell>
          <cell r="C616" t="str">
            <v>스코틀랜드 선원 4</v>
          </cell>
        </row>
        <row r="617">
          <cell r="A617">
            <v>21330030</v>
          </cell>
          <cell r="C617" t="str">
            <v>아딜샤히 선원 1</v>
          </cell>
        </row>
        <row r="618">
          <cell r="A618">
            <v>21330031</v>
          </cell>
          <cell r="C618" t="str">
            <v>아딜샤히 선원 2</v>
          </cell>
        </row>
        <row r="619">
          <cell r="A619">
            <v>21330032</v>
          </cell>
          <cell r="C619" t="str">
            <v>아스테카 선원 1</v>
          </cell>
        </row>
        <row r="620">
          <cell r="A620">
            <v>21330033</v>
          </cell>
          <cell r="C620" t="str">
            <v>아스테카 선원 2</v>
          </cell>
        </row>
        <row r="621">
          <cell r="A621">
            <v>21330034</v>
          </cell>
          <cell r="C621" t="str">
            <v>아스테카 선원 3</v>
          </cell>
        </row>
        <row r="622">
          <cell r="A622">
            <v>21330035</v>
          </cell>
          <cell r="C622" t="str">
            <v>아스테카 선원 4</v>
          </cell>
        </row>
        <row r="623">
          <cell r="A623">
            <v>21330036</v>
          </cell>
          <cell r="C623" t="str">
            <v>아스테카 선원 5</v>
          </cell>
        </row>
        <row r="624">
          <cell r="A624">
            <v>21330037</v>
          </cell>
          <cell r="C624" t="str">
            <v>아일랜드 선원 1</v>
          </cell>
        </row>
        <row r="625">
          <cell r="A625">
            <v>21330038</v>
          </cell>
          <cell r="C625" t="str">
            <v>아일랜드 선원 2</v>
          </cell>
        </row>
        <row r="626">
          <cell r="A626">
            <v>21330039</v>
          </cell>
          <cell r="C626" t="str">
            <v>아일랜드 선원 3</v>
          </cell>
        </row>
        <row r="627">
          <cell r="A627">
            <v>21330040</v>
          </cell>
          <cell r="C627" t="str">
            <v>아일랜드 선원 4</v>
          </cell>
        </row>
        <row r="628">
          <cell r="A628">
            <v>21330041</v>
          </cell>
          <cell r="C628" t="str">
            <v>아일랜드 선원 5</v>
          </cell>
        </row>
        <row r="629">
          <cell r="A629">
            <v>21330042</v>
          </cell>
          <cell r="C629" t="str">
            <v>아체 선원 1</v>
          </cell>
        </row>
        <row r="630">
          <cell r="A630">
            <v>21330043</v>
          </cell>
          <cell r="C630" t="str">
            <v>아체 선원 2</v>
          </cell>
        </row>
        <row r="631">
          <cell r="A631">
            <v>21330044</v>
          </cell>
          <cell r="C631" t="str">
            <v>아체 선원 3</v>
          </cell>
        </row>
        <row r="632">
          <cell r="A632">
            <v>21330045</v>
          </cell>
          <cell r="C632" t="str">
            <v>아체 선원 4</v>
          </cell>
        </row>
        <row r="633">
          <cell r="A633">
            <v>21330046</v>
          </cell>
          <cell r="C633" t="str">
            <v>아체 선원 5</v>
          </cell>
        </row>
        <row r="634">
          <cell r="A634">
            <v>21330047</v>
          </cell>
          <cell r="C634" t="str">
            <v>아체 선원 6</v>
          </cell>
        </row>
        <row r="635">
          <cell r="A635">
            <v>21330048</v>
          </cell>
          <cell r="C635" t="str">
            <v>와타스 선원 1</v>
          </cell>
        </row>
        <row r="636">
          <cell r="A636">
            <v>21330049</v>
          </cell>
          <cell r="C636" t="str">
            <v>와타스 선원 2</v>
          </cell>
        </row>
        <row r="637">
          <cell r="A637">
            <v>21330050</v>
          </cell>
          <cell r="C637" t="str">
            <v>와타스 선원 3</v>
          </cell>
        </row>
        <row r="638">
          <cell r="A638">
            <v>21330051</v>
          </cell>
          <cell r="C638" t="str">
            <v>와타스 선원 4</v>
          </cell>
        </row>
        <row r="639">
          <cell r="A639">
            <v>21330052</v>
          </cell>
          <cell r="C639" t="str">
            <v>잉카 선원 1</v>
          </cell>
        </row>
        <row r="640">
          <cell r="A640">
            <v>21330053</v>
          </cell>
          <cell r="C640" t="str">
            <v>잉카 선원 2</v>
          </cell>
        </row>
        <row r="641">
          <cell r="A641">
            <v>21330054</v>
          </cell>
          <cell r="C641" t="str">
            <v>잉카 선원 3</v>
          </cell>
        </row>
        <row r="642">
          <cell r="A642">
            <v>21330055</v>
          </cell>
          <cell r="C642" t="str">
            <v>잉카 선원 4</v>
          </cell>
        </row>
        <row r="643">
          <cell r="A643">
            <v>21330056</v>
          </cell>
          <cell r="C643" t="str">
            <v>잉카 선원 5</v>
          </cell>
        </row>
        <row r="644">
          <cell r="A644">
            <v>21330057</v>
          </cell>
          <cell r="C644" t="str">
            <v>잉카 선원 6</v>
          </cell>
        </row>
        <row r="645">
          <cell r="A645">
            <v>21330058</v>
          </cell>
          <cell r="C645" t="str">
            <v>폴란드 선원 1</v>
          </cell>
        </row>
        <row r="646">
          <cell r="A646">
            <v>21330059</v>
          </cell>
          <cell r="C646" t="str">
            <v>폴란드 선원 2</v>
          </cell>
        </row>
        <row r="647">
          <cell r="A647">
            <v>21330060</v>
          </cell>
          <cell r="C647" t="str">
            <v>폴란드 선원 3</v>
          </cell>
        </row>
        <row r="648">
          <cell r="A648">
            <v>21330061</v>
          </cell>
          <cell r="C648" t="str">
            <v>폴란드 선원 4</v>
          </cell>
        </row>
        <row r="649">
          <cell r="A649">
            <v>21330062</v>
          </cell>
          <cell r="C649" t="str">
            <v>폴란드 선원 5</v>
          </cell>
        </row>
        <row r="650">
          <cell r="A650">
            <v>21330063</v>
          </cell>
          <cell r="C650" t="str">
            <v>폴란드 선원 6</v>
          </cell>
        </row>
        <row r="651">
          <cell r="A651">
            <v>21330064</v>
          </cell>
          <cell r="C651" t="str">
            <v>프로이센 선원 1</v>
          </cell>
        </row>
        <row r="652">
          <cell r="A652">
            <v>21330065</v>
          </cell>
          <cell r="C652" t="str">
            <v>프로이센 선원 2</v>
          </cell>
        </row>
        <row r="653">
          <cell r="A653">
            <v>21330066</v>
          </cell>
          <cell r="C653" t="str">
            <v>프로이센 선원 3</v>
          </cell>
        </row>
        <row r="654">
          <cell r="A654">
            <v>21330067</v>
          </cell>
          <cell r="C654" t="str">
            <v>프로이센 선원 4</v>
          </cell>
        </row>
        <row r="655">
          <cell r="A655">
            <v>21330068</v>
          </cell>
          <cell r="C655" t="str">
            <v>프로이센 선원 5</v>
          </cell>
        </row>
        <row r="656">
          <cell r="A656">
            <v>21330069</v>
          </cell>
          <cell r="C656" t="str">
            <v>프로이센 선원 6</v>
          </cell>
        </row>
        <row r="657">
          <cell r="A657">
            <v>21330070</v>
          </cell>
          <cell r="C657" t="str">
            <v>지중해 해적1</v>
          </cell>
        </row>
        <row r="658">
          <cell r="A658">
            <v>21330071</v>
          </cell>
          <cell r="C658" t="str">
            <v>지중해 해적2</v>
          </cell>
        </row>
        <row r="659">
          <cell r="A659">
            <v>21330072</v>
          </cell>
          <cell r="C659" t="str">
            <v>지중해 해적3</v>
          </cell>
        </row>
        <row r="660">
          <cell r="A660">
            <v>21330073</v>
          </cell>
          <cell r="C660" t="str">
            <v>지중해 해적4</v>
          </cell>
        </row>
        <row r="661">
          <cell r="A661">
            <v>21330074</v>
          </cell>
          <cell r="C661" t="str">
            <v>지중해 해적5</v>
          </cell>
        </row>
        <row r="662">
          <cell r="A662">
            <v>21330075</v>
          </cell>
          <cell r="C662" t="str">
            <v>지중해 해적6</v>
          </cell>
        </row>
        <row r="663">
          <cell r="A663">
            <v>21330076</v>
          </cell>
          <cell r="C663" t="str">
            <v>대서양 해적1</v>
          </cell>
        </row>
        <row r="664">
          <cell r="A664">
            <v>21330077</v>
          </cell>
          <cell r="C664" t="str">
            <v>대서양 해적2</v>
          </cell>
        </row>
        <row r="665">
          <cell r="A665">
            <v>21330078</v>
          </cell>
          <cell r="C665" t="str">
            <v>대서양 해적3</v>
          </cell>
        </row>
        <row r="666">
          <cell r="A666">
            <v>21330079</v>
          </cell>
          <cell r="C666" t="str">
            <v>대서양 해적4</v>
          </cell>
        </row>
        <row r="667">
          <cell r="A667">
            <v>21330080</v>
          </cell>
          <cell r="C667" t="str">
            <v>대서양 해적5</v>
          </cell>
        </row>
        <row r="668">
          <cell r="A668">
            <v>21330081</v>
          </cell>
          <cell r="C668" t="str">
            <v>대서양 해적6</v>
          </cell>
        </row>
        <row r="669">
          <cell r="A669">
            <v>21330082</v>
          </cell>
          <cell r="C669" t="str">
            <v>인도양 해적1</v>
          </cell>
        </row>
        <row r="670">
          <cell r="A670">
            <v>21330083</v>
          </cell>
          <cell r="C670" t="str">
            <v>인도양 해적2</v>
          </cell>
        </row>
        <row r="671">
          <cell r="A671">
            <v>21330084</v>
          </cell>
          <cell r="C671" t="str">
            <v>인도양 해적3</v>
          </cell>
        </row>
        <row r="672">
          <cell r="A672">
            <v>21330085</v>
          </cell>
          <cell r="C672" t="str">
            <v>인도양 해적4</v>
          </cell>
        </row>
        <row r="673">
          <cell r="A673">
            <v>21330086</v>
          </cell>
          <cell r="C673" t="str">
            <v>인도양 해적5</v>
          </cell>
        </row>
        <row r="674">
          <cell r="A674">
            <v>21330087</v>
          </cell>
          <cell r="C674" t="str">
            <v>인도양 해적6</v>
          </cell>
        </row>
        <row r="675">
          <cell r="A675">
            <v>21330088</v>
          </cell>
          <cell r="C675" t="str">
            <v>태평양 해적1</v>
          </cell>
        </row>
        <row r="676">
          <cell r="A676">
            <v>21330089</v>
          </cell>
          <cell r="C676" t="str">
            <v>태평양 해적2</v>
          </cell>
        </row>
        <row r="677">
          <cell r="A677">
            <v>21330090</v>
          </cell>
          <cell r="C677" t="str">
            <v>태평양 해적3</v>
          </cell>
        </row>
        <row r="678">
          <cell r="A678">
            <v>21330091</v>
          </cell>
          <cell r="C678" t="str">
            <v>태평양 해적4</v>
          </cell>
        </row>
        <row r="679">
          <cell r="A679">
            <v>21330092</v>
          </cell>
          <cell r="C679" t="str">
            <v>태평양 해적5</v>
          </cell>
        </row>
        <row r="680">
          <cell r="A680">
            <v>21330093</v>
          </cell>
          <cell r="C680" t="str">
            <v>태평양 해적6</v>
          </cell>
        </row>
        <row r="681">
          <cell r="A681">
            <v>21330094</v>
          </cell>
          <cell r="C681" t="str">
            <v>남중국해 해적1</v>
          </cell>
        </row>
        <row r="682">
          <cell r="A682">
            <v>21330095</v>
          </cell>
          <cell r="C682" t="str">
            <v>남중국해 해적2</v>
          </cell>
        </row>
        <row r="683">
          <cell r="A683">
            <v>21330096</v>
          </cell>
          <cell r="C683" t="str">
            <v>남중국해 해적3</v>
          </cell>
        </row>
        <row r="684">
          <cell r="A684">
            <v>21330097</v>
          </cell>
          <cell r="C684" t="str">
            <v>남중국해 해적4</v>
          </cell>
        </row>
        <row r="685">
          <cell r="A685">
            <v>21330098</v>
          </cell>
          <cell r="C685" t="str">
            <v>남중국해 해적5</v>
          </cell>
        </row>
        <row r="686">
          <cell r="A686">
            <v>21330099</v>
          </cell>
          <cell r="C686" t="str">
            <v>남중국해 해적6</v>
          </cell>
        </row>
        <row r="687">
          <cell r="A687">
            <v>21330100</v>
          </cell>
          <cell r="C687" t="str">
            <v>동남아시아 해적1</v>
          </cell>
        </row>
        <row r="688">
          <cell r="A688">
            <v>21330101</v>
          </cell>
          <cell r="C688" t="str">
            <v>동남아시아 해적2</v>
          </cell>
        </row>
        <row r="689">
          <cell r="A689">
            <v>21330102</v>
          </cell>
          <cell r="C689" t="str">
            <v>동남아시아 해적3</v>
          </cell>
        </row>
        <row r="690">
          <cell r="A690">
            <v>21330103</v>
          </cell>
          <cell r="C690" t="str">
            <v>동남아시아 해적4</v>
          </cell>
        </row>
        <row r="691">
          <cell r="A691">
            <v>21330104</v>
          </cell>
          <cell r="C691" t="str">
            <v>동남아시아 해적5</v>
          </cell>
        </row>
        <row r="692">
          <cell r="A692">
            <v>21330105</v>
          </cell>
          <cell r="C692" t="str">
            <v>동남아시아 해적6</v>
          </cell>
        </row>
        <row r="693">
          <cell r="A693">
            <v>21330106</v>
          </cell>
          <cell r="C693" t="str">
            <v>동중국해 해적1</v>
          </cell>
        </row>
        <row r="694">
          <cell r="A694">
            <v>21330107</v>
          </cell>
          <cell r="C694" t="str">
            <v>동중국해 해적2</v>
          </cell>
        </row>
        <row r="695">
          <cell r="A695">
            <v>21330108</v>
          </cell>
          <cell r="C695" t="str">
            <v>동중국해 해적3</v>
          </cell>
        </row>
        <row r="696">
          <cell r="A696">
            <v>21330109</v>
          </cell>
          <cell r="C696" t="str">
            <v>동중국해 해적4</v>
          </cell>
        </row>
        <row r="697">
          <cell r="A697">
            <v>21330110</v>
          </cell>
          <cell r="C697" t="str">
            <v>동중국해 해적5</v>
          </cell>
        </row>
        <row r="698">
          <cell r="A698">
            <v>21330111</v>
          </cell>
          <cell r="C698" t="str">
            <v>동중국해 해적6</v>
          </cell>
        </row>
        <row r="699">
          <cell r="A699">
            <v>21330112</v>
          </cell>
          <cell r="C699" t="str">
            <v>북해 해적1</v>
          </cell>
        </row>
        <row r="700">
          <cell r="A700">
            <v>21330113</v>
          </cell>
          <cell r="C700" t="str">
            <v>북해 해적2</v>
          </cell>
        </row>
        <row r="701">
          <cell r="A701">
            <v>21330114</v>
          </cell>
          <cell r="C701" t="str">
            <v>북해 해적3</v>
          </cell>
        </row>
        <row r="702">
          <cell r="A702">
            <v>21330115</v>
          </cell>
          <cell r="C702" t="str">
            <v>북해 해적4</v>
          </cell>
        </row>
        <row r="703">
          <cell r="A703">
            <v>21330116</v>
          </cell>
          <cell r="C703" t="str">
            <v>북해 해적5</v>
          </cell>
        </row>
        <row r="704">
          <cell r="A704">
            <v>21330117</v>
          </cell>
          <cell r="C704" t="str">
            <v>북해 해적6</v>
          </cell>
        </row>
        <row r="705">
          <cell r="A705">
            <v>21330118</v>
          </cell>
          <cell r="C705" t="str">
            <v>카리브해 해적1</v>
          </cell>
        </row>
        <row r="706">
          <cell r="A706">
            <v>21330119</v>
          </cell>
          <cell r="C706" t="str">
            <v>카리브해 해적2</v>
          </cell>
        </row>
        <row r="707">
          <cell r="A707">
            <v>21330120</v>
          </cell>
          <cell r="C707" t="str">
            <v>카리브해 해적3</v>
          </cell>
        </row>
        <row r="708">
          <cell r="A708">
            <v>21330121</v>
          </cell>
          <cell r="C708" t="str">
            <v>카리브해 해적4</v>
          </cell>
        </row>
        <row r="709">
          <cell r="A709">
            <v>21330122</v>
          </cell>
          <cell r="C709" t="str">
            <v>카리브해 해적5</v>
          </cell>
        </row>
        <row r="710">
          <cell r="A710">
            <v>21330123</v>
          </cell>
          <cell r="C710" t="str">
            <v>카리브해 해적6</v>
          </cell>
        </row>
        <row r="711">
          <cell r="A711">
            <v>21330124</v>
          </cell>
          <cell r="C711" t="str">
            <v>동아프리카 해적1</v>
          </cell>
        </row>
        <row r="712">
          <cell r="A712">
            <v>21330125</v>
          </cell>
          <cell r="C712" t="str">
            <v>동아프리카 해적2</v>
          </cell>
        </row>
        <row r="713">
          <cell r="A713">
            <v>21330126</v>
          </cell>
          <cell r="C713" t="str">
            <v>동아프리카 해적3</v>
          </cell>
        </row>
        <row r="714">
          <cell r="A714">
            <v>21330127</v>
          </cell>
          <cell r="C714" t="str">
            <v>동아프리카 해적4</v>
          </cell>
        </row>
        <row r="715">
          <cell r="A715">
            <v>21330128</v>
          </cell>
          <cell r="C715" t="str">
            <v>동아프리카 해적5</v>
          </cell>
        </row>
        <row r="716">
          <cell r="A716">
            <v>21330129</v>
          </cell>
          <cell r="C716" t="str">
            <v>동아프리카 해적6</v>
          </cell>
        </row>
        <row r="717">
          <cell r="A717">
            <v>21330130</v>
          </cell>
          <cell r="C717" t="str">
            <v>서아프리카 해적1</v>
          </cell>
        </row>
        <row r="718">
          <cell r="A718">
            <v>21330131</v>
          </cell>
          <cell r="C718" t="str">
            <v>서아프리카 해적2</v>
          </cell>
        </row>
        <row r="719">
          <cell r="A719">
            <v>21330132</v>
          </cell>
          <cell r="C719" t="str">
            <v>서아프리카 해적3</v>
          </cell>
        </row>
        <row r="720">
          <cell r="A720">
            <v>21330133</v>
          </cell>
          <cell r="C720" t="str">
            <v>서아프리카 해적4</v>
          </cell>
        </row>
        <row r="721">
          <cell r="A721">
            <v>21330134</v>
          </cell>
          <cell r="C721" t="str">
            <v>서아프리카 해적5</v>
          </cell>
        </row>
        <row r="722">
          <cell r="A722">
            <v>21330135</v>
          </cell>
          <cell r="C722" t="str">
            <v>서아프리카 해적6</v>
          </cell>
        </row>
        <row r="723">
          <cell r="A723">
            <v>21330136</v>
          </cell>
          <cell r="C723" t="str">
            <v>북동아메리카 해적1</v>
          </cell>
        </row>
        <row r="724">
          <cell r="A724">
            <v>21330137</v>
          </cell>
          <cell r="C724" t="str">
            <v>북동아메리카 해적2</v>
          </cell>
        </row>
        <row r="725">
          <cell r="A725">
            <v>21330138</v>
          </cell>
          <cell r="C725" t="str">
            <v>북동아메리카 해적3</v>
          </cell>
        </row>
        <row r="726">
          <cell r="A726">
            <v>21330139</v>
          </cell>
          <cell r="C726" t="str">
            <v>북동아메리카 해적4</v>
          </cell>
        </row>
        <row r="727">
          <cell r="A727">
            <v>21330140</v>
          </cell>
          <cell r="C727" t="str">
            <v>북동아메리카 해적5</v>
          </cell>
        </row>
        <row r="728">
          <cell r="A728">
            <v>21330141</v>
          </cell>
          <cell r="C728" t="str">
            <v>북동아메리카 해적6</v>
          </cell>
        </row>
        <row r="729">
          <cell r="A729">
            <v>21330142</v>
          </cell>
          <cell r="C729" t="str">
            <v>알래스카 해적1</v>
          </cell>
        </row>
        <row r="730">
          <cell r="A730">
            <v>21330143</v>
          </cell>
          <cell r="C730" t="str">
            <v>알래스카 해적2</v>
          </cell>
        </row>
        <row r="731">
          <cell r="A731">
            <v>21330144</v>
          </cell>
          <cell r="C731" t="str">
            <v>알래스카 해적3</v>
          </cell>
        </row>
        <row r="732">
          <cell r="A732">
            <v>21330145</v>
          </cell>
          <cell r="C732" t="str">
            <v>알래스카 해적4</v>
          </cell>
        </row>
        <row r="733">
          <cell r="A733">
            <v>21330146</v>
          </cell>
          <cell r="C733" t="str">
            <v>알래스카 해적5</v>
          </cell>
        </row>
        <row r="734">
          <cell r="A734">
            <v>21330147</v>
          </cell>
          <cell r="C734" t="str">
            <v>알래스카 해적6</v>
          </cell>
        </row>
        <row r="735">
          <cell r="A735">
            <v>21330148</v>
          </cell>
          <cell r="C735" t="str">
            <v>아라비아 해적1</v>
          </cell>
        </row>
        <row r="736">
          <cell r="A736">
            <v>21330149</v>
          </cell>
          <cell r="C736" t="str">
            <v>아라비아 해적2</v>
          </cell>
        </row>
        <row r="737">
          <cell r="A737">
            <v>21330150</v>
          </cell>
          <cell r="C737" t="str">
            <v>아라비아 해적3</v>
          </cell>
        </row>
        <row r="738">
          <cell r="A738">
            <v>21330151</v>
          </cell>
          <cell r="C738" t="str">
            <v>아라비아 해적4</v>
          </cell>
        </row>
        <row r="739">
          <cell r="A739">
            <v>21330152</v>
          </cell>
          <cell r="C739" t="str">
            <v>아라비아 해적5</v>
          </cell>
        </row>
        <row r="740">
          <cell r="A740">
            <v>21330153</v>
          </cell>
          <cell r="C740" t="str">
            <v>아라비아 해적6</v>
          </cell>
        </row>
        <row r="741">
          <cell r="A741">
            <v>21330154</v>
          </cell>
          <cell r="C741" t="str">
            <v>중남미 해적1</v>
          </cell>
        </row>
        <row r="742">
          <cell r="A742">
            <v>21330155</v>
          </cell>
          <cell r="C742" t="str">
            <v>중남미 해적2</v>
          </cell>
        </row>
        <row r="743">
          <cell r="A743">
            <v>21330156</v>
          </cell>
          <cell r="C743" t="str">
            <v>중남미 해적3</v>
          </cell>
        </row>
        <row r="744">
          <cell r="A744">
            <v>21330157</v>
          </cell>
          <cell r="C744" t="str">
            <v>중남미 해적4</v>
          </cell>
        </row>
        <row r="745">
          <cell r="A745">
            <v>21330158</v>
          </cell>
          <cell r="C745" t="str">
            <v>중남미 해적5</v>
          </cell>
        </row>
        <row r="746">
          <cell r="A746">
            <v>21330159</v>
          </cell>
          <cell r="C746" t="str">
            <v>중남미 해적6</v>
          </cell>
        </row>
        <row r="747">
          <cell r="A747">
            <v>21330160</v>
          </cell>
          <cell r="C747" t="str">
            <v>북서아메리카 해적1</v>
          </cell>
        </row>
        <row r="748">
          <cell r="A748">
            <v>21330161</v>
          </cell>
          <cell r="C748" t="str">
            <v>북서아메리카 해적2</v>
          </cell>
        </row>
        <row r="749">
          <cell r="A749">
            <v>21330162</v>
          </cell>
          <cell r="C749" t="str">
            <v>북서아메리카 해적3</v>
          </cell>
        </row>
        <row r="750">
          <cell r="A750">
            <v>21330163</v>
          </cell>
          <cell r="C750" t="str">
            <v>북서아메리카 해적4</v>
          </cell>
        </row>
        <row r="751">
          <cell r="A751">
            <v>21330164</v>
          </cell>
          <cell r="C751" t="str">
            <v>북서아메리카 해적5</v>
          </cell>
        </row>
        <row r="752">
          <cell r="A752">
            <v>21330165</v>
          </cell>
          <cell r="C752" t="str">
            <v>북서아메리카 해적6</v>
          </cell>
        </row>
        <row r="753">
          <cell r="A753">
            <v>21330166</v>
          </cell>
          <cell r="C753" t="str">
            <v>북극해 해적1</v>
          </cell>
        </row>
        <row r="754">
          <cell r="A754">
            <v>21330167</v>
          </cell>
          <cell r="C754" t="str">
            <v>북극해 해적2</v>
          </cell>
        </row>
        <row r="755">
          <cell r="A755">
            <v>21330168</v>
          </cell>
          <cell r="C755" t="str">
            <v>북극해 해적3</v>
          </cell>
        </row>
        <row r="756">
          <cell r="A756">
            <v>21330169</v>
          </cell>
          <cell r="C756" t="str">
            <v>북극해 해적4</v>
          </cell>
        </row>
        <row r="757">
          <cell r="A757">
            <v>21330170</v>
          </cell>
          <cell r="C757" t="str">
            <v>북극해 해적5</v>
          </cell>
        </row>
        <row r="758">
          <cell r="A758">
            <v>21330171</v>
          </cell>
          <cell r="C758" t="str">
            <v>북극해 해적6</v>
          </cell>
        </row>
        <row r="759">
          <cell r="A759">
            <v>21330172</v>
          </cell>
          <cell r="C759" t="str">
            <v>남극해 해적1</v>
          </cell>
        </row>
        <row r="760">
          <cell r="A760">
            <v>21330173</v>
          </cell>
          <cell r="C760" t="str">
            <v>남극해 해적2</v>
          </cell>
        </row>
        <row r="761">
          <cell r="A761">
            <v>21330174</v>
          </cell>
          <cell r="C761" t="str">
            <v>남극해 해적3</v>
          </cell>
        </row>
        <row r="762">
          <cell r="A762">
            <v>21330175</v>
          </cell>
          <cell r="C762" t="str">
            <v>남극해 해적4</v>
          </cell>
        </row>
        <row r="763">
          <cell r="A763">
            <v>21330176</v>
          </cell>
          <cell r="C763" t="str">
            <v>남극해 해적5</v>
          </cell>
        </row>
        <row r="764">
          <cell r="A764">
            <v>21330177</v>
          </cell>
          <cell r="C764" t="str">
            <v>남극해 해적6</v>
          </cell>
        </row>
        <row r="765">
          <cell r="A765">
            <v>21350001</v>
          </cell>
          <cell r="C765" t="str">
            <v>벤자밍</v>
          </cell>
        </row>
        <row r="766">
          <cell r="A766">
            <v>21350002</v>
          </cell>
          <cell r="C766" t="str">
            <v>아구스틴</v>
          </cell>
        </row>
        <row r="767">
          <cell r="A767">
            <v>21350003</v>
          </cell>
          <cell r="C767" t="str">
            <v>프레드릭</v>
          </cell>
        </row>
        <row r="768">
          <cell r="A768">
            <v>21350004</v>
          </cell>
          <cell r="C768" t="str">
            <v>랏바우트</v>
          </cell>
        </row>
        <row r="769">
          <cell r="A769">
            <v>21350005</v>
          </cell>
          <cell r="C769" t="str">
            <v>데리아</v>
          </cell>
        </row>
        <row r="770">
          <cell r="A770">
            <v>21350006</v>
          </cell>
          <cell r="C770" t="str">
            <v>베흐람</v>
          </cell>
        </row>
        <row r="771">
          <cell r="A771">
            <v>21350007</v>
          </cell>
          <cell r="C771" t="str">
            <v>야무르</v>
          </cell>
        </row>
        <row r="772">
          <cell r="A772">
            <v>21350008</v>
          </cell>
          <cell r="C772" t="str">
            <v>구디나</v>
          </cell>
        </row>
        <row r="773">
          <cell r="A773">
            <v>21350009</v>
          </cell>
          <cell r="C773" t="str">
            <v>아마디</v>
          </cell>
        </row>
        <row r="774">
          <cell r="A774">
            <v>21350010</v>
          </cell>
          <cell r="C774" t="str">
            <v>아자르</v>
          </cell>
        </row>
        <row r="775">
          <cell r="A775">
            <v>21350011</v>
          </cell>
          <cell r="C775" t="str">
            <v>이시</v>
          </cell>
        </row>
        <row r="776">
          <cell r="A776">
            <v>21350012</v>
          </cell>
          <cell r="C776" t="str">
            <v>세이시치</v>
          </cell>
        </row>
        <row r="777">
          <cell r="A777">
            <v>21350013</v>
          </cell>
          <cell r="C777" t="str">
            <v>에미얄리</v>
          </cell>
        </row>
        <row r="778">
          <cell r="A778">
            <v>21350014</v>
          </cell>
          <cell r="C778" t="str">
            <v>청철</v>
          </cell>
        </row>
        <row r="779">
          <cell r="A779">
            <v>21350015</v>
          </cell>
          <cell r="C779" t="str">
            <v>파트리스</v>
          </cell>
        </row>
        <row r="780">
          <cell r="A780">
            <v>21350016</v>
          </cell>
          <cell r="C780" t="str">
            <v>무영</v>
          </cell>
        </row>
        <row r="781">
          <cell r="A781">
            <v>21350017</v>
          </cell>
          <cell r="C781" t="str">
            <v>슈에</v>
          </cell>
        </row>
        <row r="782">
          <cell r="A782">
            <v>21350018</v>
          </cell>
          <cell r="C782" t="str">
            <v>데브림</v>
          </cell>
        </row>
        <row r="783">
          <cell r="A783">
            <v>21350019</v>
          </cell>
          <cell r="C783" t="str">
            <v>티몬</v>
          </cell>
        </row>
        <row r="784">
          <cell r="A784">
            <v>21350020</v>
          </cell>
          <cell r="C784" t="str">
            <v>불카니코</v>
          </cell>
        </row>
        <row r="785">
          <cell r="A785">
            <v>21350021</v>
          </cell>
          <cell r="C785" t="str">
            <v>와만</v>
          </cell>
        </row>
        <row r="786">
          <cell r="A786">
            <v>21350022</v>
          </cell>
          <cell r="C786" t="str">
            <v>군투르</v>
          </cell>
        </row>
        <row r="787">
          <cell r="A787">
            <v>21350023</v>
          </cell>
          <cell r="C787" t="str">
            <v>시씬과크</v>
          </cell>
        </row>
        <row r="788">
          <cell r="A788">
            <v>21350024</v>
          </cell>
          <cell r="C788" t="str">
            <v>타마</v>
          </cell>
        </row>
        <row r="789">
          <cell r="A789">
            <v>21350025</v>
          </cell>
          <cell r="C789" t="str">
            <v>오나쓰</v>
          </cell>
        </row>
        <row r="790">
          <cell r="A790">
            <v>21350026</v>
          </cell>
          <cell r="C790" t="str">
            <v>아델리나</v>
          </cell>
        </row>
        <row r="791">
          <cell r="A791">
            <v>21350027</v>
          </cell>
          <cell r="C791" t="str">
            <v>완다</v>
          </cell>
        </row>
        <row r="792">
          <cell r="A792">
            <v>21350028</v>
          </cell>
          <cell r="C792" t="str">
            <v>예루마</v>
          </cell>
        </row>
        <row r="793">
          <cell r="A793">
            <v>21350029</v>
          </cell>
          <cell r="C793" t="str">
            <v>엘레느</v>
          </cell>
        </row>
        <row r="794">
          <cell r="A794">
            <v>21350030</v>
          </cell>
          <cell r="C794" t="str">
            <v>나탈리</v>
          </cell>
        </row>
        <row r="795">
          <cell r="A795">
            <v>21350031</v>
          </cell>
          <cell r="C795" t="str">
            <v>티티스</v>
          </cell>
        </row>
        <row r="796">
          <cell r="A796">
            <v>21350032</v>
          </cell>
          <cell r="C796" t="str">
            <v>마와르</v>
          </cell>
        </row>
        <row r="797">
          <cell r="A797">
            <v>21350033</v>
          </cell>
          <cell r="C797" t="str">
            <v>나오미</v>
          </cell>
        </row>
        <row r="798">
          <cell r="A798">
            <v>21350034</v>
          </cell>
          <cell r="C798" t="str">
            <v>코르넬리아</v>
          </cell>
        </row>
        <row r="799">
          <cell r="A799">
            <v>21350035</v>
          </cell>
          <cell r="C799" t="str">
            <v>아이셀</v>
          </cell>
        </row>
        <row r="800">
          <cell r="A800">
            <v>21350036</v>
          </cell>
          <cell r="C800" t="str">
            <v>잔수</v>
          </cell>
        </row>
        <row r="801">
          <cell r="A801">
            <v>21350037</v>
          </cell>
          <cell r="C801" t="str">
            <v>루도</v>
          </cell>
        </row>
        <row r="802">
          <cell r="A802">
            <v>21350038</v>
          </cell>
          <cell r="C802" t="str">
            <v>아난드</v>
          </cell>
        </row>
        <row r="803">
          <cell r="A803">
            <v>21350039</v>
          </cell>
          <cell r="C803" t="str">
            <v>잉게보르크</v>
          </cell>
        </row>
        <row r="804">
          <cell r="A804">
            <v>21350040</v>
          </cell>
          <cell r="C804" t="str">
            <v>켈레벡</v>
          </cell>
        </row>
        <row r="805">
          <cell r="A805">
            <v>21350041</v>
          </cell>
          <cell r="C805" t="str">
            <v>울로리악</v>
          </cell>
        </row>
        <row r="806">
          <cell r="A806">
            <v>21350042</v>
          </cell>
          <cell r="C806" t="str">
            <v>리리안</v>
          </cell>
        </row>
        <row r="807">
          <cell r="A807">
            <v>21350043</v>
          </cell>
          <cell r="C807" t="str">
            <v>릴</v>
          </cell>
        </row>
        <row r="808">
          <cell r="A808">
            <v>21350044</v>
          </cell>
          <cell r="C808" t="str">
            <v>플로라</v>
          </cell>
        </row>
        <row r="809">
          <cell r="A809">
            <v>21350045</v>
          </cell>
          <cell r="C809" t="str">
            <v>넬리</v>
          </cell>
        </row>
        <row r="810">
          <cell r="A810">
            <v>21350046</v>
          </cell>
          <cell r="C810" t="str">
            <v>사라이</v>
          </cell>
        </row>
        <row r="811">
          <cell r="A811">
            <v>21350047</v>
          </cell>
          <cell r="C811" t="str">
            <v>하디</v>
          </cell>
        </row>
        <row r="812">
          <cell r="A812">
            <v>21350048</v>
          </cell>
          <cell r="C812" t="str">
            <v>베리사</v>
          </cell>
        </row>
        <row r="813">
          <cell r="A813">
            <v>21350049</v>
          </cell>
          <cell r="C813" t="str">
            <v>사파</v>
          </cell>
        </row>
        <row r="814">
          <cell r="A814">
            <v>21350050</v>
          </cell>
          <cell r="C814" t="str">
            <v>아멜리아</v>
          </cell>
        </row>
        <row r="815">
          <cell r="A815">
            <v>21350051</v>
          </cell>
          <cell r="C815" t="str">
            <v>이사벨</v>
          </cell>
        </row>
        <row r="816">
          <cell r="A816">
            <v>21350052</v>
          </cell>
          <cell r="C816" t="str">
            <v>쿤티</v>
          </cell>
        </row>
        <row r="817">
          <cell r="A817">
            <v>21350053</v>
          </cell>
          <cell r="C817" t="str">
            <v>하토라</v>
          </cell>
        </row>
        <row r="818">
          <cell r="A818">
            <v>21350054</v>
          </cell>
          <cell r="C818" t="str">
            <v>미화</v>
          </cell>
        </row>
        <row r="819">
          <cell r="A819">
            <v>21350055</v>
          </cell>
          <cell r="C819" t="str">
            <v>아냐</v>
          </cell>
        </row>
        <row r="820">
          <cell r="A820">
            <v>21350056</v>
          </cell>
          <cell r="C820" t="str">
            <v>지아나</v>
          </cell>
        </row>
        <row r="821">
          <cell r="A821">
            <v>21350057</v>
          </cell>
          <cell r="C821" t="str">
            <v>테레사</v>
          </cell>
        </row>
        <row r="822">
          <cell r="A822">
            <v>21350058</v>
          </cell>
          <cell r="C822" t="str">
            <v>뮤리네</v>
          </cell>
        </row>
        <row r="823">
          <cell r="A823">
            <v>21350059</v>
          </cell>
          <cell r="C823" t="str">
            <v>실비아</v>
          </cell>
        </row>
        <row r="824">
          <cell r="A824">
            <v>21350060</v>
          </cell>
          <cell r="C824" t="str">
            <v>아세네트</v>
          </cell>
        </row>
        <row r="825">
          <cell r="A825">
            <v>21350061</v>
          </cell>
          <cell r="C825" t="str">
            <v>제바히르</v>
          </cell>
        </row>
        <row r="826">
          <cell r="A826">
            <v>21350062</v>
          </cell>
          <cell r="C826" t="str">
            <v>엘리프</v>
          </cell>
        </row>
        <row r="827">
          <cell r="A827">
            <v>21350063</v>
          </cell>
          <cell r="C827" t="str">
            <v>가더</v>
          </cell>
        </row>
        <row r="828">
          <cell r="A828">
            <v>21350064</v>
          </cell>
          <cell r="C828" t="str">
            <v>인두마티</v>
          </cell>
        </row>
        <row r="829">
          <cell r="A829">
            <v>21350065</v>
          </cell>
          <cell r="C829" t="str">
            <v>말리날리</v>
          </cell>
        </row>
        <row r="830">
          <cell r="A830">
            <v>21350066</v>
          </cell>
          <cell r="C830" t="str">
            <v>상경</v>
          </cell>
        </row>
        <row r="831">
          <cell r="A831">
            <v>21350067</v>
          </cell>
          <cell r="C831" t="str">
            <v>청린</v>
          </cell>
        </row>
        <row r="832">
          <cell r="A832">
            <v>21350068</v>
          </cell>
          <cell r="C832" t="str">
            <v>가은정</v>
          </cell>
        </row>
        <row r="833">
          <cell r="A833">
            <v>21350069</v>
          </cell>
          <cell r="C833" t="str">
            <v>타츠마루</v>
          </cell>
        </row>
        <row r="834">
          <cell r="A834">
            <v>21350070</v>
          </cell>
          <cell r="C834" t="str">
            <v>치트랄리</v>
          </cell>
        </row>
        <row r="835">
          <cell r="A835">
            <v>21350071</v>
          </cell>
          <cell r="C835" t="str">
            <v>리씨에</v>
          </cell>
        </row>
        <row r="836">
          <cell r="A836">
            <v>21350072</v>
          </cell>
          <cell r="C836" t="str">
            <v>스틴</v>
          </cell>
        </row>
        <row r="837">
          <cell r="A837">
            <v>21350073</v>
          </cell>
          <cell r="C837" t="str">
            <v>즈쓰후아</v>
          </cell>
        </row>
        <row r="838">
          <cell r="A838">
            <v>21350074</v>
          </cell>
          <cell r="C838" t="str">
            <v>클라우디아</v>
          </cell>
        </row>
        <row r="839">
          <cell r="A839">
            <v>21350075</v>
          </cell>
          <cell r="C839" t="str">
            <v>메레</v>
          </cell>
        </row>
        <row r="840">
          <cell r="A840">
            <v>21350076</v>
          </cell>
          <cell r="C840" t="str">
            <v>푸르나마</v>
          </cell>
        </row>
        <row r="841">
          <cell r="A841">
            <v>21350077</v>
          </cell>
          <cell r="C841" t="str">
            <v>수니타</v>
          </cell>
        </row>
        <row r="842">
          <cell r="A842">
            <v>21350078</v>
          </cell>
          <cell r="C842" t="str">
            <v>예바</v>
          </cell>
        </row>
        <row r="843">
          <cell r="A843">
            <v>21350079</v>
          </cell>
          <cell r="C843" t="str">
            <v>네일리</v>
          </cell>
        </row>
        <row r="844">
          <cell r="A844">
            <v>21350080</v>
          </cell>
          <cell r="C844" t="str">
            <v>타마야</v>
          </cell>
        </row>
        <row r="845">
          <cell r="A845">
            <v>21350081</v>
          </cell>
          <cell r="C845" t="str">
            <v>돌로리스</v>
          </cell>
        </row>
        <row r="846">
          <cell r="A846">
            <v>21350082</v>
          </cell>
          <cell r="C846" t="str">
            <v>선화</v>
          </cell>
        </row>
        <row r="847">
          <cell r="A847">
            <v>21350083</v>
          </cell>
          <cell r="C847" t="str">
            <v>니타</v>
          </cell>
        </row>
        <row r="848">
          <cell r="A848">
            <v>21350084</v>
          </cell>
          <cell r="C848" t="str">
            <v>루치아</v>
          </cell>
        </row>
        <row r="849">
          <cell r="A849">
            <v>21350085</v>
          </cell>
          <cell r="C849" t="str">
            <v>안나</v>
          </cell>
        </row>
        <row r="850">
          <cell r="A850">
            <v>21350086</v>
          </cell>
          <cell r="C850" t="str">
            <v>라디아</v>
          </cell>
        </row>
        <row r="851">
          <cell r="A851">
            <v>21350087</v>
          </cell>
          <cell r="C851" t="str">
            <v>마틸다</v>
          </cell>
        </row>
        <row r="852">
          <cell r="A852">
            <v>21350088</v>
          </cell>
          <cell r="C852" t="str">
            <v>우잉</v>
          </cell>
        </row>
        <row r="853">
          <cell r="A853">
            <v>21350089</v>
          </cell>
          <cell r="C853" t="str">
            <v>아르드비</v>
          </cell>
        </row>
        <row r="854">
          <cell r="A854">
            <v>21350090</v>
          </cell>
          <cell r="C854" t="str">
            <v>타도다호</v>
          </cell>
        </row>
        <row r="855">
          <cell r="A855">
            <v>21350091</v>
          </cell>
          <cell r="C855" t="str">
            <v>남혜</v>
          </cell>
        </row>
        <row r="856">
          <cell r="A856">
            <v>21350092</v>
          </cell>
          <cell r="C856" t="str">
            <v>아니사</v>
          </cell>
        </row>
        <row r="857">
          <cell r="A857">
            <v>21390002</v>
          </cell>
          <cell r="C857" t="str">
            <v>이자벨 드로렌2</v>
          </cell>
        </row>
        <row r="858">
          <cell r="A858">
            <v>21390003</v>
          </cell>
          <cell r="C858" t="str">
            <v>루이 코스타2</v>
          </cell>
        </row>
        <row r="859">
          <cell r="A859">
            <v>21390004</v>
          </cell>
          <cell r="C859" t="str">
            <v>선원1</v>
          </cell>
        </row>
        <row r="860">
          <cell r="A860">
            <v>21390005</v>
          </cell>
          <cell r="C860" t="str">
            <v>선원2</v>
          </cell>
        </row>
        <row r="861">
          <cell r="A861">
            <v>21390006</v>
          </cell>
          <cell r="C861" t="str">
            <v>선원3</v>
          </cell>
        </row>
        <row r="862">
          <cell r="A862">
            <v>21390007</v>
          </cell>
          <cell r="C862" t="str">
            <v>선원4</v>
          </cell>
        </row>
        <row r="863">
          <cell r="A863">
            <v>21390008</v>
          </cell>
          <cell r="C863" t="str">
            <v>해적</v>
          </cell>
        </row>
        <row r="864">
          <cell r="A864">
            <v>21390009</v>
          </cell>
          <cell r="C864" t="str">
            <v>해적1</v>
          </cell>
        </row>
        <row r="865">
          <cell r="A865">
            <v>21390010</v>
          </cell>
          <cell r="C865" t="str">
            <v>해적2</v>
          </cell>
        </row>
        <row r="866">
          <cell r="A866">
            <v>21390011</v>
          </cell>
          <cell r="C866" t="str">
            <v>해적3</v>
          </cell>
        </row>
        <row r="867">
          <cell r="A867">
            <v>21390012</v>
          </cell>
          <cell r="C867" t="str">
            <v>해적4</v>
          </cell>
        </row>
        <row r="868">
          <cell r="A868">
            <v>21390013</v>
          </cell>
          <cell r="C868" t="str">
            <v>선원1</v>
          </cell>
        </row>
        <row r="869">
          <cell r="A869">
            <v>21390014</v>
          </cell>
          <cell r="C869" t="str">
            <v>선원2</v>
          </cell>
        </row>
        <row r="870">
          <cell r="A870">
            <v>21390015</v>
          </cell>
          <cell r="C870" t="str">
            <v>선원3</v>
          </cell>
        </row>
        <row r="871">
          <cell r="A871">
            <v>21390016</v>
          </cell>
          <cell r="C871" t="str">
            <v>선원4</v>
          </cell>
        </row>
        <row r="872">
          <cell r="A872">
            <v>21390017</v>
          </cell>
          <cell r="C872" t="str">
            <v>선원1</v>
          </cell>
        </row>
        <row r="873">
          <cell r="A873">
            <v>21390018</v>
          </cell>
          <cell r="C873" t="str">
            <v>선원2</v>
          </cell>
        </row>
        <row r="874">
          <cell r="A874">
            <v>21390019</v>
          </cell>
          <cell r="C874" t="str">
            <v>선원3</v>
          </cell>
        </row>
        <row r="875">
          <cell r="A875">
            <v>21390020</v>
          </cell>
          <cell r="C875" t="str">
            <v>선원4</v>
          </cell>
        </row>
        <row r="876">
          <cell r="A876">
            <v>21390021</v>
          </cell>
          <cell r="C876" t="str">
            <v>해적5</v>
          </cell>
        </row>
        <row r="877">
          <cell r="A877">
            <v>21390022</v>
          </cell>
          <cell r="C877" t="str">
            <v>해적6</v>
          </cell>
        </row>
        <row r="878">
          <cell r="A878">
            <v>21390023</v>
          </cell>
          <cell r="C878" t="str">
            <v>루이스 스콧2</v>
          </cell>
        </row>
        <row r="879">
          <cell r="A879">
            <v>21390024</v>
          </cell>
          <cell r="C879" t="str">
            <v>리처드 헉슬리2</v>
          </cell>
        </row>
        <row r="880">
          <cell r="A880">
            <v>21390025</v>
          </cell>
          <cell r="C880" t="str">
            <v>카시드2</v>
          </cell>
        </row>
        <row r="881">
          <cell r="A881">
            <v>21390026</v>
          </cell>
          <cell r="C881" t="str">
            <v>시난 레이스2</v>
          </cell>
        </row>
        <row r="882">
          <cell r="A882">
            <v>21390027</v>
          </cell>
          <cell r="C882" t="str">
            <v>이야기꾼</v>
          </cell>
        </row>
        <row r="883">
          <cell r="A883">
            <v>21390028</v>
          </cell>
          <cell r="C883" t="str">
            <v>뺀질거리는 해적</v>
          </cell>
        </row>
        <row r="884">
          <cell r="A884">
            <v>21390029</v>
          </cell>
          <cell r="C884" t="str">
            <v>손님</v>
          </cell>
        </row>
        <row r="885">
          <cell r="A885">
            <v>21390030</v>
          </cell>
          <cell r="C885" t="str">
            <v>도적</v>
          </cell>
        </row>
        <row r="886">
          <cell r="A886">
            <v>21390031</v>
          </cell>
          <cell r="C886" t="str">
            <v>사기꾼</v>
          </cell>
        </row>
        <row r="887">
          <cell r="A887">
            <v>21390032</v>
          </cell>
          <cell r="C887" t="str">
            <v>채무자</v>
          </cell>
        </row>
        <row r="888">
          <cell r="A888">
            <v>21390033</v>
          </cell>
          <cell r="C888" t="str">
            <v>오스만 상인</v>
          </cell>
        </row>
        <row r="889">
          <cell r="A889">
            <v>21390034</v>
          </cell>
          <cell r="C889" t="str">
            <v>베네치아 상인</v>
          </cell>
        </row>
        <row r="890">
          <cell r="A890">
            <v>21390035</v>
          </cell>
          <cell r="C890" t="str">
            <v>정체불명의 선장</v>
          </cell>
        </row>
        <row r="891">
          <cell r="A891">
            <v>21390036</v>
          </cell>
          <cell r="C891" t="str">
            <v>에스파냐 경비</v>
          </cell>
        </row>
        <row r="892">
          <cell r="A892">
            <v>21390037</v>
          </cell>
          <cell r="C892" t="str">
            <v>튜토 파브리스 페레로</v>
          </cell>
        </row>
        <row r="893">
          <cell r="A893">
            <v>21390038</v>
          </cell>
          <cell r="C893" t="str">
            <v>튜토 로코 알렘켈</v>
          </cell>
        </row>
        <row r="894">
          <cell r="A894">
            <v>21390039</v>
          </cell>
          <cell r="C894" t="str">
            <v>살만</v>
          </cell>
        </row>
        <row r="895">
          <cell r="A895">
            <v>21390040</v>
          </cell>
          <cell r="C895" t="str">
            <v>밀매꾼</v>
          </cell>
        </row>
        <row r="896">
          <cell r="A896">
            <v>21390041</v>
          </cell>
          <cell r="C896" t="str">
            <v>의심스러운 해적</v>
          </cell>
        </row>
        <row r="897">
          <cell r="A897">
            <v>21390042</v>
          </cell>
          <cell r="C897" t="str">
            <v>여해적</v>
          </cell>
        </row>
        <row r="898">
          <cell r="A898">
            <v>21390043</v>
          </cell>
          <cell r="C898" t="str">
            <v>종업원</v>
          </cell>
        </row>
        <row r="899">
          <cell r="A899">
            <v>21390044</v>
          </cell>
          <cell r="C899" t="str">
            <v>뒤보 백작</v>
          </cell>
        </row>
        <row r="900">
          <cell r="A900">
            <v>21390045</v>
          </cell>
          <cell r="C900" t="str">
            <v>공관 직원</v>
          </cell>
        </row>
        <row r="901">
          <cell r="A901">
            <v>21390046</v>
          </cell>
          <cell r="C901" t="str">
            <v>로버트</v>
          </cell>
        </row>
        <row r="902">
          <cell r="A902">
            <v>21390047</v>
          </cell>
          <cell r="C902" t="str">
            <v>시거</v>
          </cell>
        </row>
        <row r="903">
          <cell r="A903">
            <v>21390048</v>
          </cell>
          <cell r="C903" t="str">
            <v>에스파냐 병사</v>
          </cell>
        </row>
        <row r="904">
          <cell r="A904">
            <v>21390049</v>
          </cell>
          <cell r="C904" t="str">
            <v>잉글랜드 병사</v>
          </cell>
        </row>
        <row r="905">
          <cell r="A905">
            <v>21390050</v>
          </cell>
          <cell r="C905" t="str">
            <v>네덜란드 병사</v>
          </cell>
        </row>
        <row r="906">
          <cell r="A906">
            <v>21390051</v>
          </cell>
          <cell r="C906" t="str">
            <v>이슬람 병사</v>
          </cell>
        </row>
        <row r="907">
          <cell r="A907">
            <v>21390052</v>
          </cell>
          <cell r="C907" t="str">
            <v>프랑스 병사</v>
          </cell>
        </row>
        <row r="908">
          <cell r="A908">
            <v>21390053</v>
          </cell>
          <cell r="C908" t="str">
            <v>이탈리아 병사</v>
          </cell>
        </row>
        <row r="909">
          <cell r="A909">
            <v>21390054</v>
          </cell>
          <cell r="C909" t="str">
            <v>인도 병사</v>
          </cell>
        </row>
        <row r="910">
          <cell r="A910">
            <v>21390055</v>
          </cell>
          <cell r="C910" t="str">
            <v>조선 병사</v>
          </cell>
        </row>
        <row r="911">
          <cell r="A911">
            <v>21390056</v>
          </cell>
          <cell r="C911" t="str">
            <v>중국 병사</v>
          </cell>
        </row>
        <row r="912">
          <cell r="A912">
            <v>21390057</v>
          </cell>
          <cell r="C912" t="str">
            <v>일본 병사</v>
          </cell>
        </row>
        <row r="913">
          <cell r="A913">
            <v>21390058</v>
          </cell>
          <cell r="C913" t="str">
            <v>러시아 병사</v>
          </cell>
        </row>
        <row r="914">
          <cell r="A914">
            <v>21390059</v>
          </cell>
          <cell r="C914" t="str">
            <v>콩키스타도르</v>
          </cell>
        </row>
        <row r="915">
          <cell r="A915">
            <v>21390060</v>
          </cell>
          <cell r="C915" t="str">
            <v>콩키스타도르1</v>
          </cell>
        </row>
        <row r="916">
          <cell r="A916">
            <v>21390061</v>
          </cell>
          <cell r="C916" t="str">
            <v>질 데롤카</v>
          </cell>
        </row>
        <row r="917">
          <cell r="A917">
            <v>21390062</v>
          </cell>
          <cell r="C917" t="str">
            <v>도둑</v>
          </cell>
        </row>
        <row r="918">
          <cell r="A918">
            <v>21390063</v>
          </cell>
          <cell r="C918" t="str">
            <v>술집 손님</v>
          </cell>
        </row>
        <row r="919">
          <cell r="A919">
            <v>21390064</v>
          </cell>
          <cell r="C919" t="str">
            <v>괴한</v>
          </cell>
        </row>
        <row r="920">
          <cell r="A920">
            <v>21390065</v>
          </cell>
          <cell r="C920" t="str">
            <v>콜카타 주민</v>
          </cell>
        </row>
        <row r="921">
          <cell r="A921">
            <v>21390066</v>
          </cell>
          <cell r="C921" t="str">
            <v>카리브 해적</v>
          </cell>
        </row>
        <row r="922">
          <cell r="A922">
            <v>21390067</v>
          </cell>
          <cell r="C922" t="str">
            <v>라일락 도둑</v>
          </cell>
        </row>
        <row r="923">
          <cell r="A923">
            <v>21390068</v>
          </cell>
          <cell r="C923" t="str">
            <v>멘체스 상단원</v>
          </cell>
        </row>
        <row r="924">
          <cell r="A924">
            <v>21390069</v>
          </cell>
          <cell r="C924" t="str">
            <v>악명 높은 해적</v>
          </cell>
        </row>
        <row r="925">
          <cell r="A925">
            <v>21390070</v>
          </cell>
          <cell r="C925" t="str">
            <v>오팔 도둑</v>
          </cell>
        </row>
        <row r="926">
          <cell r="A926">
            <v>21390071</v>
          </cell>
          <cell r="C926" t="str">
            <v>고용된 용병</v>
          </cell>
        </row>
        <row r="927">
          <cell r="A927">
            <v>21390072</v>
          </cell>
          <cell r="C927" t="str">
            <v>남겨진 선원</v>
          </cell>
        </row>
        <row r="928">
          <cell r="A928">
            <v>21390073</v>
          </cell>
          <cell r="C928" t="str">
            <v>수이 도적</v>
          </cell>
        </row>
        <row r="929">
          <cell r="A929">
            <v>21390074</v>
          </cell>
          <cell r="C929" t="str">
            <v>심약한 도적</v>
          </cell>
        </row>
        <row r="930">
          <cell r="A930">
            <v>21390075</v>
          </cell>
          <cell r="C930" t="str">
            <v>미카엘 에란초</v>
          </cell>
        </row>
        <row r="931">
          <cell r="A931">
            <v>21390076</v>
          </cell>
          <cell r="C931" t="str">
            <v>에르난 오브레곤</v>
          </cell>
        </row>
        <row r="932">
          <cell r="A932">
            <v>21390077</v>
          </cell>
          <cell r="C932" t="str">
            <v>파수꾼</v>
          </cell>
        </row>
        <row r="933">
          <cell r="A933">
            <v>21390078</v>
          </cell>
          <cell r="C933" t="str">
            <v>수상한 남자</v>
          </cell>
        </row>
        <row r="934">
          <cell r="A934">
            <v>21390079</v>
          </cell>
          <cell r="C934" t="str">
            <v>우자락</v>
          </cell>
        </row>
        <row r="935">
          <cell r="A935">
            <v>21390080</v>
          </cell>
          <cell r="C935" t="str">
            <v>서안 항해사</v>
          </cell>
        </row>
        <row r="936">
          <cell r="A936">
            <v>21390081</v>
          </cell>
          <cell r="C936" t="str">
            <v>중경 항해사</v>
          </cell>
        </row>
        <row r="937">
          <cell r="A937">
            <v>21390082</v>
          </cell>
          <cell r="C937" t="str">
            <v>동인도 왕국 병사</v>
          </cell>
        </row>
        <row r="938">
          <cell r="A938">
            <v>21390083</v>
          </cell>
          <cell r="C938" t="str">
            <v>동인도 왕국 병사1</v>
          </cell>
        </row>
        <row r="939">
          <cell r="A939">
            <v>21390084</v>
          </cell>
          <cell r="C939" t="str">
            <v>네덜란드 병사1</v>
          </cell>
        </row>
        <row r="940">
          <cell r="A940">
            <v>21390085</v>
          </cell>
          <cell r="C940" t="str">
            <v>페르난도 2세의 남성 부하1</v>
          </cell>
        </row>
        <row r="941">
          <cell r="A941">
            <v>21390086</v>
          </cell>
          <cell r="C941" t="str">
            <v>페르난도 2세의 여성 부하1</v>
          </cell>
        </row>
        <row r="942">
          <cell r="A942">
            <v>21390087</v>
          </cell>
          <cell r="C942" t="str">
            <v>페르난도 2세의 남성 장교1</v>
          </cell>
        </row>
        <row r="943">
          <cell r="A943">
            <v>21390088</v>
          </cell>
          <cell r="C943" t="str">
            <v>가죽 도둑</v>
          </cell>
        </row>
        <row r="944">
          <cell r="A944">
            <v>21390089</v>
          </cell>
          <cell r="C944" t="str">
            <v>악질 해적</v>
          </cell>
        </row>
        <row r="945">
          <cell r="A945">
            <v>21390090</v>
          </cell>
          <cell r="C945" t="str">
            <v>상선 선단장</v>
          </cell>
        </row>
        <row r="946">
          <cell r="A946">
            <v>21390091</v>
          </cell>
          <cell r="C946" t="str">
            <v>새치기꾼</v>
          </cell>
        </row>
        <row r="947">
          <cell r="A947">
            <v>21390092</v>
          </cell>
          <cell r="C947" t="str">
            <v>꾀많은 해적</v>
          </cell>
        </row>
        <row r="948">
          <cell r="A948">
            <v>21390093</v>
          </cell>
          <cell r="C948" t="str">
            <v>도자기 도둑</v>
          </cell>
        </row>
        <row r="949">
          <cell r="A949">
            <v>21390094</v>
          </cell>
          <cell r="C949" t="str">
            <v>네덜란드 병사2</v>
          </cell>
        </row>
        <row r="950">
          <cell r="A950">
            <v>21390095</v>
          </cell>
          <cell r="C950" t="str">
            <v>잉글랜드 병사1</v>
          </cell>
        </row>
        <row r="951">
          <cell r="A951">
            <v>21390096</v>
          </cell>
          <cell r="C951" t="str">
            <v>현상수배범</v>
          </cell>
        </row>
        <row r="952">
          <cell r="A952">
            <v>21390097</v>
          </cell>
          <cell r="C952" t="str">
            <v>지도를 가진 해적</v>
          </cell>
        </row>
        <row r="953">
          <cell r="A953">
            <v>21390098</v>
          </cell>
          <cell r="C953" t="str">
            <v>암스테르담 종업원</v>
          </cell>
        </row>
        <row r="954">
          <cell r="A954">
            <v>21390099</v>
          </cell>
          <cell r="C954" t="str">
            <v>리리안의 친위대</v>
          </cell>
        </row>
        <row r="955">
          <cell r="A955">
            <v>21390100</v>
          </cell>
          <cell r="C955" t="str">
            <v>열성적인 친위대</v>
          </cell>
        </row>
        <row r="956">
          <cell r="A956">
            <v>21390101</v>
          </cell>
          <cell r="C956" t="str">
            <v>친위대 대장</v>
          </cell>
        </row>
        <row r="957">
          <cell r="A957">
            <v>21390102</v>
          </cell>
          <cell r="C957" t="str">
            <v>연금술사</v>
          </cell>
        </row>
        <row r="958">
          <cell r="A958">
            <v>21390103</v>
          </cell>
          <cell r="C958" t="str">
            <v>포르투갈 귀족2</v>
          </cell>
        </row>
        <row r="959">
          <cell r="A959">
            <v>21390104</v>
          </cell>
          <cell r="C959" t="str">
            <v>필럼의 부관</v>
          </cell>
        </row>
        <row r="960">
          <cell r="A960">
            <v>21390105</v>
          </cell>
          <cell r="C960" t="str">
            <v>에바우트</v>
          </cell>
        </row>
        <row r="961">
          <cell r="A961">
            <v>21390106</v>
          </cell>
          <cell r="C961" t="str">
            <v>해적 졸개</v>
          </cell>
        </row>
        <row r="962">
          <cell r="A962">
            <v>21390107</v>
          </cell>
          <cell r="C962" t="str">
            <v>해적 본대 선장</v>
          </cell>
        </row>
        <row r="963">
          <cell r="A963">
            <v>21390108</v>
          </cell>
          <cell r="C963" t="str">
            <v>잉글랜드 모험가</v>
          </cell>
        </row>
        <row r="964">
          <cell r="A964">
            <v>21390109</v>
          </cell>
          <cell r="C964" t="str">
            <v>비열한 협잡꾼</v>
          </cell>
        </row>
        <row r="965">
          <cell r="A965">
            <v>21390110</v>
          </cell>
          <cell r="C965" t="str">
            <v>세비야의 암살자</v>
          </cell>
        </row>
        <row r="966">
          <cell r="A966">
            <v>21390111</v>
          </cell>
          <cell r="C966" t="str">
            <v>허술한 암살자</v>
          </cell>
        </row>
        <row r="967">
          <cell r="A967">
            <v>21390112</v>
          </cell>
          <cell r="C967" t="str">
            <v>화약을 털어간 해적</v>
          </cell>
        </row>
        <row r="968">
          <cell r="A968">
            <v>21390113</v>
          </cell>
          <cell r="C968" t="str">
            <v>습격한 해적 두목</v>
          </cell>
        </row>
        <row r="969">
          <cell r="A969">
            <v>21390114</v>
          </cell>
          <cell r="C969" t="str">
            <v>습격한 해적</v>
          </cell>
        </row>
        <row r="970">
          <cell r="A970">
            <v>21390115</v>
          </cell>
          <cell r="C970" t="str">
            <v>지아나 호위대 막내</v>
          </cell>
        </row>
        <row r="971">
          <cell r="A971">
            <v>21390116</v>
          </cell>
          <cell r="C971" t="str">
            <v>지아나 호위대</v>
          </cell>
        </row>
        <row r="972">
          <cell r="A972">
            <v>21390117</v>
          </cell>
          <cell r="C972" t="str">
            <v>지아나 호위대장</v>
          </cell>
        </row>
        <row r="973">
          <cell r="A973">
            <v>21390118</v>
          </cell>
          <cell r="C973" t="str">
            <v>페르모</v>
          </cell>
        </row>
        <row r="974">
          <cell r="A974">
            <v>21390119</v>
          </cell>
          <cell r="C974" t="str">
            <v>드리스</v>
          </cell>
        </row>
        <row r="975">
          <cell r="A975">
            <v>21390120</v>
          </cell>
          <cell r="C975" t="str">
            <v>아세네트의 원수</v>
          </cell>
        </row>
        <row r="976">
          <cell r="A976">
            <v>21390121</v>
          </cell>
          <cell r="C976" t="str">
            <v>대회 예선 상대</v>
          </cell>
        </row>
        <row r="977">
          <cell r="A977">
            <v>21390122</v>
          </cell>
          <cell r="C977" t="str">
            <v>대회 결승 상대</v>
          </cell>
        </row>
        <row r="978">
          <cell r="A978">
            <v>21390123</v>
          </cell>
          <cell r="C978" t="str">
            <v>반란군 병사</v>
          </cell>
        </row>
        <row r="979">
          <cell r="A979">
            <v>21390124</v>
          </cell>
          <cell r="C979" t="str">
            <v>에도 망나니</v>
          </cell>
        </row>
        <row r="980">
          <cell r="A980">
            <v>21390125</v>
          </cell>
          <cell r="C980" t="str">
            <v>로렌스</v>
          </cell>
        </row>
        <row r="981">
          <cell r="A981">
            <v>21390126</v>
          </cell>
          <cell r="C981" t="str">
            <v>사기꾼1</v>
          </cell>
        </row>
        <row r="982">
          <cell r="A982">
            <v>21390127</v>
          </cell>
          <cell r="C982" t="str">
            <v>사기꾼2</v>
          </cell>
        </row>
        <row r="983">
          <cell r="A983">
            <v>21390128</v>
          </cell>
          <cell r="C983" t="str">
            <v>덥다라 오말리</v>
          </cell>
        </row>
        <row r="984">
          <cell r="A984">
            <v>21390129</v>
          </cell>
          <cell r="C984" t="str">
            <v>조이스 가문 해적</v>
          </cell>
        </row>
        <row r="985">
          <cell r="A985">
            <v>21390130</v>
          </cell>
          <cell r="C985" t="str">
            <v>맥마흔 가문 해적</v>
          </cell>
        </row>
        <row r="986">
          <cell r="A986">
            <v>21390131</v>
          </cell>
          <cell r="C986" t="str">
            <v>잉글랜드 해적</v>
          </cell>
        </row>
        <row r="987">
          <cell r="A987">
            <v>21390132</v>
          </cell>
          <cell r="C987" t="str">
            <v>바르바리 해적</v>
          </cell>
        </row>
        <row r="988">
          <cell r="A988">
            <v>21390133</v>
          </cell>
          <cell r="C988" t="str">
            <v>내통자 장군</v>
          </cell>
        </row>
        <row r="989">
          <cell r="A989">
            <v>21390134</v>
          </cell>
          <cell r="C989" t="str">
            <v>일본 첩자</v>
          </cell>
        </row>
        <row r="990">
          <cell r="A990">
            <v>21390135</v>
          </cell>
          <cell r="C990" t="str">
            <v>네일리의 연인</v>
          </cell>
        </row>
        <row r="991">
          <cell r="A991">
            <v>21390136</v>
          </cell>
          <cell r="C991" t="str">
            <v>세우타 상단주</v>
          </cell>
        </row>
        <row r="992">
          <cell r="A992">
            <v>21390137</v>
          </cell>
          <cell r="C992" t="str">
            <v>가짜 정보원</v>
          </cell>
        </row>
        <row r="993">
          <cell r="A993">
            <v>21390138</v>
          </cell>
          <cell r="C993" t="str">
            <v>공용_동양 해적B</v>
          </cell>
        </row>
        <row r="994">
          <cell r="A994">
            <v>21390139</v>
          </cell>
          <cell r="C994" t="str">
            <v>공용_일본 해적A</v>
          </cell>
        </row>
        <row r="995">
          <cell r="A995">
            <v>21390140</v>
          </cell>
          <cell r="C995" t="str">
            <v>불량배 하산</v>
          </cell>
        </row>
        <row r="996">
          <cell r="A996">
            <v>21390141</v>
          </cell>
          <cell r="C996" t="str">
            <v>공용_동양 해적B</v>
          </cell>
        </row>
        <row r="997">
          <cell r="A997">
            <v>21390142</v>
          </cell>
          <cell r="C997" t="str">
            <v>토시카츠</v>
          </cell>
        </row>
        <row r="998">
          <cell r="A998">
            <v>21390143</v>
          </cell>
          <cell r="C998" t="str">
            <v>이토 잇토사이</v>
          </cell>
        </row>
        <row r="999">
          <cell r="A999">
            <v>21390144</v>
          </cell>
          <cell r="C999" t="str">
            <v>제비잡이</v>
          </cell>
        </row>
        <row r="1000">
          <cell r="A1000">
            <v>21390145</v>
          </cell>
          <cell r="C1000" t="str">
            <v>도법의 달인</v>
          </cell>
        </row>
        <row r="1001">
          <cell r="A1001">
            <v>21390146</v>
          </cell>
          <cell r="C1001" t="str">
            <v>수상한 선원</v>
          </cell>
        </row>
        <row r="1002">
          <cell r="A1002">
            <v>21390147</v>
          </cell>
          <cell r="C1002" t="str">
            <v>브라스 벤투</v>
          </cell>
        </row>
        <row r="1003">
          <cell r="A1003">
            <v>21390148</v>
          </cell>
          <cell r="C1003" t="str">
            <v>무사 대표</v>
          </cell>
        </row>
        <row r="1004">
          <cell r="A1004">
            <v>21390149</v>
          </cell>
          <cell r="C1004" t="str">
            <v>불량한 해적</v>
          </cell>
        </row>
        <row r="1005">
          <cell r="A1005">
            <v>21390150</v>
          </cell>
          <cell r="C1005" t="str">
            <v>이사벨의 동생</v>
          </cell>
        </row>
        <row r="1006">
          <cell r="A1006">
            <v>21390151</v>
          </cell>
          <cell r="C1006" t="str">
            <v>멘체스 상단원1</v>
          </cell>
        </row>
        <row r="1007">
          <cell r="A1007">
            <v>21390152</v>
          </cell>
          <cell r="C1007" t="str">
            <v>공용_동양 해적B</v>
          </cell>
        </row>
        <row r="1008">
          <cell r="A1008">
            <v>21390153</v>
          </cell>
          <cell r="C1008" t="str">
            <v>공용_동양 해적B</v>
          </cell>
        </row>
        <row r="1009">
          <cell r="A1009">
            <v>21390154</v>
          </cell>
          <cell r="C1009" t="str">
            <v>중국 은행원</v>
          </cell>
        </row>
        <row r="1010">
          <cell r="A1010">
            <v>21390155</v>
          </cell>
          <cell r="C1010" t="str">
            <v>상호군</v>
          </cell>
        </row>
        <row r="1011">
          <cell r="A1011">
            <v>21390156</v>
          </cell>
          <cell r="C1011" t="str">
            <v>목걸이 장인</v>
          </cell>
        </row>
        <row r="1012">
          <cell r="A1012">
            <v>21390157</v>
          </cell>
          <cell r="C1012" t="str">
            <v>의문의 여성</v>
          </cell>
        </row>
        <row r="1013">
          <cell r="A1013">
            <v>21390158</v>
          </cell>
          <cell r="C1013" t="str">
            <v>명 선원1</v>
          </cell>
        </row>
        <row r="1014">
          <cell r="A1014">
            <v>21390159</v>
          </cell>
          <cell r="C1014" t="str">
            <v>명 선원2</v>
          </cell>
        </row>
        <row r="1015">
          <cell r="A1015">
            <v>21390160</v>
          </cell>
          <cell r="C1015" t="str">
            <v>사마라이 사냥꾼</v>
          </cell>
        </row>
        <row r="1016">
          <cell r="A1016">
            <v>21390161</v>
          </cell>
          <cell r="C1016" t="str">
            <v>아르트</v>
          </cell>
        </row>
        <row r="1017">
          <cell r="A1017">
            <v>21390162</v>
          </cell>
          <cell r="C1017" t="str">
            <v>베르 포케</v>
          </cell>
        </row>
        <row r="1018">
          <cell r="A1018">
            <v>21390163</v>
          </cell>
          <cell r="C1018" t="str">
            <v>로이 반루크</v>
          </cell>
        </row>
        <row r="1019">
          <cell r="A1019">
            <v>21390164</v>
          </cell>
          <cell r="C1019" t="str">
            <v>빚쟁이 해적</v>
          </cell>
        </row>
        <row r="1020">
          <cell r="A1020">
            <v>21390165</v>
          </cell>
          <cell r="C1020" t="str">
            <v>쾨벤하운 바이킹</v>
          </cell>
        </row>
        <row r="1021">
          <cell r="A1021">
            <v>21390166</v>
          </cell>
          <cell r="C1021" t="str">
            <v>알제 암살자</v>
          </cell>
        </row>
        <row r="1022">
          <cell r="A1022">
            <v>21390167</v>
          </cell>
          <cell r="C1022" t="str">
            <v>해적 선장</v>
          </cell>
        </row>
        <row r="1023">
          <cell r="A1023">
            <v>21390168</v>
          </cell>
          <cell r="C1023" t="str">
            <v>디더</v>
          </cell>
        </row>
        <row r="1024">
          <cell r="A1024">
            <v>21390169</v>
          </cell>
          <cell r="C1024" t="str">
            <v>향신료 상인</v>
          </cell>
        </row>
        <row r="1025">
          <cell r="A1025">
            <v>21390170</v>
          </cell>
          <cell r="C1025" t="str">
            <v>카짐</v>
          </cell>
        </row>
        <row r="1026">
          <cell r="A1026">
            <v>21390171</v>
          </cell>
          <cell r="C1026" t="str">
            <v>사파이어 교역상</v>
          </cell>
        </row>
        <row r="1027">
          <cell r="A1027">
            <v>21390172</v>
          </cell>
          <cell r="C1027" t="str">
            <v>포르투갈 귀족3</v>
          </cell>
        </row>
        <row r="1028">
          <cell r="A1028">
            <v>21390173</v>
          </cell>
          <cell r="C1028" t="str">
            <v>코지코드 태수</v>
          </cell>
        </row>
        <row r="1029">
          <cell r="A1029">
            <v>21390174</v>
          </cell>
          <cell r="C1029" t="str">
            <v>신용 불량자</v>
          </cell>
        </row>
        <row r="1030">
          <cell r="A1030">
            <v>21390175</v>
          </cell>
          <cell r="C1030" t="str">
            <v>안토니오</v>
          </cell>
        </row>
        <row r="1031">
          <cell r="A1031">
            <v>21390176</v>
          </cell>
          <cell r="C1031" t="str">
            <v>토마소</v>
          </cell>
        </row>
        <row r="1032">
          <cell r="A1032">
            <v>21390177</v>
          </cell>
          <cell r="C1032" t="str">
            <v>에스파냐 사절</v>
          </cell>
        </row>
        <row r="1033">
          <cell r="A1033">
            <v>21390178</v>
          </cell>
          <cell r="C1033" t="str">
            <v>포르투갈 사절</v>
          </cell>
        </row>
        <row r="1034">
          <cell r="A1034">
            <v>21390179</v>
          </cell>
          <cell r="C1034" t="str">
            <v>동료 은행원</v>
          </cell>
        </row>
        <row r="1035">
          <cell r="A1035">
            <v>21390180</v>
          </cell>
          <cell r="C1035" t="str">
            <v>레프코샤 해적</v>
          </cell>
        </row>
        <row r="1036">
          <cell r="A1036">
            <v>21390181</v>
          </cell>
          <cell r="C1036" t="str">
            <v>레베카 카틀란드</v>
          </cell>
        </row>
        <row r="1037">
          <cell r="A1037">
            <v>21390182</v>
          </cell>
          <cell r="C1037" t="str">
            <v>사사키</v>
          </cell>
        </row>
        <row r="1038">
          <cell r="A1038">
            <v>21390501</v>
          </cell>
          <cell r="C1038" t="str">
            <v>서양 선원</v>
          </cell>
        </row>
        <row r="1039">
          <cell r="A1039">
            <v>21390502</v>
          </cell>
          <cell r="C1039" t="str">
            <v>동양 선원</v>
          </cell>
        </row>
        <row r="1040">
          <cell r="A1040">
            <v>21390503</v>
          </cell>
          <cell r="C1040" t="str">
            <v>공용_서양 해적A</v>
          </cell>
        </row>
        <row r="1041">
          <cell r="A1041">
            <v>21390504</v>
          </cell>
          <cell r="C1041" t="str">
            <v>공용_서양 해적B</v>
          </cell>
        </row>
        <row r="1042">
          <cell r="A1042">
            <v>21390505</v>
          </cell>
          <cell r="C1042" t="str">
            <v>공용_서양 해적C</v>
          </cell>
        </row>
        <row r="1043">
          <cell r="A1043">
            <v>21390506</v>
          </cell>
          <cell r="C1043" t="str">
            <v>공용_동양 해적A</v>
          </cell>
        </row>
        <row r="1044">
          <cell r="A1044">
            <v>21390507</v>
          </cell>
          <cell r="C1044" t="str">
            <v>공용_동양 해적B</v>
          </cell>
        </row>
        <row r="1045">
          <cell r="A1045">
            <v>21390508</v>
          </cell>
          <cell r="C1045" t="str">
            <v>공용_동양 해적C</v>
          </cell>
        </row>
        <row r="1046">
          <cell r="A1046">
            <v>21390509</v>
          </cell>
          <cell r="C1046" t="str">
            <v>공용_대머리 해적A</v>
          </cell>
        </row>
        <row r="1047">
          <cell r="A1047">
            <v>21390510</v>
          </cell>
          <cell r="C1047" t="str">
            <v>공용_일본 해적A</v>
          </cell>
        </row>
        <row r="1048">
          <cell r="A1048">
            <v>21390511</v>
          </cell>
          <cell r="C1048" t="str">
            <v>공용_서양 인물A</v>
          </cell>
        </row>
        <row r="1049">
          <cell r="A1049">
            <v>21390512</v>
          </cell>
          <cell r="C1049" t="str">
            <v>공용_서양 인물B</v>
          </cell>
        </row>
        <row r="1050">
          <cell r="A1050">
            <v>21390513</v>
          </cell>
          <cell r="C1050" t="str">
            <v>공용_서양 인물C</v>
          </cell>
        </row>
        <row r="1051">
          <cell r="A1051">
            <v>21390514</v>
          </cell>
          <cell r="C1051" t="str">
            <v>공용_서양 인물D</v>
          </cell>
        </row>
        <row r="1052">
          <cell r="A1052">
            <v>21390515</v>
          </cell>
          <cell r="C1052" t="str">
            <v>공용_이슬람 인물A</v>
          </cell>
        </row>
        <row r="1053">
          <cell r="A1053">
            <v>21390516</v>
          </cell>
          <cell r="C1053" t="str">
            <v>공용_서양 도굴꾼A</v>
          </cell>
        </row>
        <row r="1054">
          <cell r="A1054">
            <v>21390517</v>
          </cell>
          <cell r="C1054" t="str">
            <v>공용_서양 도굴꾼B</v>
          </cell>
        </row>
        <row r="1055">
          <cell r="A1055">
            <v>21390518</v>
          </cell>
          <cell r="C1055" t="str">
            <v>공용_서양 도굴꾼C</v>
          </cell>
        </row>
        <row r="1056">
          <cell r="A1056">
            <v>21390519</v>
          </cell>
          <cell r="C1056" t="str">
            <v>공용_동양 도굴꾼A</v>
          </cell>
        </row>
        <row r="1057">
          <cell r="A1057">
            <v>21390520</v>
          </cell>
          <cell r="C1057" t="str">
            <v>공용_동양 도굴꾼B</v>
          </cell>
        </row>
        <row r="1058">
          <cell r="A1058">
            <v>21390521</v>
          </cell>
          <cell r="C1058" t="str">
            <v>공용_동양 도굴꾼C</v>
          </cell>
        </row>
        <row r="1059">
          <cell r="A1059">
            <v>21390522</v>
          </cell>
          <cell r="C1059" t="str">
            <v>공용_대머리 도굴꾼A</v>
          </cell>
        </row>
        <row r="1060">
          <cell r="A1060">
            <v>21390523</v>
          </cell>
          <cell r="C1060" t="str">
            <v>공용_일본 도굴꾼A</v>
          </cell>
        </row>
        <row r="1061">
          <cell r="A1061">
            <v>21390524</v>
          </cell>
          <cell r="C1061" t="str">
            <v>유령선 동양 제독</v>
          </cell>
        </row>
        <row r="1062">
          <cell r="A1062">
            <v>21390525</v>
          </cell>
          <cell r="C1062" t="str">
            <v>유령선 동양 선원1</v>
          </cell>
        </row>
        <row r="1063">
          <cell r="A1063">
            <v>21390526</v>
          </cell>
          <cell r="C1063" t="str">
            <v>유령선 동양 선원2</v>
          </cell>
        </row>
        <row r="1064">
          <cell r="A1064">
            <v>21390527</v>
          </cell>
          <cell r="C1064" t="str">
            <v>유령선 동양 선원3</v>
          </cell>
        </row>
        <row r="1065">
          <cell r="A1065">
            <v>21390528</v>
          </cell>
          <cell r="C1065" t="str">
            <v>유령선 동양 선원4</v>
          </cell>
        </row>
        <row r="1066">
          <cell r="A1066">
            <v>21390529</v>
          </cell>
          <cell r="C1066" t="str">
            <v>유령선 동양 선원5</v>
          </cell>
        </row>
        <row r="1067">
          <cell r="A1067">
            <v>21390536</v>
          </cell>
          <cell r="C1067" t="str">
            <v>유령선 동양 선원6</v>
          </cell>
        </row>
        <row r="1068">
          <cell r="A1068">
            <v>21390537</v>
          </cell>
          <cell r="C1068" t="str">
            <v>유령선 동양 선원7</v>
          </cell>
        </row>
        <row r="1069">
          <cell r="A1069">
            <v>21390538</v>
          </cell>
          <cell r="C1069" t="str">
            <v>유령선 동양 선원8</v>
          </cell>
        </row>
        <row r="1070">
          <cell r="A1070">
            <v>21390539</v>
          </cell>
          <cell r="C1070" t="str">
            <v>유령선 동양 선원9</v>
          </cell>
        </row>
        <row r="1071">
          <cell r="A1071">
            <v>21390530</v>
          </cell>
          <cell r="C1071" t="str">
            <v>유령선 서양 제독</v>
          </cell>
        </row>
        <row r="1072">
          <cell r="A1072">
            <v>21390531</v>
          </cell>
          <cell r="C1072" t="str">
            <v>유령선 서양 선원1</v>
          </cell>
        </row>
        <row r="1073">
          <cell r="A1073">
            <v>21390532</v>
          </cell>
          <cell r="C1073" t="str">
            <v>유령선 서양 선원2</v>
          </cell>
        </row>
        <row r="1074">
          <cell r="A1074">
            <v>21390533</v>
          </cell>
          <cell r="C1074" t="str">
            <v>유령선 서양 선원3</v>
          </cell>
        </row>
        <row r="1075">
          <cell r="A1075">
            <v>21390534</v>
          </cell>
          <cell r="C1075" t="str">
            <v>유령선 서양 선원4</v>
          </cell>
        </row>
        <row r="1076">
          <cell r="A1076">
            <v>21390535</v>
          </cell>
          <cell r="C1076" t="str">
            <v>유령선 서양 선원5</v>
          </cell>
        </row>
        <row r="1077">
          <cell r="A1077">
            <v>21390540</v>
          </cell>
          <cell r="C1077" t="str">
            <v>유령선 서양 선원6</v>
          </cell>
        </row>
        <row r="1078">
          <cell r="A1078">
            <v>21390541</v>
          </cell>
          <cell r="C1078" t="str">
            <v>유령선 서양 선원7</v>
          </cell>
        </row>
        <row r="1079">
          <cell r="A1079">
            <v>21390542</v>
          </cell>
          <cell r="C1079" t="str">
            <v>유령선 서양 선원8</v>
          </cell>
        </row>
        <row r="1080">
          <cell r="A1080">
            <v>21390543</v>
          </cell>
          <cell r="C1080" t="str">
            <v>유령선 서양 선원9</v>
          </cell>
        </row>
        <row r="1081">
          <cell r="A1081">
            <v>21390600</v>
          </cell>
          <cell r="C1081" t="str">
            <v>프롤로그 해적1</v>
          </cell>
        </row>
        <row r="1082">
          <cell r="A1082">
            <v>21390601</v>
          </cell>
          <cell r="C1082" t="str">
            <v>프롤로그 해적2</v>
          </cell>
        </row>
        <row r="1083">
          <cell r="A1083">
            <v>21390602</v>
          </cell>
          <cell r="C1083" t="str">
            <v>프롤로그 해적3</v>
          </cell>
        </row>
        <row r="1084">
          <cell r="A1084">
            <v>21390603</v>
          </cell>
          <cell r="C1084" t="str">
            <v>프롤로그 해적4</v>
          </cell>
        </row>
        <row r="1085">
          <cell r="A1085">
            <v>21390604</v>
          </cell>
          <cell r="C1085" t="str">
            <v>프롤로그 해적5</v>
          </cell>
        </row>
        <row r="1086">
          <cell r="A1086">
            <v>21390605</v>
          </cell>
          <cell r="C1086" t="str">
            <v>프롤로그 해적6</v>
          </cell>
        </row>
        <row r="1087">
          <cell r="A1087">
            <v>21390606</v>
          </cell>
          <cell r="C1087" t="str">
            <v>프롤로그 해적7</v>
          </cell>
        </row>
        <row r="1088">
          <cell r="A1088">
            <v>21390607</v>
          </cell>
          <cell r="C1088" t="str">
            <v>프롤로그 해적8</v>
          </cell>
        </row>
        <row r="1089">
          <cell r="A1089">
            <v>21390608</v>
          </cell>
          <cell r="C1089" t="str">
            <v>프롤로그 해적9</v>
          </cell>
        </row>
        <row r="1090">
          <cell r="A1090">
            <v>21390609</v>
          </cell>
          <cell r="C1090" t="str">
            <v>프롤로그 해적10</v>
          </cell>
        </row>
        <row r="1091">
          <cell r="A1091">
            <v>21390610</v>
          </cell>
          <cell r="C1091" t="str">
            <v>프롤로그 해적11</v>
          </cell>
        </row>
        <row r="1092">
          <cell r="A1092">
            <v>21390611</v>
          </cell>
          <cell r="C1092" t="str">
            <v>프롤로그 해적12</v>
          </cell>
        </row>
        <row r="1093">
          <cell r="A1093">
            <v>21390612</v>
          </cell>
          <cell r="C1093" t="str">
            <v>프롤로그 해적13</v>
          </cell>
        </row>
        <row r="1094">
          <cell r="A1094">
            <v>21390613</v>
          </cell>
          <cell r="C1094" t="str">
            <v>프롤로그 해적14</v>
          </cell>
        </row>
        <row r="1095">
          <cell r="A1095">
            <v>21390614</v>
          </cell>
          <cell r="C1095" t="str">
            <v>프롤로그 해적15</v>
          </cell>
        </row>
        <row r="1096">
          <cell r="A1096">
            <v>21390615</v>
          </cell>
          <cell r="C1096" t="str">
            <v>프롤로그 해적16</v>
          </cell>
        </row>
        <row r="1097">
          <cell r="A1097">
            <v>21390616</v>
          </cell>
          <cell r="C1097" t="str">
            <v>프롤로그 해적17</v>
          </cell>
        </row>
        <row r="1098">
          <cell r="A1098">
            <v>21390617</v>
          </cell>
          <cell r="C1098" t="str">
            <v>프롤로그 해적18</v>
          </cell>
        </row>
        <row r="1099">
          <cell r="A1099">
            <v>21390618</v>
          </cell>
          <cell r="C1099" t="str">
            <v>프롤로그 해적19</v>
          </cell>
        </row>
        <row r="1100">
          <cell r="A1100">
            <v>21390619</v>
          </cell>
          <cell r="C1100" t="str">
            <v>프롤로그 해적20</v>
          </cell>
        </row>
        <row r="1101">
          <cell r="A1101">
            <v>21390620</v>
          </cell>
          <cell r="C1101" t="str">
            <v>프롤로그 해적21</v>
          </cell>
        </row>
        <row r="1102">
          <cell r="A1102">
            <v>21390621</v>
          </cell>
          <cell r="C1102" t="str">
            <v>프롤로그 해적22</v>
          </cell>
        </row>
        <row r="1103">
          <cell r="A1103">
            <v>21390622</v>
          </cell>
          <cell r="C1103" t="str">
            <v>프롤로그 해적23</v>
          </cell>
        </row>
        <row r="1104">
          <cell r="A1104">
            <v>21390623</v>
          </cell>
          <cell r="C1104" t="str">
            <v>프롤로그 해적24</v>
          </cell>
        </row>
        <row r="1105">
          <cell r="A1105">
            <v>21390624</v>
          </cell>
          <cell r="C1105" t="str">
            <v>프롤로그 해적25</v>
          </cell>
        </row>
        <row r="1106">
          <cell r="A1106">
            <v>21390625</v>
          </cell>
          <cell r="C1106" t="str">
            <v>프롤로그 해적26</v>
          </cell>
        </row>
        <row r="1107">
          <cell r="A1107">
            <v>21390626</v>
          </cell>
          <cell r="C1107" t="str">
            <v>프롤로그 해적27</v>
          </cell>
        </row>
        <row r="1108">
          <cell r="A1108">
            <v>21390627</v>
          </cell>
          <cell r="C1108" t="str">
            <v>프롤로그 해적28</v>
          </cell>
        </row>
        <row r="1109">
          <cell r="A1109">
            <v>21390628</v>
          </cell>
          <cell r="C1109" t="str">
            <v>프롤로그 해적29</v>
          </cell>
        </row>
        <row r="1110">
          <cell r="A1110">
            <v>21390629</v>
          </cell>
          <cell r="C1110" t="str">
            <v>프롤로그 해적30</v>
          </cell>
        </row>
        <row r="1111">
          <cell r="A1111">
            <v>21390630</v>
          </cell>
          <cell r="C1111" t="str">
            <v>프롤로그 해적31</v>
          </cell>
        </row>
        <row r="1112">
          <cell r="A1112">
            <v>21390631</v>
          </cell>
          <cell r="C1112" t="str">
            <v>프롤로그 해적32</v>
          </cell>
        </row>
        <row r="1113">
          <cell r="A1113">
            <v>21390632</v>
          </cell>
          <cell r="C1113" t="str">
            <v>프롤로그 해적33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>
        <row r="1">
          <cell r="A1" t="str">
            <v>id</v>
          </cell>
        </row>
        <row r="2">
          <cell r="A2" t="str">
            <v>key:22000000~22999999</v>
          </cell>
        </row>
        <row r="3">
          <cell r="A3" t="str">
            <v>:required</v>
          </cell>
        </row>
        <row r="4">
          <cell r="A4" t="str">
            <v>:requiredInObject</v>
          </cell>
        </row>
        <row r="5">
          <cell r="A5" t="str">
            <v>:min</v>
          </cell>
        </row>
        <row r="6">
          <cell r="A6" t="str">
            <v>:max</v>
          </cell>
        </row>
        <row r="7">
          <cell r="A7" t="str">
            <v>:enum</v>
          </cell>
        </row>
        <row r="8">
          <cell r="A8" t="str">
            <v>:links</v>
          </cell>
        </row>
        <row r="9">
          <cell r="A9">
            <v>22111001</v>
          </cell>
          <cell r="B9" t="str">
            <v>커틀라스</v>
          </cell>
        </row>
        <row r="10">
          <cell r="A10">
            <v>22111002</v>
          </cell>
          <cell r="B10" t="str">
            <v>병사의 창</v>
          </cell>
        </row>
        <row r="11">
          <cell r="A11">
            <v>22111003</v>
          </cell>
          <cell r="B11" t="str">
            <v>런들 대거</v>
          </cell>
        </row>
        <row r="12">
          <cell r="A12">
            <v>22111004</v>
          </cell>
          <cell r="B12" t="str">
            <v>아쿼버스</v>
          </cell>
        </row>
        <row r="13">
          <cell r="A13">
            <v>22111005</v>
          </cell>
          <cell r="B13" t="str">
            <v>에페</v>
          </cell>
        </row>
        <row r="14">
          <cell r="A14">
            <v>22111006</v>
          </cell>
          <cell r="B14" t="str">
            <v>롱보우</v>
          </cell>
        </row>
        <row r="15">
          <cell r="A15">
            <v>22111007</v>
          </cell>
          <cell r="B15" t="str">
            <v>배틀 액스</v>
          </cell>
        </row>
        <row r="16">
          <cell r="A16">
            <v>22111008</v>
          </cell>
          <cell r="B16" t="str">
            <v>쉬시파르</v>
          </cell>
        </row>
        <row r="17">
          <cell r="A17">
            <v>22111009</v>
          </cell>
          <cell r="B17" t="str">
            <v>크로스보우</v>
          </cell>
        </row>
        <row r="18">
          <cell r="A18">
            <v>22111010</v>
          </cell>
          <cell r="B18" t="str">
            <v>캄피란</v>
          </cell>
        </row>
        <row r="19">
          <cell r="A19">
            <v>22111011</v>
          </cell>
          <cell r="B19" t="str">
            <v>나이아보르</v>
          </cell>
        </row>
        <row r="20">
          <cell r="A20">
            <v>22111013</v>
          </cell>
          <cell r="B20" t="str">
            <v>투박한 나무 몽둥이</v>
          </cell>
        </row>
        <row r="21">
          <cell r="A21">
            <v>22111014</v>
          </cell>
          <cell r="B21" t="str">
            <v>죽창</v>
          </cell>
        </row>
        <row r="22">
          <cell r="A22">
            <v>22112001</v>
          </cell>
          <cell r="B22" t="str">
            <v>샴쉬르</v>
          </cell>
        </row>
        <row r="23">
          <cell r="A23">
            <v>22112002</v>
          </cell>
          <cell r="B23" t="str">
            <v>장창</v>
          </cell>
        </row>
        <row r="24">
          <cell r="A24">
            <v>22112003</v>
          </cell>
          <cell r="B24" t="str">
            <v>토마호크</v>
          </cell>
        </row>
        <row r="25">
          <cell r="A25">
            <v>22112004</v>
          </cell>
          <cell r="B25" t="str">
            <v>매치락 머스킷</v>
          </cell>
        </row>
        <row r="26">
          <cell r="A26">
            <v>22112005</v>
          </cell>
          <cell r="B26" t="str">
            <v>레이피어</v>
          </cell>
        </row>
        <row r="27">
          <cell r="A27">
            <v>22112006</v>
          </cell>
          <cell r="B27" t="str">
            <v>각궁</v>
          </cell>
        </row>
        <row r="28">
          <cell r="A28">
            <v>22112007</v>
          </cell>
          <cell r="B28" t="str">
            <v>타바르</v>
          </cell>
        </row>
        <row r="29">
          <cell r="A29">
            <v>22112008</v>
          </cell>
          <cell r="B29" t="str">
            <v>모닝스타</v>
          </cell>
        </row>
        <row r="30">
          <cell r="A30">
            <v>22112009</v>
          </cell>
          <cell r="B30" t="str">
            <v>휠락 피스톨</v>
          </cell>
        </row>
        <row r="31">
          <cell r="A31">
            <v>22112010</v>
          </cell>
          <cell r="B31" t="str">
            <v>츠바이헨더</v>
          </cell>
        </row>
        <row r="32">
          <cell r="A32">
            <v>22123001</v>
          </cell>
          <cell r="B32" t="str">
            <v>카만</v>
          </cell>
        </row>
        <row r="33">
          <cell r="A33">
            <v>22123002</v>
          </cell>
          <cell r="B33" t="str">
            <v>스틸 커틀라스</v>
          </cell>
        </row>
        <row r="34">
          <cell r="A34">
            <v>22123003</v>
          </cell>
          <cell r="B34" t="str">
            <v>플린트락 머스킷</v>
          </cell>
        </row>
        <row r="35">
          <cell r="A35">
            <v>22123004</v>
          </cell>
          <cell r="B35" t="str">
            <v>타바르 쉬시파르</v>
          </cell>
        </row>
        <row r="36">
          <cell r="A36">
            <v>22123005</v>
          </cell>
          <cell r="B36" t="str">
            <v>페스카즈</v>
          </cell>
        </row>
        <row r="37">
          <cell r="A37">
            <v>22123006</v>
          </cell>
          <cell r="B37" t="str">
            <v>에스톡</v>
          </cell>
        </row>
        <row r="38">
          <cell r="A38">
            <v>22123007</v>
          </cell>
          <cell r="B38" t="str">
            <v>덕 풋 피스톨</v>
          </cell>
        </row>
        <row r="39">
          <cell r="A39">
            <v>22123008</v>
          </cell>
          <cell r="B39" t="str">
            <v>철창</v>
          </cell>
        </row>
        <row r="40">
          <cell r="A40">
            <v>22123009</v>
          </cell>
          <cell r="B40" t="str">
            <v>용병의 츠바이헨더</v>
          </cell>
        </row>
        <row r="41">
          <cell r="A41">
            <v>22123010</v>
          </cell>
          <cell r="B41" t="str">
            <v>소드 메이스</v>
          </cell>
        </row>
        <row r="42">
          <cell r="A42">
            <v>22124001</v>
          </cell>
          <cell r="B42" t="str">
            <v>카츠발거</v>
          </cell>
        </row>
        <row r="43">
          <cell r="A43">
            <v>22124002</v>
          </cell>
          <cell r="B43" t="str">
            <v>핸드 모탈</v>
          </cell>
        </row>
        <row r="44">
          <cell r="A44">
            <v>22124003</v>
          </cell>
          <cell r="B44" t="str">
            <v>금강월도</v>
          </cell>
        </row>
        <row r="45">
          <cell r="A45">
            <v>22124004</v>
          </cell>
          <cell r="B45" t="str">
            <v>푸르바</v>
          </cell>
        </row>
        <row r="46">
          <cell r="A46">
            <v>22124005</v>
          </cell>
          <cell r="B46" t="str">
            <v>철태궁</v>
          </cell>
        </row>
        <row r="47">
          <cell r="A47">
            <v>22124006</v>
          </cell>
          <cell r="B47" t="str">
            <v>콜라다</v>
          </cell>
        </row>
        <row r="48">
          <cell r="A48">
            <v>22124007</v>
          </cell>
          <cell r="B48" t="str">
            <v>미클렛락 머스킷</v>
          </cell>
        </row>
        <row r="49">
          <cell r="A49">
            <v>22124008</v>
          </cell>
          <cell r="B49" t="str">
            <v>베르디슈</v>
          </cell>
        </row>
        <row r="50">
          <cell r="A50">
            <v>22124009</v>
          </cell>
          <cell r="B50" t="str">
            <v>텍파틀</v>
          </cell>
        </row>
        <row r="51">
          <cell r="A51">
            <v>22124010</v>
          </cell>
          <cell r="B51" t="str">
            <v>총사의 레이피어</v>
          </cell>
        </row>
        <row r="52">
          <cell r="A52">
            <v>22124011</v>
          </cell>
          <cell r="B52" t="str">
            <v>더블 배럴 피스톨</v>
          </cell>
        </row>
        <row r="53">
          <cell r="A53">
            <v>22124012</v>
          </cell>
          <cell r="B53" t="str">
            <v>보삭</v>
          </cell>
        </row>
        <row r="54">
          <cell r="A54">
            <v>22124013</v>
          </cell>
          <cell r="B54" t="str">
            <v>클레이모어</v>
          </cell>
        </row>
        <row r="55">
          <cell r="A55">
            <v>22124014</v>
          </cell>
          <cell r="B55" t="str">
            <v>휠락 피스톨 소드</v>
          </cell>
        </row>
        <row r="56">
          <cell r="A56">
            <v>22124015</v>
          </cell>
          <cell r="B56" t="str">
            <v>티조나</v>
          </cell>
        </row>
        <row r="57">
          <cell r="A57">
            <v>22124016</v>
          </cell>
          <cell r="B57" t="str">
            <v>대왕의 크로스보우</v>
          </cell>
        </row>
        <row r="58">
          <cell r="A58">
            <v>22124017</v>
          </cell>
          <cell r="B58" t="str">
            <v>트라이던트</v>
          </cell>
        </row>
        <row r="59">
          <cell r="A59">
            <v>22124018</v>
          </cell>
          <cell r="B59" t="str">
            <v>그람</v>
          </cell>
        </row>
        <row r="60">
          <cell r="A60">
            <v>22124019</v>
          </cell>
          <cell r="B60" t="str">
            <v>장인의 쉬시파르</v>
          </cell>
        </row>
        <row r="61">
          <cell r="A61">
            <v>22124020</v>
          </cell>
          <cell r="B61" t="str">
            <v>은입사귀면문철퇴</v>
          </cell>
        </row>
        <row r="62">
          <cell r="A62">
            <v>22125001</v>
          </cell>
          <cell r="B62" t="str">
            <v>망령의 커틀라스</v>
          </cell>
        </row>
        <row r="63">
          <cell r="A63">
            <v>22125002</v>
          </cell>
          <cell r="B63" t="str">
            <v>천보총</v>
          </cell>
        </row>
        <row r="64">
          <cell r="A64">
            <v>22125003</v>
          </cell>
          <cell r="B64" t="str">
            <v>파라슈</v>
          </cell>
        </row>
        <row r="65">
          <cell r="A65">
            <v>22125004</v>
          </cell>
          <cell r="B65" t="str">
            <v>바즈라</v>
          </cell>
        </row>
        <row r="66">
          <cell r="A66">
            <v>22125005</v>
          </cell>
          <cell r="B66" t="str">
            <v>람세스 2세의 강궁</v>
          </cell>
        </row>
        <row r="67">
          <cell r="A67">
            <v>22125006</v>
          </cell>
          <cell r="B67" t="str">
            <v>뇌절</v>
          </cell>
        </row>
        <row r="68">
          <cell r="A68">
            <v>22125007</v>
          </cell>
          <cell r="B68" t="str">
            <v>브라운 베스</v>
          </cell>
        </row>
        <row r="69">
          <cell r="A69">
            <v>22125008</v>
          </cell>
          <cell r="B69" t="str">
            <v>부즈</v>
          </cell>
        </row>
        <row r="70">
          <cell r="A70">
            <v>22125009</v>
          </cell>
          <cell r="B70" t="str">
            <v>쿠디</v>
          </cell>
        </row>
        <row r="71">
          <cell r="A71">
            <v>22125010</v>
          </cell>
          <cell r="B71" t="str">
            <v>콜리슈마르드</v>
          </cell>
        </row>
        <row r="72">
          <cell r="A72">
            <v>22125011</v>
          </cell>
          <cell r="B72" t="str">
            <v>텐타클 피스톨</v>
          </cell>
        </row>
        <row r="73">
          <cell r="A73">
            <v>22125012</v>
          </cell>
          <cell r="B73" t="str">
            <v>낭선</v>
          </cell>
        </row>
        <row r="74">
          <cell r="A74">
            <v>22125013</v>
          </cell>
          <cell r="B74" t="str">
            <v>마르크스의 츠바이핸더</v>
          </cell>
        </row>
        <row r="75">
          <cell r="A75">
            <v>22125014</v>
          </cell>
          <cell r="B75" t="str">
            <v>베요네타</v>
          </cell>
        </row>
        <row r="76">
          <cell r="A76">
            <v>22125015</v>
          </cell>
          <cell r="B76" t="str">
            <v>성기사의 검</v>
          </cell>
        </row>
        <row r="77">
          <cell r="A77">
            <v>22125016</v>
          </cell>
          <cell r="B77" t="str">
            <v>브라흐마스트라</v>
          </cell>
        </row>
        <row r="78">
          <cell r="A78">
            <v>22125017</v>
          </cell>
          <cell r="B78" t="str">
            <v>검투사의 트라이던트</v>
          </cell>
        </row>
        <row r="79">
          <cell r="A79">
            <v>22125018</v>
          </cell>
          <cell r="B79" t="str">
            <v>귀문참마도</v>
          </cell>
        </row>
        <row r="80">
          <cell r="A80">
            <v>22125019</v>
          </cell>
          <cell r="B80" t="str">
            <v>램 해머</v>
          </cell>
        </row>
        <row r="81">
          <cell r="A81">
            <v>22125020</v>
          </cell>
          <cell r="B81" t="str">
            <v>아를라 셰스토페르</v>
          </cell>
        </row>
        <row r="82">
          <cell r="A82">
            <v>22126001</v>
          </cell>
          <cell r="B82" t="str">
            <v>시바의 마검</v>
          </cell>
        </row>
        <row r="83">
          <cell r="A83">
            <v>22126002</v>
          </cell>
          <cell r="B83" t="str">
            <v>토레더</v>
          </cell>
        </row>
        <row r="84">
          <cell r="A84">
            <v>22126003</v>
          </cell>
          <cell r="B84" t="str">
            <v>슈코아틀</v>
          </cell>
        </row>
        <row r="85">
          <cell r="A85">
            <v>22126004</v>
          </cell>
          <cell r="B85" t="str">
            <v>소드 브레이커</v>
          </cell>
        </row>
        <row r="86">
          <cell r="A86">
            <v>22126005</v>
          </cell>
          <cell r="B86" t="str">
            <v>어궁구</v>
          </cell>
        </row>
        <row r="87">
          <cell r="A87">
            <v>22126006</v>
          </cell>
          <cell r="B87" t="str">
            <v>요도 무라마사</v>
          </cell>
        </row>
        <row r="88">
          <cell r="A88">
            <v>22126007</v>
          </cell>
          <cell r="B88" t="str">
            <v>이스핑가르다</v>
          </cell>
        </row>
        <row r="89">
          <cell r="A89">
            <v>22126008</v>
          </cell>
          <cell r="B89" t="str">
            <v>몰니야</v>
          </cell>
        </row>
        <row r="90">
          <cell r="A90">
            <v>22126009</v>
          </cell>
          <cell r="B90" t="str">
            <v>할라디</v>
          </cell>
        </row>
        <row r="91">
          <cell r="A91">
            <v>22126010</v>
          </cell>
          <cell r="B91" t="str">
            <v>듀란달</v>
          </cell>
        </row>
        <row r="92">
          <cell r="A92">
            <v>22126011</v>
          </cell>
          <cell r="B92" t="str">
            <v>임페리얼 피스톨</v>
          </cell>
        </row>
        <row r="93">
          <cell r="A93">
            <v>22126012</v>
          </cell>
          <cell r="B93" t="str">
            <v>방천화극</v>
          </cell>
        </row>
        <row r="94">
          <cell r="A94">
            <v>22126013</v>
          </cell>
          <cell r="B94" t="str">
            <v>클라렌트</v>
          </cell>
        </row>
        <row r="95">
          <cell r="A95">
            <v>22126014</v>
          </cell>
          <cell r="B95" t="str">
            <v>기요틴 피스톨레</v>
          </cell>
        </row>
        <row r="96">
          <cell r="A96">
            <v>22126015</v>
          </cell>
          <cell r="B96" t="str">
            <v>엑스칼리버</v>
          </cell>
        </row>
        <row r="97">
          <cell r="A97">
            <v>22126016</v>
          </cell>
          <cell r="B97" t="str">
            <v>영광금귀신기노</v>
          </cell>
        </row>
        <row r="98">
          <cell r="A98">
            <v>22126017</v>
          </cell>
          <cell r="B98" t="str">
            <v>##게이볼그 변경</v>
          </cell>
        </row>
        <row r="99">
          <cell r="A99">
            <v>22126018</v>
          </cell>
          <cell r="B99" t="str">
            <v>이그제큐터</v>
          </cell>
        </row>
        <row r="100">
          <cell r="A100">
            <v>22126019</v>
          </cell>
          <cell r="B100" t="str">
            <v>헤라클레스의 클럽</v>
          </cell>
        </row>
        <row r="101">
          <cell r="A101">
            <v>22126020</v>
          </cell>
          <cell r="B101" t="str">
            <v>##묠니르 변경</v>
          </cell>
        </row>
        <row r="102">
          <cell r="A102">
            <v>22133001</v>
          </cell>
          <cell r="B102" t="str">
            <v>다</v>
          </cell>
        </row>
        <row r="103">
          <cell r="A103">
            <v>22133002</v>
          </cell>
          <cell r="B103" t="str">
            <v>대태도</v>
          </cell>
        </row>
        <row r="104">
          <cell r="A104">
            <v>22133003</v>
          </cell>
          <cell r="B104" t="str">
            <v>스틸 크로스보우</v>
          </cell>
        </row>
        <row r="105">
          <cell r="A105">
            <v>22133004</v>
          </cell>
          <cell r="B105" t="str">
            <v>킬리지</v>
          </cell>
        </row>
        <row r="106">
          <cell r="A106">
            <v>22133005</v>
          </cell>
          <cell r="B106" t="str">
            <v>카친 다오</v>
          </cell>
        </row>
        <row r="107">
          <cell r="A107">
            <v>22133006</v>
          </cell>
          <cell r="B107" t="str">
            <v>롱 배럴 피스톨</v>
          </cell>
        </row>
        <row r="108">
          <cell r="A108">
            <v>22133007</v>
          </cell>
          <cell r="B108" t="str">
            <v>브딜</v>
          </cell>
        </row>
        <row r="109">
          <cell r="A109">
            <v>22133008</v>
          </cell>
          <cell r="B109" t="str">
            <v>글라디우스</v>
          </cell>
        </row>
        <row r="110">
          <cell r="A110">
            <v>22133009</v>
          </cell>
          <cell r="B110" t="str">
            <v>환도</v>
          </cell>
        </row>
        <row r="111">
          <cell r="A111">
            <v>22133010</v>
          </cell>
          <cell r="B111" t="str">
            <v>우타</v>
          </cell>
        </row>
        <row r="112">
          <cell r="A112">
            <v>22133011</v>
          </cell>
          <cell r="B112" t="str">
            <v>블런더버스</v>
          </cell>
        </row>
        <row r="113">
          <cell r="A113">
            <v>22133012</v>
          </cell>
          <cell r="B113" t="str">
            <v>퀴리앙 안 완</v>
          </cell>
        </row>
        <row r="114">
          <cell r="A114">
            <v>22133013</v>
          </cell>
          <cell r="B114" t="str">
            <v>워 해머</v>
          </cell>
        </row>
        <row r="115">
          <cell r="A115">
            <v>22133014</v>
          </cell>
          <cell r="B115" t="str">
            <v>근위병의 창</v>
          </cell>
        </row>
        <row r="116">
          <cell r="A116">
            <v>22133015</v>
          </cell>
          <cell r="B116" t="str">
            <v>고대의 황금 창</v>
          </cell>
        </row>
        <row r="117">
          <cell r="A117">
            <v>22133016</v>
          </cell>
          <cell r="B117" t="str">
            <v>협차</v>
          </cell>
        </row>
        <row r="118">
          <cell r="A118">
            <v>22133017</v>
          </cell>
          <cell r="B118" t="str">
            <v>웅수</v>
          </cell>
        </row>
        <row r="119">
          <cell r="A119">
            <v>22133018</v>
          </cell>
          <cell r="B119" t="str">
            <v>와치맨의 토마호크</v>
          </cell>
        </row>
        <row r="120">
          <cell r="A120">
            <v>22133019</v>
          </cell>
          <cell r="B120" t="str">
            <v>마쿠아후이틀</v>
          </cell>
        </row>
        <row r="121">
          <cell r="A121">
            <v>22133020</v>
          </cell>
          <cell r="B121" t="str">
            <v>야유</v>
          </cell>
        </row>
        <row r="122">
          <cell r="A122">
            <v>22134001</v>
          </cell>
          <cell r="B122" t="str">
            <v>장인의 다</v>
          </cell>
        </row>
        <row r="123">
          <cell r="A123">
            <v>22134002</v>
          </cell>
          <cell r="B123" t="str">
            <v>램 다오</v>
          </cell>
        </row>
        <row r="124">
          <cell r="A124">
            <v>22134003</v>
          </cell>
          <cell r="B124" t="str">
            <v>아바레스트</v>
          </cell>
        </row>
        <row r="125">
          <cell r="A125">
            <v>22134004</v>
          </cell>
          <cell r="B125" t="str">
            <v>태아도</v>
          </cell>
        </row>
        <row r="126">
          <cell r="A126">
            <v>22134005</v>
          </cell>
          <cell r="B126" t="str">
            <v>플랑베르주</v>
          </cell>
        </row>
        <row r="127">
          <cell r="A127">
            <v>22134006</v>
          </cell>
          <cell r="B127" t="str">
            <v>페퍼박스 피스톨</v>
          </cell>
        </row>
        <row r="128">
          <cell r="A128">
            <v>22134007</v>
          </cell>
          <cell r="B128" t="str">
            <v>스트렐치의 무시케트</v>
          </cell>
        </row>
        <row r="129">
          <cell r="A129">
            <v>22134008</v>
          </cell>
          <cell r="B129" t="str">
            <v>라니스타 글라디우스</v>
          </cell>
        </row>
        <row r="130">
          <cell r="A130">
            <v>22134009</v>
          </cell>
          <cell r="B130" t="str">
            <v>플로베르거</v>
          </cell>
        </row>
        <row r="131">
          <cell r="A131">
            <v>22134010</v>
          </cell>
          <cell r="B131" t="str">
            <v>사냥꾼의 우타</v>
          </cell>
        </row>
        <row r="132">
          <cell r="A132">
            <v>22134011</v>
          </cell>
          <cell r="B132" t="str">
            <v>하켄뷕세</v>
          </cell>
        </row>
        <row r="133">
          <cell r="A133">
            <v>22134012</v>
          </cell>
          <cell r="B133" t="str">
            <v>테파테파</v>
          </cell>
        </row>
        <row r="134">
          <cell r="A134">
            <v>22134013</v>
          </cell>
          <cell r="B134" t="str">
            <v>장인의 모닝스타</v>
          </cell>
        </row>
        <row r="135">
          <cell r="A135">
            <v>22134014</v>
          </cell>
          <cell r="B135" t="str">
            <v>토파야우리</v>
          </cell>
        </row>
        <row r="136">
          <cell r="A136">
            <v>22134015</v>
          </cell>
          <cell r="B136" t="str">
            <v>파르티잔</v>
          </cell>
        </row>
        <row r="137">
          <cell r="A137">
            <v>22134016</v>
          </cell>
          <cell r="B137" t="str">
            <v>하이와타의 토마호크</v>
          </cell>
        </row>
        <row r="138">
          <cell r="A138">
            <v>22134017</v>
          </cell>
          <cell r="B138" t="str">
            <v>백호반월도</v>
          </cell>
        </row>
        <row r="139">
          <cell r="A139">
            <v>22134018</v>
          </cell>
          <cell r="B139" t="str">
            <v>음봄반</v>
          </cell>
        </row>
        <row r="140">
          <cell r="A140">
            <v>22134019</v>
          </cell>
          <cell r="B140" t="str">
            <v>오셀로틀 마쿠아후이틀</v>
          </cell>
        </row>
        <row r="141">
          <cell r="A141">
            <v>22134020</v>
          </cell>
          <cell r="B141" t="str">
            <v>제마아트의 야유</v>
          </cell>
        </row>
        <row r="142">
          <cell r="A142">
            <v>22135001</v>
          </cell>
          <cell r="B142" t="str">
            <v>샨 다</v>
          </cell>
        </row>
        <row r="143">
          <cell r="A143">
            <v>22135002</v>
          </cell>
          <cell r="B143" t="str">
            <v>바지랑대</v>
          </cell>
        </row>
        <row r="144">
          <cell r="A144">
            <v>22135003</v>
          </cell>
          <cell r="B144" t="str">
            <v>용병의 아바레스트</v>
          </cell>
        </row>
        <row r="145">
          <cell r="A145">
            <v>22135004</v>
          </cell>
          <cell r="B145" t="str">
            <v>커타나</v>
          </cell>
        </row>
        <row r="146">
          <cell r="A146">
            <v>22135005</v>
          </cell>
          <cell r="B146" t="str">
            <v>반투간의 캄피란</v>
          </cell>
        </row>
        <row r="147">
          <cell r="A147">
            <v>22135006</v>
          </cell>
          <cell r="B147" t="str">
            <v>샤힌고즈</v>
          </cell>
        </row>
        <row r="148">
          <cell r="A148">
            <v>22135007</v>
          </cell>
          <cell r="B148" t="str">
            <v>모스퀘테로의 머스킷</v>
          </cell>
        </row>
        <row r="149">
          <cell r="A149">
            <v>22135008</v>
          </cell>
          <cell r="B149" t="str">
            <v>룬 블레이드</v>
          </cell>
        </row>
        <row r="150">
          <cell r="A150">
            <v>22135009</v>
          </cell>
          <cell r="B150" t="str">
            <v>옥구보검</v>
          </cell>
        </row>
        <row r="151">
          <cell r="A151">
            <v>22135010</v>
          </cell>
          <cell r="B151" t="str">
            <v>오디세우스의 토크소</v>
          </cell>
        </row>
        <row r="152">
          <cell r="A152">
            <v>22135011</v>
          </cell>
          <cell r="B152" t="str">
            <v>오뢰신기</v>
          </cell>
        </row>
        <row r="153">
          <cell r="A153">
            <v>22135012</v>
          </cell>
          <cell r="B153" t="str">
            <v>틀링기트 워 클럽</v>
          </cell>
        </row>
        <row r="154">
          <cell r="A154">
            <v>22135013</v>
          </cell>
          <cell r="B154" t="str">
            <v>금쇄봉</v>
          </cell>
        </row>
        <row r="155">
          <cell r="A155">
            <v>22135014</v>
          </cell>
          <cell r="B155" t="str">
            <v>바이던트</v>
          </cell>
        </row>
        <row r="156">
          <cell r="A156">
            <v>22135015</v>
          </cell>
          <cell r="B156" t="str">
            <v>쿠페의 목창</v>
          </cell>
        </row>
        <row r="157">
          <cell r="A157">
            <v>22135016</v>
          </cell>
          <cell r="B157" t="str">
            <v>잠비야</v>
          </cell>
        </row>
        <row r="158">
          <cell r="A158">
            <v>22135017</v>
          </cell>
          <cell r="B158" t="str">
            <v>금권</v>
          </cell>
        </row>
        <row r="159">
          <cell r="A159">
            <v>22135018</v>
          </cell>
          <cell r="B159" t="str">
            <v>이쿨</v>
          </cell>
        </row>
        <row r="160">
          <cell r="A160">
            <v>22135019</v>
          </cell>
          <cell r="B160" t="str">
            <v>큐알리 마우카후이틀</v>
          </cell>
        </row>
        <row r="161">
          <cell r="A161">
            <v>22135020</v>
          </cell>
          <cell r="B161" t="str">
            <v>이광궁</v>
          </cell>
        </row>
        <row r="162">
          <cell r="A162">
            <v>22136001</v>
          </cell>
          <cell r="B162" t="str">
            <v>오군의 구바사</v>
          </cell>
        </row>
        <row r="163">
          <cell r="A163">
            <v>22136002</v>
          </cell>
          <cell r="B163" t="str">
            <v>아스클레피오스의 스태프</v>
          </cell>
        </row>
        <row r="164">
          <cell r="A164">
            <v>22136003</v>
          </cell>
          <cell r="B164" t="str">
            <v>레오나르도의 석궁</v>
          </cell>
        </row>
        <row r="165">
          <cell r="A165">
            <v>22136004</v>
          </cell>
          <cell r="B165" t="str">
            <v>살라딘의 검</v>
          </cell>
        </row>
        <row r="166">
          <cell r="A166">
            <v>22136005</v>
          </cell>
          <cell r="B166" t="str">
            <v>태구련의 장검</v>
          </cell>
        </row>
        <row r="167">
          <cell r="A167">
            <v>22136006</v>
          </cell>
          <cell r="B167" t="str">
            <v>레기온 페퍼박스 피스톨</v>
          </cell>
        </row>
        <row r="168">
          <cell r="A168">
            <v>22136007</v>
          </cell>
          <cell r="B168" t="str">
            <v>니자므 제디드의 투펙</v>
          </cell>
        </row>
        <row r="169">
          <cell r="A169">
            <v>22136008</v>
          </cell>
          <cell r="B169" t="str">
            <v>순천</v>
          </cell>
        </row>
        <row r="170">
          <cell r="A170">
            <v>22136009</v>
          </cell>
          <cell r="B170" t="str">
            <v>사인검</v>
          </cell>
        </row>
        <row r="171">
          <cell r="A171">
            <v>22136010</v>
          </cell>
          <cell r="B171" t="str">
            <v>아게의 우타</v>
          </cell>
        </row>
        <row r="172">
          <cell r="A172">
            <v>22136011</v>
          </cell>
          <cell r="B172" t="str">
            <v>드래곤</v>
          </cell>
        </row>
        <row r="173">
          <cell r="A173">
            <v>22136012</v>
          </cell>
          <cell r="B173" t="str">
            <v>마우이의 마타우</v>
          </cell>
        </row>
        <row r="174">
          <cell r="A174">
            <v>22136013</v>
          </cell>
          <cell r="B174" t="str">
            <v>마마 쿠차의 추키</v>
          </cell>
        </row>
        <row r="175">
          <cell r="A175">
            <v>22136014</v>
          </cell>
          <cell r="B175" t="str">
            <v>청룡언월도</v>
          </cell>
        </row>
        <row r="176">
          <cell r="A176">
            <v>22136015</v>
          </cell>
          <cell r="B176" t="str">
            <v>하트메히트의 와스</v>
          </cell>
        </row>
        <row r="177">
          <cell r="A177">
            <v>22136016</v>
          </cell>
          <cell r="B177" t="str">
            <v>타도다호의 토마호크</v>
          </cell>
        </row>
        <row r="178">
          <cell r="A178">
            <v>22136017</v>
          </cell>
          <cell r="B178" t="str">
            <v>##청룡언월도 변경</v>
          </cell>
        </row>
        <row r="179">
          <cell r="A179">
            <v>22136018</v>
          </cell>
          <cell r="B179" t="str">
            <v>간장 막야</v>
          </cell>
        </row>
        <row r="180">
          <cell r="A180">
            <v>22136019</v>
          </cell>
          <cell r="B180" t="str">
            <v>반고부</v>
          </cell>
        </row>
        <row r="181">
          <cell r="A181">
            <v>22136020</v>
          </cell>
          <cell r="B181" t="str">
            <v>알 루하</v>
          </cell>
        </row>
        <row r="182">
          <cell r="A182">
            <v>22143001</v>
          </cell>
          <cell r="B182" t="str">
            <v>타도</v>
          </cell>
        </row>
        <row r="183">
          <cell r="A183">
            <v>22143002</v>
          </cell>
          <cell r="B183" t="str">
            <v>브로드소드</v>
          </cell>
        </row>
        <row r="184">
          <cell r="A184">
            <v>22143003</v>
          </cell>
          <cell r="B184" t="str">
            <v>플린트락 피스톨</v>
          </cell>
        </row>
        <row r="185">
          <cell r="A185">
            <v>22143004</v>
          </cell>
          <cell r="B185" t="str">
            <v>스틸 배틀 액스</v>
          </cell>
        </row>
        <row r="186">
          <cell r="A186">
            <v>22143005</v>
          </cell>
          <cell r="B186" t="str">
            <v>테포즈토필리</v>
          </cell>
        </row>
        <row r="187">
          <cell r="A187">
            <v>22143006</v>
          </cell>
          <cell r="B187" t="str">
            <v>코트 소드</v>
          </cell>
        </row>
        <row r="188">
          <cell r="A188">
            <v>22143007</v>
          </cell>
          <cell r="B188" t="str">
            <v>휠락 머스킷</v>
          </cell>
        </row>
        <row r="189">
          <cell r="A189">
            <v>22143008</v>
          </cell>
          <cell r="B189" t="str">
            <v>로하</v>
          </cell>
        </row>
        <row r="190">
          <cell r="A190">
            <v>22143009</v>
          </cell>
          <cell r="B190" t="str">
            <v>페르나치</v>
          </cell>
        </row>
        <row r="191">
          <cell r="A191">
            <v>22143010</v>
          </cell>
          <cell r="B191" t="str">
            <v>강노</v>
          </cell>
        </row>
        <row r="192">
          <cell r="A192">
            <v>22143011</v>
          </cell>
          <cell r="B192" t="str">
            <v>워 보우</v>
          </cell>
        </row>
        <row r="193">
          <cell r="A193">
            <v>22143012</v>
          </cell>
          <cell r="B193" t="str">
            <v>시미터</v>
          </cell>
        </row>
        <row r="194">
          <cell r="A194">
            <v>22143013</v>
          </cell>
          <cell r="B194" t="str">
            <v>다오</v>
          </cell>
        </row>
        <row r="195">
          <cell r="A195">
            <v>22143014</v>
          </cell>
          <cell r="B195" t="str">
            <v>철포</v>
          </cell>
        </row>
        <row r="196">
          <cell r="A196">
            <v>22143015</v>
          </cell>
          <cell r="B196" t="str">
            <v>차스카 추키</v>
          </cell>
        </row>
        <row r="197">
          <cell r="A197">
            <v>22143016</v>
          </cell>
          <cell r="B197" t="str">
            <v>파나바스</v>
          </cell>
        </row>
        <row r="198">
          <cell r="A198">
            <v>22143017</v>
          </cell>
          <cell r="B198" t="str">
            <v>아세가이</v>
          </cell>
        </row>
        <row r="199">
          <cell r="A199">
            <v>22143018</v>
          </cell>
          <cell r="B199" t="str">
            <v>테붓제</v>
          </cell>
        </row>
        <row r="200">
          <cell r="A200">
            <v>22143019</v>
          </cell>
          <cell r="B200" t="str">
            <v>스틸레토</v>
          </cell>
        </row>
        <row r="201">
          <cell r="A201">
            <v>22143020</v>
          </cell>
          <cell r="B201" t="str">
            <v>셀프 보우</v>
          </cell>
        </row>
        <row r="202">
          <cell r="A202">
            <v>22144001</v>
          </cell>
          <cell r="B202" t="str">
            <v>다마스쿠스</v>
          </cell>
        </row>
        <row r="203">
          <cell r="A203">
            <v>22144002</v>
          </cell>
          <cell r="B203" t="str">
            <v>카스카라</v>
          </cell>
        </row>
        <row r="204">
          <cell r="A204">
            <v>22144003</v>
          </cell>
          <cell r="B204" t="str">
            <v>마상통</v>
          </cell>
        </row>
        <row r="205">
          <cell r="A205">
            <v>22144004</v>
          </cell>
          <cell r="B205" t="str">
            <v>타바르진</v>
          </cell>
        </row>
        <row r="206">
          <cell r="A206">
            <v>22144005</v>
          </cell>
          <cell r="B206" t="str">
            <v>둘 바쉬</v>
          </cell>
        </row>
        <row r="207">
          <cell r="A207">
            <v>22144006</v>
          </cell>
          <cell r="B207" t="str">
            <v>왕족의 크리스</v>
          </cell>
        </row>
        <row r="208">
          <cell r="A208">
            <v>22144007</v>
          </cell>
          <cell r="B208" t="str">
            <v>예니체리의 튀펙</v>
          </cell>
        </row>
        <row r="209">
          <cell r="A209">
            <v>22144008</v>
          </cell>
          <cell r="B209" t="str">
            <v>틀링기트 쿼라</v>
          </cell>
        </row>
        <row r="210">
          <cell r="A210">
            <v>22144009</v>
          </cell>
          <cell r="B210" t="str">
            <v>스파이크드 클럽</v>
          </cell>
        </row>
        <row r="211">
          <cell r="A211">
            <v>22144010</v>
          </cell>
          <cell r="B211" t="str">
            <v>바로크 크로스보우</v>
          </cell>
        </row>
        <row r="212">
          <cell r="A212">
            <v>22144011</v>
          </cell>
          <cell r="B212" t="str">
            <v>간디바</v>
          </cell>
        </row>
        <row r="213">
          <cell r="A213">
            <v>22144012</v>
          </cell>
          <cell r="B213" t="str">
            <v>펄션</v>
          </cell>
        </row>
        <row r="214">
          <cell r="A214">
            <v>22144013</v>
          </cell>
          <cell r="B214" t="str">
            <v>피쉬 스파인 소드</v>
          </cell>
        </row>
        <row r="215">
          <cell r="A215">
            <v>22144014</v>
          </cell>
          <cell r="B215" t="str">
            <v>다네가시마산 철포</v>
          </cell>
        </row>
        <row r="216">
          <cell r="A216">
            <v>22144015</v>
          </cell>
          <cell r="B216" t="str">
            <v>마카나</v>
          </cell>
        </row>
        <row r="217">
          <cell r="A217">
            <v>22144016</v>
          </cell>
          <cell r="B217" t="str">
            <v>칼링가</v>
          </cell>
        </row>
        <row r="218">
          <cell r="A218">
            <v>22144017</v>
          </cell>
          <cell r="B218" t="str">
            <v>할버드</v>
          </cell>
        </row>
        <row r="219">
          <cell r="A219">
            <v>22144018</v>
          </cell>
          <cell r="B219" t="str">
            <v>골리앗의 검</v>
          </cell>
        </row>
        <row r="220">
          <cell r="A220">
            <v>22144019</v>
          </cell>
          <cell r="B220" t="str">
            <v>운철검</v>
          </cell>
        </row>
        <row r="221">
          <cell r="A221">
            <v>22144020</v>
          </cell>
          <cell r="B221" t="str">
            <v>정예병의 롱보우</v>
          </cell>
        </row>
        <row r="222">
          <cell r="A222">
            <v>22145001</v>
          </cell>
          <cell r="B222" t="str">
            <v>욤스바이킹 소드</v>
          </cell>
        </row>
        <row r="223">
          <cell r="A223">
            <v>22145002</v>
          </cell>
          <cell r="B223" t="str">
            <v>아조트</v>
          </cell>
        </row>
        <row r="224">
          <cell r="A224">
            <v>22145003</v>
          </cell>
          <cell r="B224" t="str">
            <v>네고시아도르</v>
          </cell>
        </row>
        <row r="225">
          <cell r="A225">
            <v>22145004</v>
          </cell>
          <cell r="B225" t="str">
            <v>글레이브</v>
          </cell>
        </row>
        <row r="226">
          <cell r="A226">
            <v>22145005</v>
          </cell>
          <cell r="B226" t="str">
            <v>두 생거</v>
          </cell>
        </row>
        <row r="227">
          <cell r="A227">
            <v>22145006</v>
          </cell>
          <cell r="B227" t="str">
            <v>의천검</v>
          </cell>
        </row>
        <row r="228">
          <cell r="A228">
            <v>22145007</v>
          </cell>
          <cell r="B228" t="str">
            <v>페트로넬</v>
          </cell>
        </row>
        <row r="229">
          <cell r="A229">
            <v>22145008</v>
          </cell>
          <cell r="B229" t="str">
            <v>투미</v>
          </cell>
        </row>
        <row r="230">
          <cell r="A230">
            <v>22145009</v>
          </cell>
          <cell r="B230" t="str">
            <v>나바라트나 부즈디간</v>
          </cell>
        </row>
        <row r="231">
          <cell r="A231">
            <v>22145010</v>
          </cell>
          <cell r="B231" t="str">
            <v>마누발리스타</v>
          </cell>
        </row>
        <row r="232">
          <cell r="A232">
            <v>22145011</v>
          </cell>
          <cell r="B232" t="str">
            <v>파우와의 보우</v>
          </cell>
        </row>
        <row r="233">
          <cell r="A233">
            <v>22145012</v>
          </cell>
          <cell r="B233" t="str">
            <v>배신자의 펄션</v>
          </cell>
        </row>
        <row r="234">
          <cell r="A234">
            <v>22145013</v>
          </cell>
          <cell r="B234" t="str">
            <v>레이오마노</v>
          </cell>
        </row>
        <row r="235">
          <cell r="A235">
            <v>22145014</v>
          </cell>
          <cell r="B235" t="str">
            <v>퍼커션락 머스킷</v>
          </cell>
        </row>
        <row r="236">
          <cell r="A236">
            <v>22145015</v>
          </cell>
          <cell r="B236" t="str">
            <v>사파 잉카의 추키</v>
          </cell>
        </row>
        <row r="237">
          <cell r="A237">
            <v>22145016</v>
          </cell>
          <cell r="B237" t="str">
            <v>칼라우이탄의 칼링가</v>
          </cell>
        </row>
        <row r="238">
          <cell r="A238">
            <v>22145017</v>
          </cell>
          <cell r="B238" t="str">
            <v>알라하</v>
          </cell>
        </row>
        <row r="239">
          <cell r="A239">
            <v>22145018</v>
          </cell>
          <cell r="B239" t="str">
            <v>멜 푸타 베모</v>
          </cell>
        </row>
        <row r="240">
          <cell r="A240">
            <v>22145019</v>
          </cell>
          <cell r="B240" t="str">
            <v>친퀘디아</v>
          </cell>
        </row>
        <row r="241">
          <cell r="A241">
            <v>22145020</v>
          </cell>
          <cell r="B241" t="str">
            <v>로빈 후드의 롱보우</v>
          </cell>
        </row>
        <row r="242">
          <cell r="A242">
            <v>22146001</v>
          </cell>
          <cell r="B242" t="str">
            <v>나가 카스탄</v>
          </cell>
        </row>
        <row r="243">
          <cell r="A243">
            <v>22146002</v>
          </cell>
          <cell r="B243" t="str">
            <v>서왕모검</v>
          </cell>
        </row>
        <row r="244">
          <cell r="A244">
            <v>22146003</v>
          </cell>
          <cell r="B244" t="str">
            <v>용성통</v>
          </cell>
        </row>
        <row r="245">
          <cell r="A245">
            <v>22146004</v>
          </cell>
          <cell r="B245" t="str">
            <v>헤미펠레키스</v>
          </cell>
        </row>
        <row r="246">
          <cell r="A246">
            <v>22146005</v>
          </cell>
          <cell r="B246" t="str">
            <v>파티스타냐</v>
          </cell>
        </row>
        <row r="247">
          <cell r="A247">
            <v>22146006</v>
          </cell>
          <cell r="B247" t="str">
            <v>살라딘의 킬리지</v>
          </cell>
        </row>
        <row r="248">
          <cell r="A248">
            <v>22146007</v>
          </cell>
          <cell r="B248" t="str">
            <v>제자일</v>
          </cell>
        </row>
        <row r="249">
          <cell r="A249">
            <v>22146008</v>
          </cell>
          <cell r="B249" t="str">
            <v>크리스 나가</v>
          </cell>
        </row>
        <row r="250">
          <cell r="A250">
            <v>22146009</v>
          </cell>
          <cell r="B250" t="str">
            <v>셉터 오브 레갈리아</v>
          </cell>
        </row>
        <row r="251">
          <cell r="A251">
            <v>22146010</v>
          </cell>
          <cell r="B251" t="str">
            <v>제갈노</v>
          </cell>
        </row>
        <row r="252">
          <cell r="A252">
            <v>22146011</v>
          </cell>
          <cell r="B252" t="str">
            <v>샤랑가</v>
          </cell>
        </row>
        <row r="253">
          <cell r="A253">
            <v>22146012</v>
          </cell>
          <cell r="B253" t="str">
            <v>묠니르</v>
          </cell>
        </row>
        <row r="254">
          <cell r="A254">
            <v>22146013</v>
          </cell>
          <cell r="B254" t="str">
            <v>할이마히</v>
          </cell>
        </row>
        <row r="255">
          <cell r="A255">
            <v>22146014</v>
          </cell>
          <cell r="B255" t="str">
            <v>아토스의 머스킷</v>
          </cell>
        </row>
        <row r="256">
          <cell r="A256">
            <v>22146015</v>
          </cell>
          <cell r="B256" t="str">
            <v>가다</v>
          </cell>
        </row>
        <row r="257">
          <cell r="A257">
            <v>22146016</v>
          </cell>
          <cell r="B257" t="str">
            <v>만지</v>
          </cell>
        </row>
        <row r="258">
          <cell r="A258">
            <v>22146017</v>
          </cell>
          <cell r="B258" t="str">
            <v>트리아이나</v>
          </cell>
        </row>
        <row r="259">
          <cell r="A259">
            <v>22146018</v>
          </cell>
          <cell r="B259" t="str">
            <v>크리사오르</v>
          </cell>
        </row>
        <row r="260">
          <cell r="A260">
            <v>22146019</v>
          </cell>
          <cell r="B260" t="str">
            <v>워세레</v>
          </cell>
        </row>
        <row r="261">
          <cell r="A261">
            <v>22146020</v>
          </cell>
          <cell r="B261" t="str">
            <v>페일노트</v>
          </cell>
        </row>
        <row r="262">
          <cell r="A262">
            <v>22154001</v>
          </cell>
          <cell r="B262" t="str">
            <v>로베르토의 검</v>
          </cell>
        </row>
        <row r="263">
          <cell r="A263">
            <v>22154002</v>
          </cell>
          <cell r="B263" t="str">
            <v>호레스의 도끼</v>
          </cell>
        </row>
        <row r="264">
          <cell r="A264">
            <v>22154003</v>
          </cell>
          <cell r="B264" t="str">
            <v>토마스의 검</v>
          </cell>
        </row>
        <row r="265">
          <cell r="A265">
            <v>22155001</v>
          </cell>
          <cell r="B265" t="str">
            <v>뇌절 수정</v>
          </cell>
        </row>
        <row r="266">
          <cell r="A266">
            <v>22155002</v>
          </cell>
          <cell r="B266" t="str">
            <v>알프레드의 활</v>
          </cell>
        </row>
        <row r="267">
          <cell r="A267">
            <v>22155003</v>
          </cell>
          <cell r="B267" t="str">
            <v>잔의 검</v>
          </cell>
        </row>
        <row r="268">
          <cell r="A268">
            <v>22155004</v>
          </cell>
          <cell r="B268" t="str">
            <v>하이레딘의 검</v>
          </cell>
        </row>
        <row r="269">
          <cell r="A269">
            <v>22155005</v>
          </cell>
          <cell r="B269" t="str">
            <v>프랜시스의 검</v>
          </cell>
        </row>
        <row r="270">
          <cell r="A270">
            <v>22164505</v>
          </cell>
          <cell r="B270" t="str">
            <v>황금 뱀이 깃든 검</v>
          </cell>
        </row>
        <row r="271">
          <cell r="A271">
            <v>22164507</v>
          </cell>
          <cell r="B271" t="str">
            <v>태양의 검</v>
          </cell>
        </row>
        <row r="272">
          <cell r="A272">
            <v>22164509</v>
          </cell>
          <cell r="B272" t="str">
            <v>악마 사냥꾼의 검</v>
          </cell>
        </row>
        <row r="273">
          <cell r="A273">
            <v>22164510</v>
          </cell>
          <cell r="B273" t="str">
            <v>앤 보니의 쌍검</v>
          </cell>
        </row>
        <row r="274">
          <cell r="A274">
            <v>22171001</v>
          </cell>
          <cell r="B274" t="str">
            <v>바다 민족의 검</v>
          </cell>
        </row>
        <row r="275">
          <cell r="A275">
            <v>22171003</v>
          </cell>
          <cell r="B275" t="str">
            <v>합성궁</v>
          </cell>
        </row>
        <row r="276">
          <cell r="A276">
            <v>22172001</v>
          </cell>
          <cell r="B276" t="str">
            <v>롬파이어</v>
          </cell>
        </row>
        <row r="277">
          <cell r="A277">
            <v>22172003</v>
          </cell>
          <cell r="B277" t="str">
            <v>바이킹 소드</v>
          </cell>
        </row>
        <row r="278">
          <cell r="A278">
            <v>22172005</v>
          </cell>
          <cell r="B278" t="str">
            <v>맘루크의 커틀러스</v>
          </cell>
        </row>
        <row r="279">
          <cell r="A279">
            <v>22172007</v>
          </cell>
          <cell r="B279" t="str">
            <v>쿠 스틱</v>
          </cell>
        </row>
        <row r="280">
          <cell r="A280">
            <v>22172009</v>
          </cell>
          <cell r="B280" t="str">
            <v>포우나무</v>
          </cell>
        </row>
        <row r="281">
          <cell r="A281">
            <v>22172011</v>
          </cell>
          <cell r="B281" t="str">
            <v>에르난 코르테스의 총</v>
          </cell>
        </row>
        <row r="282">
          <cell r="A282">
            <v>22172013</v>
          </cell>
          <cell r="B282" t="str">
            <v>수습 대장장이의 대검</v>
          </cell>
        </row>
        <row r="283">
          <cell r="A283">
            <v>22173001</v>
          </cell>
          <cell r="B283" t="str">
            <v>은자 피에르의 지팡이</v>
          </cell>
        </row>
        <row r="284">
          <cell r="A284">
            <v>22173003</v>
          </cell>
          <cell r="B284" t="str">
            <v>쿠푸왕의 지팡이</v>
          </cell>
        </row>
        <row r="285">
          <cell r="A285">
            <v>22173005</v>
          </cell>
          <cell r="B285" t="str">
            <v>코모두스 황제의 검</v>
          </cell>
        </row>
        <row r="286">
          <cell r="A286">
            <v>22173007</v>
          </cell>
          <cell r="B286" t="str">
            <v>빙하 선단의 한손검</v>
          </cell>
        </row>
        <row r="287">
          <cell r="A287">
            <v>22173008</v>
          </cell>
          <cell r="B287" t="str">
            <v>빙하 선단의 쌍검</v>
          </cell>
        </row>
        <row r="288">
          <cell r="A288">
            <v>22173009</v>
          </cell>
          <cell r="B288" t="str">
            <v>빙하 선단의 도끼</v>
          </cell>
        </row>
        <row r="289">
          <cell r="A289">
            <v>22173010</v>
          </cell>
          <cell r="B289" t="str">
            <v>붉은 산호섬의 장총</v>
          </cell>
        </row>
        <row r="290">
          <cell r="A290">
            <v>22173011</v>
          </cell>
          <cell r="B290" t="str">
            <v>붉은 산호섬의 석궁</v>
          </cell>
        </row>
        <row r="291">
          <cell r="A291">
            <v>22173012</v>
          </cell>
          <cell r="B291" t="str">
            <v>붉은 산호섬의 권총</v>
          </cell>
        </row>
        <row r="292">
          <cell r="A292">
            <v>22173013</v>
          </cell>
          <cell r="B292" t="str">
            <v>붉은 산호섬의 활</v>
          </cell>
        </row>
        <row r="293">
          <cell r="A293">
            <v>22173014</v>
          </cell>
          <cell r="B293" t="str">
            <v>상단 연합의 양손검</v>
          </cell>
        </row>
        <row r="294">
          <cell r="A294">
            <v>22173015</v>
          </cell>
          <cell r="B294" t="str">
            <v>상단 연합의 한손검</v>
          </cell>
        </row>
        <row r="295">
          <cell r="A295">
            <v>22173016</v>
          </cell>
          <cell r="B295" t="str">
            <v>상단 연합의 창</v>
          </cell>
        </row>
        <row r="296">
          <cell r="A296">
            <v>22174001</v>
          </cell>
          <cell r="B296" t="str">
            <v>게클랭의 마상창</v>
          </cell>
        </row>
        <row r="297">
          <cell r="A297">
            <v>22174003</v>
          </cell>
          <cell r="B297" t="str">
            <v>바이바르스의 창</v>
          </cell>
        </row>
        <row r="298">
          <cell r="A298">
            <v>22174005</v>
          </cell>
          <cell r="B298" t="str">
            <v>알렉산더 대왕의 검</v>
          </cell>
        </row>
        <row r="299">
          <cell r="A299">
            <v>22174007</v>
          </cell>
          <cell r="B299" t="str">
            <v>찬드라굽타 왕의 검</v>
          </cell>
        </row>
        <row r="300">
          <cell r="A300">
            <v>22174009</v>
          </cell>
          <cell r="B300" t="str">
            <v>게 볼그</v>
          </cell>
        </row>
        <row r="301">
          <cell r="A301">
            <v>22174011</v>
          </cell>
          <cell r="B301" t="str">
            <v>프라가라흐</v>
          </cell>
        </row>
        <row r="302">
          <cell r="A302">
            <v>22174013</v>
          </cell>
          <cell r="B302" t="str">
            <v>아노야타왕의 검</v>
          </cell>
        </row>
        <row r="303">
          <cell r="A303">
            <v>22174015</v>
          </cell>
          <cell r="B303" t="str">
            <v>오도아케르의 검</v>
          </cell>
        </row>
        <row r="304">
          <cell r="A304">
            <v>22174017</v>
          </cell>
          <cell r="B304" t="str">
            <v>북해 연합의 한손검</v>
          </cell>
        </row>
        <row r="305">
          <cell r="A305">
            <v>22174018</v>
          </cell>
          <cell r="B305" t="str">
            <v>북해 연합의 쌍검</v>
          </cell>
        </row>
        <row r="306">
          <cell r="A306">
            <v>22174019</v>
          </cell>
          <cell r="B306" t="str">
            <v>북해 연합의 철퇴</v>
          </cell>
        </row>
        <row r="307">
          <cell r="A307">
            <v>22174020</v>
          </cell>
          <cell r="B307" t="str">
            <v>진주섬의 장총</v>
          </cell>
        </row>
        <row r="308">
          <cell r="A308">
            <v>22174021</v>
          </cell>
          <cell r="B308" t="str">
            <v>진주섬의 석궁</v>
          </cell>
        </row>
        <row r="309">
          <cell r="A309">
            <v>22174022</v>
          </cell>
          <cell r="B309" t="str">
            <v>진주섬의 권총</v>
          </cell>
        </row>
        <row r="310">
          <cell r="A310">
            <v>22174023</v>
          </cell>
          <cell r="B310" t="str">
            <v>진주섬의 활</v>
          </cell>
        </row>
        <row r="311">
          <cell r="A311">
            <v>22174024</v>
          </cell>
          <cell r="B311" t="str">
            <v>폭풍 선단의 양손검</v>
          </cell>
        </row>
        <row r="312">
          <cell r="A312">
            <v>22174025</v>
          </cell>
          <cell r="B312" t="str">
            <v>폭풍 선단의 한손검</v>
          </cell>
        </row>
        <row r="313">
          <cell r="A313">
            <v>22174026</v>
          </cell>
          <cell r="B313" t="str">
            <v>폭풍 선단의 창</v>
          </cell>
        </row>
        <row r="314">
          <cell r="A314">
            <v>22175001</v>
          </cell>
          <cell r="B314" t="str">
            <v>나라티하파테 왕의 비수</v>
          </cell>
        </row>
        <row r="315">
          <cell r="A315">
            <v>22175003</v>
          </cell>
          <cell r="B315" t="str">
            <v>라발나스왕의 검</v>
          </cell>
        </row>
        <row r="316">
          <cell r="A316">
            <v>22175005</v>
          </cell>
          <cell r="B316" t="str">
            <v>아바스의 검</v>
          </cell>
        </row>
        <row r="317">
          <cell r="A317">
            <v>22175007</v>
          </cell>
          <cell r="B317" t="str">
            <v>롱기누스의 창</v>
          </cell>
        </row>
        <row r="318">
          <cell r="A318">
            <v>22175009</v>
          </cell>
          <cell r="B318" t="str">
            <v>멀린의 지팡이</v>
          </cell>
        </row>
        <row r="319">
          <cell r="A319">
            <v>22175011</v>
          </cell>
          <cell r="B319" t="str">
            <v>무라마사</v>
          </cell>
        </row>
        <row r="320">
          <cell r="A320">
            <v>22175013</v>
          </cell>
          <cell r="B320" t="str">
            <v>발뭉</v>
          </cell>
        </row>
        <row r="321">
          <cell r="A321">
            <v>22175015</v>
          </cell>
          <cell r="B321" t="str">
            <v>브류나크</v>
          </cell>
        </row>
        <row r="322">
          <cell r="A322">
            <v>22175017</v>
          </cell>
          <cell r="B322" t="str">
            <v>트리스탄의 검</v>
          </cell>
        </row>
        <row r="323">
          <cell r="A323">
            <v>22175019</v>
          </cell>
          <cell r="B323" t="str">
            <v>크로케아 모르스</v>
          </cell>
        </row>
        <row r="324">
          <cell r="A324">
            <v>22175021</v>
          </cell>
          <cell r="B324" t="str">
            <v>쿠아우테목의 창</v>
          </cell>
        </row>
        <row r="325">
          <cell r="A325">
            <v>22211001</v>
          </cell>
          <cell r="B325" t="str">
            <v>브레스트 플레이트</v>
          </cell>
        </row>
        <row r="326">
          <cell r="A326">
            <v>22211003</v>
          </cell>
          <cell r="B326" t="str">
            <v>어대구족</v>
          </cell>
        </row>
        <row r="327">
          <cell r="A327">
            <v>22211005</v>
          </cell>
          <cell r="B327" t="str">
            <v>튜닉</v>
          </cell>
        </row>
        <row r="328">
          <cell r="A328">
            <v>22211007</v>
          </cell>
          <cell r="B328" t="str">
            <v>갬비슨_남성용</v>
          </cell>
        </row>
        <row r="329">
          <cell r="A329">
            <v>22211008</v>
          </cell>
          <cell r="B329" t="str">
            <v>레더 에이프런_여성용</v>
          </cell>
        </row>
        <row r="330">
          <cell r="A330">
            <v>22211009</v>
          </cell>
          <cell r="B330" t="str">
            <v>선원복_남성용</v>
          </cell>
        </row>
        <row r="331">
          <cell r="A331">
            <v>22211010</v>
          </cell>
          <cell r="B331" t="str">
            <v>에이프런 드레스_여성용</v>
          </cell>
        </row>
        <row r="332">
          <cell r="A332">
            <v>22211011</v>
          </cell>
          <cell r="B332" t="str">
            <v>자크(Jacque)@자크_남성용</v>
          </cell>
        </row>
        <row r="333">
          <cell r="A333">
            <v>22211012</v>
          </cell>
          <cell r="B333" t="str">
            <v>로브 타블리에_여성용</v>
          </cell>
        </row>
        <row r="334">
          <cell r="A334">
            <v>22211013</v>
          </cell>
          <cell r="B334" t="str">
            <v>호복</v>
          </cell>
        </row>
        <row r="335">
          <cell r="A335">
            <v>22211016</v>
          </cell>
          <cell r="B335" t="str">
            <v>작무복_여성용</v>
          </cell>
        </row>
        <row r="336">
          <cell r="A336">
            <v>22211018</v>
          </cell>
          <cell r="B336" t="str">
            <v>누더기 저고리_여성용</v>
          </cell>
        </row>
        <row r="337">
          <cell r="A337">
            <v>22211019</v>
          </cell>
          <cell r="B337" t="str">
            <v>선주민 전사복</v>
          </cell>
        </row>
        <row r="338">
          <cell r="A338">
            <v>22211021</v>
          </cell>
          <cell r="B338" t="str">
            <v>스콜라 더블릿</v>
          </cell>
        </row>
        <row r="339">
          <cell r="A339">
            <v>22211023</v>
          </cell>
          <cell r="B339" t="str">
            <v>감시자의 암행복</v>
          </cell>
        </row>
        <row r="340">
          <cell r="A340">
            <v>22211025</v>
          </cell>
          <cell r="B340" t="str">
            <v>견습 모험가의 의복</v>
          </cell>
        </row>
        <row r="341">
          <cell r="A341">
            <v>22211027</v>
          </cell>
          <cell r="B341" t="str">
            <v>상단 용병의 경장</v>
          </cell>
        </row>
        <row r="342">
          <cell r="A342">
            <v>22211029</v>
          </cell>
          <cell r="B342" t="str">
            <v>밀라노식 갑옷</v>
          </cell>
        </row>
        <row r="343">
          <cell r="A343">
            <v>22211031</v>
          </cell>
          <cell r="B343" t="str">
            <v>체인 메일</v>
          </cell>
        </row>
        <row r="344">
          <cell r="A344">
            <v>22212001</v>
          </cell>
          <cell r="B344" t="str">
            <v>찰갑</v>
          </cell>
        </row>
        <row r="345">
          <cell r="A345">
            <v>22212003</v>
          </cell>
          <cell r="B345" t="str">
            <v>서코트</v>
          </cell>
        </row>
        <row r="346">
          <cell r="A346">
            <v>22212005</v>
          </cell>
          <cell r="B346" t="str">
            <v>저킨</v>
          </cell>
        </row>
        <row r="347">
          <cell r="A347">
            <v>22212007</v>
          </cell>
          <cell r="B347" t="str">
            <v>피우피우</v>
          </cell>
        </row>
        <row r="348">
          <cell r="A348">
            <v>22212009</v>
          </cell>
          <cell r="B348" t="str">
            <v>바지저고리_남성용</v>
          </cell>
        </row>
        <row r="349">
          <cell r="A349">
            <v>22212010</v>
          </cell>
          <cell r="B349" t="str">
            <v>치마저고리_여성용</v>
          </cell>
        </row>
        <row r="350">
          <cell r="A350">
            <v>22212011</v>
          </cell>
          <cell r="B350" t="str">
            <v>사롱_남성용</v>
          </cell>
        </row>
        <row r="351">
          <cell r="A351">
            <v>22212012</v>
          </cell>
          <cell r="B351" t="str">
            <v>크바야_여성용</v>
          </cell>
        </row>
        <row r="352">
          <cell r="A352">
            <v>22212013</v>
          </cell>
          <cell r="B352" t="str">
            <v>파자마_남성용</v>
          </cell>
        </row>
        <row r="353">
          <cell r="A353">
            <v>22212016</v>
          </cell>
          <cell r="B353" t="str">
            <v>코르사주_여성용</v>
          </cell>
        </row>
        <row r="354">
          <cell r="A354">
            <v>22212018</v>
          </cell>
          <cell r="B354" t="str">
            <v>제흉유군_여성용</v>
          </cell>
        </row>
        <row r="355">
          <cell r="A355">
            <v>22212019</v>
          </cell>
          <cell r="B355" t="str">
            <v>쿠르타_남성용</v>
          </cell>
        </row>
        <row r="356">
          <cell r="A356">
            <v>22212021</v>
          </cell>
          <cell r="B356" t="str">
            <v>법피</v>
          </cell>
        </row>
        <row r="357">
          <cell r="A357">
            <v>22212023</v>
          </cell>
          <cell r="B357" t="str">
            <v>밀항자의 저킨_남성용</v>
          </cell>
        </row>
        <row r="358">
          <cell r="A358">
            <v>22212024</v>
          </cell>
          <cell r="B358" t="str">
            <v>에우스토키아 드레스_여성용</v>
          </cell>
        </row>
        <row r="359">
          <cell r="A359">
            <v>22212026</v>
          </cell>
          <cell r="B359" t="str">
            <v>피필틴의 튜닉_여성용</v>
          </cell>
        </row>
        <row r="360">
          <cell r="A360">
            <v>22212027</v>
          </cell>
          <cell r="B360" t="str">
            <v>무역 상인의 의복</v>
          </cell>
        </row>
        <row r="361">
          <cell r="A361">
            <v>22212029</v>
          </cell>
          <cell r="B361" t="str">
            <v>모험 용병의 경장</v>
          </cell>
        </row>
        <row r="362">
          <cell r="A362">
            <v>22212031</v>
          </cell>
          <cell r="B362" t="str">
            <v>몰락 귀족의 의복</v>
          </cell>
        </row>
        <row r="363">
          <cell r="A363">
            <v>22212033</v>
          </cell>
          <cell r="B363" t="str">
            <v>부족 전사의 의복</v>
          </cell>
        </row>
        <row r="364">
          <cell r="A364">
            <v>22212035</v>
          </cell>
          <cell r="B364" t="str">
            <v>에롤의 실험 갑옷</v>
          </cell>
        </row>
        <row r="365">
          <cell r="A365">
            <v>22212037</v>
          </cell>
          <cell r="B365" t="str">
            <v>상단 호위병의 갑옷</v>
          </cell>
        </row>
        <row r="366">
          <cell r="A366">
            <v>22223001</v>
          </cell>
          <cell r="B366" t="str">
            <v>야칸 뗄라_남성용</v>
          </cell>
        </row>
        <row r="367">
          <cell r="A367">
            <v>22223002</v>
          </cell>
          <cell r="B367" t="str">
            <v>야칸 다밋_여성용</v>
          </cell>
        </row>
        <row r="368">
          <cell r="A368">
            <v>22223003</v>
          </cell>
          <cell r="B368" t="str">
            <v>선단 포수복_남성용</v>
          </cell>
        </row>
        <row r="369">
          <cell r="A369">
            <v>22223004</v>
          </cell>
          <cell r="B369" t="str">
            <v>가죽 포수복_여성용</v>
          </cell>
        </row>
        <row r="370">
          <cell r="A370">
            <v>22223005</v>
          </cell>
          <cell r="B370" t="str">
            <v>다리우스 3세의 갑옷</v>
          </cell>
        </row>
        <row r="371">
          <cell r="A371">
            <v>22223007</v>
          </cell>
          <cell r="B371" t="str">
            <v>비르카 스케일 아머</v>
          </cell>
        </row>
        <row r="372">
          <cell r="A372">
            <v>22223009</v>
          </cell>
          <cell r="B372" t="str">
            <v>제마아트의 히르카</v>
          </cell>
        </row>
        <row r="373">
          <cell r="A373">
            <v>22223011</v>
          </cell>
          <cell r="B373" t="str">
            <v>에스파다친의 갑옷</v>
          </cell>
        </row>
        <row r="374">
          <cell r="A374">
            <v>22223013</v>
          </cell>
          <cell r="B374" t="str">
            <v>안드레아의 코트_남성용</v>
          </cell>
        </row>
        <row r="375">
          <cell r="A375">
            <v>22223014</v>
          </cell>
          <cell r="B375" t="str">
            <v>칼라리파야투 카파다_여성용</v>
          </cell>
        </row>
        <row r="376">
          <cell r="A376">
            <v>22223015</v>
          </cell>
          <cell r="B376" t="str">
            <v>바르바리 해적복_남성용</v>
          </cell>
        </row>
        <row r="377">
          <cell r="A377">
            <v>22223016</v>
          </cell>
          <cell r="B377" t="str">
            <v>바르바리 해적 조끼_여성용</v>
          </cell>
        </row>
        <row r="378">
          <cell r="A378">
            <v>22223017</v>
          </cell>
          <cell r="B378" t="str">
            <v>퀴르 부이 재킷_남성용</v>
          </cell>
        </row>
        <row r="379">
          <cell r="A379">
            <v>22223018</v>
          </cell>
          <cell r="B379" t="str">
            <v>퀴르 부이 저킨_여성용</v>
          </cell>
        </row>
        <row r="380">
          <cell r="A380">
            <v>22223019</v>
          </cell>
          <cell r="B380" t="str">
            <v>호병포면갑</v>
          </cell>
        </row>
        <row r="381">
          <cell r="A381">
            <v>22224001</v>
          </cell>
          <cell r="B381" t="str">
            <v>제사장의 응구오_남성용</v>
          </cell>
        </row>
        <row r="382">
          <cell r="A382">
            <v>22224002</v>
          </cell>
          <cell r="B382" t="str">
            <v>제사장의 드레스_여성용</v>
          </cell>
        </row>
        <row r="383">
          <cell r="A383">
            <v>22224003</v>
          </cell>
          <cell r="B383" t="str">
            <v>세크반의 히르카_남성용</v>
          </cell>
        </row>
        <row r="384">
          <cell r="A384">
            <v>22224004</v>
          </cell>
          <cell r="B384" t="str">
            <v>아미나의 로브_여성용</v>
          </cell>
        </row>
        <row r="385">
          <cell r="A385">
            <v>22224005</v>
          </cell>
          <cell r="B385" t="str">
            <v>프랑코의 갑옷_남성용</v>
          </cell>
        </row>
        <row r="386">
          <cell r="A386">
            <v>22224006</v>
          </cell>
          <cell r="B386" t="str">
            <v>판처시 후사르자_여성용</v>
          </cell>
        </row>
        <row r="387">
          <cell r="A387">
            <v>22224007</v>
          </cell>
          <cell r="B387" t="str">
            <v>아유타야 그라</v>
          </cell>
        </row>
        <row r="388">
          <cell r="A388">
            <v>22224009</v>
          </cell>
          <cell r="B388" t="str">
            <v>앤슨 남작의 갑옷_남성용</v>
          </cell>
        </row>
        <row r="389">
          <cell r="A389">
            <v>22224010</v>
          </cell>
          <cell r="B389" t="str">
            <v>쥐퐁 아머_여성용</v>
          </cell>
        </row>
        <row r="390">
          <cell r="A390">
            <v>22224011</v>
          </cell>
          <cell r="B390" t="str">
            <v>해군 장관복</v>
          </cell>
        </row>
        <row r="391">
          <cell r="A391">
            <v>22224013</v>
          </cell>
          <cell r="B391" t="str">
            <v>마르케스의 더블릿_남성용</v>
          </cell>
        </row>
        <row r="392">
          <cell r="A392">
            <v>22224014</v>
          </cell>
          <cell r="B392" t="str">
            <v>마르케자의 더블릿_여성용</v>
          </cell>
        </row>
        <row r="393">
          <cell r="A393">
            <v>22224015</v>
          </cell>
          <cell r="B393" t="str">
            <v>바솔로뮤의 코트_남성용</v>
          </cell>
        </row>
        <row r="394">
          <cell r="A394">
            <v>22224016</v>
          </cell>
          <cell r="B394" t="str">
            <v>검은 남작의 드레스_여성용</v>
          </cell>
        </row>
        <row r="395">
          <cell r="A395">
            <v>22224017</v>
          </cell>
          <cell r="B395" t="str">
            <v>바이킹 아머</v>
          </cell>
        </row>
        <row r="396">
          <cell r="A396">
            <v>22224019</v>
          </cell>
          <cell r="B396" t="str">
            <v>무스케테르의 베트멍_남성용</v>
          </cell>
        </row>
        <row r="397">
          <cell r="A397">
            <v>22224020</v>
          </cell>
          <cell r="B397" t="str">
            <v>라 포맹의 베트멍_여성용</v>
          </cell>
        </row>
        <row r="398">
          <cell r="A398">
            <v>22224021</v>
          </cell>
          <cell r="B398" t="str">
            <v>호레스의 의복_남성용</v>
          </cell>
        </row>
        <row r="399">
          <cell r="A399">
            <v>22224022</v>
          </cell>
          <cell r="B399" t="str">
            <v>해적 부선장의 코트_여성용</v>
          </cell>
        </row>
        <row r="400">
          <cell r="A400">
            <v>22224023</v>
          </cell>
          <cell r="B400" t="str">
            <v>듀얼리스트의 저킨_남성용</v>
          </cell>
        </row>
        <row r="401">
          <cell r="A401">
            <v>22224024</v>
          </cell>
          <cell r="B401" t="str">
            <v>현상금 사냥꾼의 저킨_여성용</v>
          </cell>
        </row>
        <row r="402">
          <cell r="A402">
            <v>22224025</v>
          </cell>
          <cell r="B402" t="str">
            <v>알브레히트의 갑옷_남성용</v>
          </cell>
        </row>
        <row r="403">
          <cell r="A403">
            <v>22224026</v>
          </cell>
          <cell r="B403" t="str">
            <v>그리니치 아머_여성용</v>
          </cell>
        </row>
        <row r="404">
          <cell r="A404">
            <v>22224027</v>
          </cell>
          <cell r="B404" t="str">
            <v>오블리제 쥐스토코르_남성용</v>
          </cell>
        </row>
        <row r="405">
          <cell r="A405">
            <v>22224028</v>
          </cell>
          <cell r="B405" t="str">
            <v>오블리제 드레스_여성용</v>
          </cell>
        </row>
        <row r="406">
          <cell r="A406">
            <v>22224029</v>
          </cell>
          <cell r="B406" t="str">
            <v>부카니에의 코트</v>
          </cell>
        </row>
        <row r="407">
          <cell r="A407">
            <v>22224031</v>
          </cell>
          <cell r="B407" t="str">
            <v>미사그리아</v>
          </cell>
        </row>
        <row r="408">
          <cell r="A408">
            <v>22224033</v>
          </cell>
          <cell r="B408" t="str">
            <v>카이사르의 갑옷</v>
          </cell>
        </row>
        <row r="409">
          <cell r="A409">
            <v>22224035</v>
          </cell>
          <cell r="B409" t="str">
            <v>아슬란 크루그_남성용</v>
          </cell>
        </row>
        <row r="410">
          <cell r="A410">
            <v>22224036</v>
          </cell>
          <cell r="B410" t="str">
            <v>프리마 돈나 아머_여성용</v>
          </cell>
        </row>
        <row r="411">
          <cell r="A411">
            <v>22225001</v>
          </cell>
          <cell r="B411" t="str">
            <v>망령 제독의 코트</v>
          </cell>
        </row>
        <row r="412">
          <cell r="A412">
            <v>22225003</v>
          </cell>
          <cell r="B412" t="str">
            <v>착호갑사복_남성용</v>
          </cell>
        </row>
        <row r="413">
          <cell r="A413">
            <v>22225005</v>
          </cell>
          <cell r="B413" t="str">
            <v>두석린갑_남성용</v>
          </cell>
        </row>
        <row r="414">
          <cell r="A414">
            <v>22225006</v>
          </cell>
          <cell r="B414" t="str">
            <v>일품부인의 산문갑_여성용</v>
          </cell>
        </row>
        <row r="415">
          <cell r="A415">
            <v>22225007</v>
          </cell>
          <cell r="B415" t="str">
            <v>카르나의 카바치_남성용</v>
          </cell>
        </row>
        <row r="416">
          <cell r="A416">
            <v>22225009</v>
          </cell>
          <cell r="B416" t="str">
            <v>호지조개_남성용</v>
          </cell>
        </row>
        <row r="417">
          <cell r="A417">
            <v>22225010</v>
          </cell>
          <cell r="B417" t="str">
            <v>뇌신갑_여성용</v>
          </cell>
        </row>
        <row r="418">
          <cell r="A418">
            <v>22225011</v>
          </cell>
          <cell r="B418" t="str">
            <v>레오나르도의 의복_남성용</v>
          </cell>
        </row>
        <row r="419">
          <cell r="A419">
            <v>22225012</v>
          </cell>
          <cell r="B419" t="str">
            <v>스칼렛 튜닉_여성용</v>
          </cell>
        </row>
        <row r="420">
          <cell r="A420">
            <v>22225013</v>
          </cell>
          <cell r="B420" t="str">
            <v>트라헤 데루세스_남성용</v>
          </cell>
        </row>
        <row r="421">
          <cell r="A421">
            <v>22225014</v>
          </cell>
          <cell r="B421" t="str">
            <v>트라헤 데플라멩카_여성용</v>
          </cell>
        </row>
        <row r="422">
          <cell r="A422">
            <v>22225015</v>
          </cell>
          <cell r="B422" t="str">
            <v>라마 이스루나의 케인_남성용</v>
          </cell>
        </row>
        <row r="423">
          <cell r="A423">
            <v>22225017</v>
          </cell>
          <cell r="B423" t="str">
            <v>홀리 플레이트 아머_남성용</v>
          </cell>
        </row>
        <row r="424">
          <cell r="A424">
            <v>22225021</v>
          </cell>
          <cell r="B424" t="str">
            <v>금의위복_남성용</v>
          </cell>
        </row>
        <row r="425">
          <cell r="A425">
            <v>22225023</v>
          </cell>
          <cell r="B425" t="str">
            <v>마르크스의 뤼스퉁_남성용</v>
          </cell>
        </row>
        <row r="426">
          <cell r="A426">
            <v>22225025</v>
          </cell>
          <cell r="B426" t="str">
            <v>성기사의 갑옷_남성용</v>
          </cell>
        </row>
        <row r="427">
          <cell r="A427">
            <v>22225027</v>
          </cell>
          <cell r="B427" t="str">
            <v>인드라지트의 카파다</v>
          </cell>
        </row>
        <row r="428">
          <cell r="A428">
            <v>22225029</v>
          </cell>
          <cell r="B428" t="str">
            <v>호플로마쿠스의 갑옷</v>
          </cell>
        </row>
        <row r="429">
          <cell r="A429">
            <v>22225031</v>
          </cell>
          <cell r="B429" t="str">
            <v>하이레딘의 카프탄_남성용</v>
          </cell>
        </row>
        <row r="430">
          <cell r="A430">
            <v>22225033</v>
          </cell>
          <cell r="B430" t="str">
            <v>엘 드라케 아머</v>
          </cell>
        </row>
        <row r="431">
          <cell r="A431">
            <v>22225035</v>
          </cell>
          <cell r="B431" t="str">
            <v>보야르의 브라냐</v>
          </cell>
        </row>
        <row r="432">
          <cell r="A432">
            <v>22226001</v>
          </cell>
          <cell r="B432" t="str">
            <v>나타라자의 카파다_남성용</v>
          </cell>
        </row>
        <row r="433">
          <cell r="A433">
            <v>22226003</v>
          </cell>
          <cell r="B433" t="str">
            <v>아하디스의 카바치_남성용</v>
          </cell>
        </row>
        <row r="434">
          <cell r="A434">
            <v>22226005</v>
          </cell>
          <cell r="B434" t="str">
            <v>우이칠린_남성용</v>
          </cell>
        </row>
        <row r="435">
          <cell r="A435">
            <v>22226007</v>
          </cell>
          <cell r="B435" t="str">
            <v>페르디난트 2세의 아머_남성용</v>
          </cell>
        </row>
        <row r="436">
          <cell r="A436">
            <v>22226009</v>
          </cell>
          <cell r="B436" t="str">
            <v>제육천마왕개_남성용</v>
          </cell>
        </row>
        <row r="437">
          <cell r="A437">
            <v>22226011</v>
          </cell>
          <cell r="B437" t="str">
            <v>바쥬 라미나_남성용</v>
          </cell>
        </row>
        <row r="438">
          <cell r="A438">
            <v>22226013</v>
          </cell>
          <cell r="B438" t="str">
            <v>벨레스의 카사바로트카_남성용</v>
          </cell>
        </row>
        <row r="439">
          <cell r="A439">
            <v>22226014</v>
          </cell>
          <cell r="B439" t="str">
            <v>벨레스의 사라판_여성용</v>
          </cell>
        </row>
        <row r="440">
          <cell r="A440">
            <v>22226015</v>
          </cell>
          <cell r="B440" t="str">
            <v>라지푸트 카파다_남성용</v>
          </cell>
        </row>
        <row r="441">
          <cell r="A441">
            <v>22226017</v>
          </cell>
          <cell r="B441" t="str">
            <v>롤랑의 아르뮈르_남성용</v>
          </cell>
        </row>
        <row r="442">
          <cell r="A442">
            <v>22226019</v>
          </cell>
          <cell r="B442" t="str">
            <v>임페리얼 아머_남성용</v>
          </cell>
        </row>
        <row r="443">
          <cell r="A443">
            <v>22226021</v>
          </cell>
          <cell r="B443" t="str">
            <v>신전무전의_남성용</v>
          </cell>
        </row>
        <row r="444">
          <cell r="A444">
            <v>22226022</v>
          </cell>
          <cell r="B444" t="str">
            <v>폐월수화의_여성용</v>
          </cell>
        </row>
        <row r="445">
          <cell r="A445">
            <v>22226023</v>
          </cell>
          <cell r="B445" t="str">
            <v>모드레드의 아머_남성용</v>
          </cell>
        </row>
        <row r="446">
          <cell r="A446">
            <v>22226025</v>
          </cell>
          <cell r="B446" t="str">
            <v>위가르_남성용</v>
          </cell>
        </row>
        <row r="447">
          <cell r="A447">
            <v>22226027</v>
          </cell>
          <cell r="B447" t="str">
            <v>어우락 꾸언 아오_남성용</v>
          </cell>
        </row>
        <row r="448">
          <cell r="A448">
            <v>22226029</v>
          </cell>
          <cell r="B448" t="str">
            <v>쿠 훌린의 아머_남성용</v>
          </cell>
        </row>
        <row r="449">
          <cell r="A449">
            <v>22226031</v>
          </cell>
          <cell r="B449" t="str">
            <v>네로 디아볼로_남성용</v>
          </cell>
        </row>
        <row r="450">
          <cell r="A450">
            <v>22226033</v>
          </cell>
          <cell r="B450" t="str">
            <v>헤라클레스의 아머_남성용</v>
          </cell>
        </row>
        <row r="451">
          <cell r="A451">
            <v>22226034</v>
          </cell>
          <cell r="B451" t="str">
            <v>헤라클레스의 아머_여성용</v>
          </cell>
        </row>
        <row r="452">
          <cell r="A452">
            <v>22226035</v>
          </cell>
          <cell r="B452" t="str">
            <v>야른삭사의 아머_남성용</v>
          </cell>
        </row>
        <row r="453">
          <cell r="A453">
            <v>22233001</v>
          </cell>
          <cell r="B453" t="str">
            <v>막스틀라틀_남성용</v>
          </cell>
        </row>
        <row r="454">
          <cell r="A454">
            <v>22233002</v>
          </cell>
          <cell r="B454" t="str">
            <v>우이필_여성용</v>
          </cell>
        </row>
        <row r="455">
          <cell r="A455">
            <v>22233003</v>
          </cell>
          <cell r="B455" t="str">
            <v>데니지의 민탄_남성용</v>
          </cell>
        </row>
        <row r="456">
          <cell r="A456">
            <v>22233004</v>
          </cell>
          <cell r="B456" t="str">
            <v>데니지의 옐레크_여성용</v>
          </cell>
        </row>
        <row r="457">
          <cell r="A457">
            <v>22233005</v>
          </cell>
          <cell r="B457" t="str">
            <v>브리간딘</v>
          </cell>
        </row>
        <row r="458">
          <cell r="A458">
            <v>22233007</v>
          </cell>
          <cell r="B458" t="str">
            <v>모로 뗄라_남성용</v>
          </cell>
        </row>
        <row r="459">
          <cell r="A459">
            <v>22233008</v>
          </cell>
          <cell r="B459" t="str">
            <v>모로 다밋_여성용</v>
          </cell>
        </row>
        <row r="460">
          <cell r="A460">
            <v>22233009</v>
          </cell>
          <cell r="B460" t="str">
            <v>철기찰갑</v>
          </cell>
        </row>
        <row r="461">
          <cell r="A461">
            <v>22233011</v>
          </cell>
          <cell r="B461" t="str">
            <v>버프 코트</v>
          </cell>
        </row>
        <row r="462">
          <cell r="A462">
            <v>22233013</v>
          </cell>
          <cell r="B462" t="str">
            <v>와치맨의 튜닉_남성용</v>
          </cell>
        </row>
        <row r="463">
          <cell r="A463">
            <v>22233014</v>
          </cell>
          <cell r="B463" t="str">
            <v>와치맨의 튜닉 드레스_여성용</v>
          </cell>
        </row>
        <row r="464">
          <cell r="A464">
            <v>22233015</v>
          </cell>
          <cell r="B464" t="str">
            <v>더블릿_남성용</v>
          </cell>
        </row>
        <row r="465">
          <cell r="A465">
            <v>22233016</v>
          </cell>
          <cell r="B465" t="str">
            <v>카리브 드레스_여성용</v>
          </cell>
        </row>
        <row r="466">
          <cell r="A466">
            <v>22233017</v>
          </cell>
          <cell r="B466" t="str">
            <v>탐험가복_남성용</v>
          </cell>
        </row>
        <row r="467">
          <cell r="A467">
            <v>22233018</v>
          </cell>
          <cell r="B467" t="str">
            <v>보물 사냥꾼복_여성용</v>
          </cell>
        </row>
        <row r="468">
          <cell r="A468">
            <v>22233019</v>
          </cell>
          <cell r="B468" t="str">
            <v>명조포면갑</v>
          </cell>
        </row>
        <row r="469">
          <cell r="A469">
            <v>22233021</v>
          </cell>
          <cell r="B469" t="str">
            <v>보스탄츠의 히르카</v>
          </cell>
        </row>
        <row r="470">
          <cell r="A470">
            <v>22233023</v>
          </cell>
          <cell r="B470" t="str">
            <v>켄투리 로리카</v>
          </cell>
        </row>
        <row r="471">
          <cell r="A471">
            <v>22233025</v>
          </cell>
          <cell r="B471" t="str">
            <v>연거복_남성용</v>
          </cell>
        </row>
        <row r="472">
          <cell r="A472">
            <v>22233026</v>
          </cell>
          <cell r="B472" t="str">
            <v>궁녀복_여성용</v>
          </cell>
        </row>
        <row r="473">
          <cell r="A473">
            <v>22233027</v>
          </cell>
          <cell r="B473" t="str">
            <v>가드맨 아머</v>
          </cell>
        </row>
        <row r="474">
          <cell r="A474">
            <v>22233029</v>
          </cell>
          <cell r="B474" t="str">
            <v>갑판장복_남성용</v>
          </cell>
        </row>
        <row r="475">
          <cell r="A475">
            <v>22233030</v>
          </cell>
          <cell r="B475" t="str">
            <v>조타장복_여성용</v>
          </cell>
        </row>
        <row r="476">
          <cell r="A476">
            <v>22233031</v>
          </cell>
          <cell r="B476" t="str">
            <v>쿼리 운쿠_남성용</v>
          </cell>
        </row>
        <row r="477">
          <cell r="A477">
            <v>22233032</v>
          </cell>
          <cell r="B477" t="str">
            <v>와르미 악수_여성용</v>
          </cell>
        </row>
        <row r="478">
          <cell r="A478">
            <v>22233033</v>
          </cell>
          <cell r="B478" t="str">
            <v>바크테르츠</v>
          </cell>
        </row>
        <row r="479">
          <cell r="A479">
            <v>22233035</v>
          </cell>
          <cell r="B479" t="str">
            <v>수도복_남성용</v>
          </cell>
        </row>
        <row r="480">
          <cell r="A480">
            <v>22233036</v>
          </cell>
          <cell r="B480" t="str">
            <v>수녀복_여성용</v>
          </cell>
        </row>
        <row r="481">
          <cell r="A481">
            <v>22233037</v>
          </cell>
          <cell r="B481" t="str">
            <v>가디언의 저킨_남성용</v>
          </cell>
        </row>
        <row r="482">
          <cell r="A482">
            <v>22233038</v>
          </cell>
          <cell r="B482" t="str">
            <v>가디언의 재킷_여성용</v>
          </cell>
        </row>
        <row r="483">
          <cell r="A483">
            <v>22233039</v>
          </cell>
          <cell r="B483" t="str">
            <v>사략 해적의 조끼_남성용</v>
          </cell>
        </row>
        <row r="484">
          <cell r="A484">
            <v>22233040</v>
          </cell>
          <cell r="B484" t="str">
            <v>사략 해적복_여성용</v>
          </cell>
        </row>
        <row r="485">
          <cell r="A485">
            <v>22234001</v>
          </cell>
          <cell r="B485" t="str">
            <v>프록코트</v>
          </cell>
        </row>
        <row r="486">
          <cell r="A486">
            <v>22234003</v>
          </cell>
          <cell r="B486" t="str">
            <v>카사도르의 코트</v>
          </cell>
        </row>
        <row r="487">
          <cell r="A487">
            <v>22234005</v>
          </cell>
          <cell r="B487" t="str">
            <v>구키의 갑옷_남성용</v>
          </cell>
        </row>
        <row r="488">
          <cell r="A488">
            <v>22234006</v>
          </cell>
          <cell r="B488" t="str">
            <v>타치바나의 갑옷_여성용</v>
          </cell>
        </row>
        <row r="489">
          <cell r="A489">
            <v>22234007</v>
          </cell>
          <cell r="B489" t="str">
            <v>튜더 코트_남성용</v>
          </cell>
        </row>
        <row r="490">
          <cell r="A490">
            <v>22234008</v>
          </cell>
          <cell r="B490" t="str">
            <v>러프 칼라 드레스_여성용</v>
          </cell>
        </row>
        <row r="491">
          <cell r="A491">
            <v>22234009</v>
          </cell>
          <cell r="B491" t="str">
            <v>경번갑</v>
          </cell>
        </row>
        <row r="492">
          <cell r="A492">
            <v>22234011</v>
          </cell>
          <cell r="B492" t="str">
            <v>왕실 탐험가복_남성용</v>
          </cell>
        </row>
        <row r="493">
          <cell r="A493">
            <v>22234012</v>
          </cell>
          <cell r="B493" t="str">
            <v>마리아의 탐험복_여성용</v>
          </cell>
        </row>
        <row r="494">
          <cell r="A494">
            <v>22234013</v>
          </cell>
          <cell r="B494" t="str">
            <v>칩칸_남성용</v>
          </cell>
        </row>
        <row r="495">
          <cell r="A495">
            <v>22234014</v>
          </cell>
          <cell r="B495" t="str">
            <v>크바야 순다_여성용</v>
          </cell>
        </row>
        <row r="496">
          <cell r="A496">
            <v>22234015</v>
          </cell>
          <cell r="B496" t="str">
            <v>윙 칼라 더블릿_남성용</v>
          </cell>
        </row>
        <row r="497">
          <cell r="A497">
            <v>22234016</v>
          </cell>
          <cell r="B497" t="str">
            <v>이탈리안 드레스_여성용</v>
          </cell>
        </row>
        <row r="498">
          <cell r="A498">
            <v>22234017</v>
          </cell>
          <cell r="B498" t="str">
            <v>카르산의 코트</v>
          </cell>
        </row>
        <row r="499">
          <cell r="A499">
            <v>22234019</v>
          </cell>
          <cell r="B499" t="str">
            <v>어린갑</v>
          </cell>
        </row>
        <row r="500">
          <cell r="A500">
            <v>22234021</v>
          </cell>
          <cell r="B500" t="str">
            <v>제독의 코트</v>
          </cell>
        </row>
        <row r="501">
          <cell r="A501">
            <v>22234023</v>
          </cell>
          <cell r="B501" t="str">
            <v>호국영갑_남성용</v>
          </cell>
        </row>
        <row r="502">
          <cell r="A502">
            <v>22234024</v>
          </cell>
          <cell r="B502" t="str">
            <v>일품부인갑_여성용</v>
          </cell>
        </row>
        <row r="503">
          <cell r="A503">
            <v>22234025</v>
          </cell>
          <cell r="B503" t="str">
            <v>알브</v>
          </cell>
        </row>
        <row r="504">
          <cell r="A504">
            <v>22234027</v>
          </cell>
          <cell r="B504" t="str">
            <v>스컬 아머</v>
          </cell>
        </row>
        <row r="505">
          <cell r="A505">
            <v>22234029</v>
          </cell>
          <cell r="B505" t="str">
            <v>구군복</v>
          </cell>
        </row>
        <row r="506">
          <cell r="A506">
            <v>22234031</v>
          </cell>
          <cell r="B506" t="str">
            <v>나르시스 베스트_남성용</v>
          </cell>
        </row>
        <row r="507">
          <cell r="A507">
            <v>22234032</v>
          </cell>
          <cell r="B507" t="str">
            <v>베들라 드레스_여성용</v>
          </cell>
        </row>
        <row r="508">
          <cell r="A508">
            <v>22234033</v>
          </cell>
          <cell r="B508" t="str">
            <v>요정의 갑옷</v>
          </cell>
        </row>
        <row r="509">
          <cell r="A509">
            <v>22234035</v>
          </cell>
          <cell r="B509" t="str">
            <v>롤프가의 코트_남성용</v>
          </cell>
        </row>
        <row r="510">
          <cell r="A510">
            <v>22234036</v>
          </cell>
          <cell r="B510" t="str">
            <v>롤프가의 드레스_여성용</v>
          </cell>
        </row>
        <row r="511">
          <cell r="A511">
            <v>22234037</v>
          </cell>
          <cell r="B511" t="str">
            <v>페르난도의 더블릿_남성용</v>
          </cell>
        </row>
        <row r="512">
          <cell r="A512">
            <v>22234038</v>
          </cell>
          <cell r="B512" t="str">
            <v>이농 발리 지휘관복_여성용</v>
          </cell>
        </row>
        <row r="513">
          <cell r="A513">
            <v>22234039</v>
          </cell>
          <cell r="B513" t="str">
            <v>명조 관복_남성용</v>
          </cell>
        </row>
        <row r="514">
          <cell r="A514">
            <v>22234040</v>
          </cell>
          <cell r="B514" t="str">
            <v>엔데룬 엔타리_여성용</v>
          </cell>
        </row>
        <row r="515">
          <cell r="A515">
            <v>22235001</v>
          </cell>
          <cell r="B515" t="str">
            <v>융복 개갑</v>
          </cell>
        </row>
        <row r="516">
          <cell r="A516">
            <v>22235003</v>
          </cell>
          <cell r="B516" t="str">
            <v>검호의 진우직</v>
          </cell>
        </row>
        <row r="517">
          <cell r="A517">
            <v>22235005</v>
          </cell>
          <cell r="B517" t="str">
            <v>콘도티에로의 아르마투라</v>
          </cell>
        </row>
        <row r="518">
          <cell r="A518">
            <v>22235007</v>
          </cell>
          <cell r="B518" t="str">
            <v>참회왕의 로브_남성용</v>
          </cell>
        </row>
        <row r="519">
          <cell r="A519">
            <v>22235009</v>
          </cell>
          <cell r="B519" t="str">
            <v>레프코샤 용왕의 즈르흐_남성용</v>
          </cell>
        </row>
        <row r="520">
          <cell r="A520">
            <v>22235010</v>
          </cell>
          <cell r="B520" t="str">
            <v>엘 레이 아르마두라_여성용</v>
          </cell>
        </row>
        <row r="521">
          <cell r="A521">
            <v>22235011</v>
          </cell>
          <cell r="B521" t="str">
            <v>베이릭의 히르카_남성용</v>
          </cell>
        </row>
        <row r="522">
          <cell r="A522">
            <v>22235013</v>
          </cell>
          <cell r="B522" t="str">
            <v>후사르 돌먼</v>
          </cell>
        </row>
        <row r="523">
          <cell r="A523">
            <v>22235015</v>
          </cell>
          <cell r="B523" t="str">
            <v>호레이쇼 넬슨의 제복</v>
          </cell>
        </row>
        <row r="524">
          <cell r="A524">
            <v>22235016</v>
          </cell>
          <cell r="B524" t="str">
            <v>프레이야의 로브_여성용</v>
          </cell>
        </row>
        <row r="525">
          <cell r="A525">
            <v>22235017</v>
          </cell>
          <cell r="B525" t="str">
            <v>내금위장의 융복</v>
          </cell>
        </row>
        <row r="526">
          <cell r="A526">
            <v>22235019</v>
          </cell>
          <cell r="B526" t="str">
            <v>아킬레우스의 갑옷</v>
          </cell>
        </row>
        <row r="527">
          <cell r="A527">
            <v>22235021</v>
          </cell>
          <cell r="B527" t="str">
            <v>신기영장</v>
          </cell>
        </row>
        <row r="528">
          <cell r="A528">
            <v>22235023</v>
          </cell>
          <cell r="B528" t="str">
            <v>틀링기트 아머_남성용</v>
          </cell>
        </row>
        <row r="529">
          <cell r="A529">
            <v>22235025</v>
          </cell>
          <cell r="B529" t="str">
            <v>홍면귀복_남성용</v>
          </cell>
        </row>
        <row r="530">
          <cell r="A530">
            <v>22235026</v>
          </cell>
          <cell r="B530" t="str">
            <v>홍면귀복_여성용</v>
          </cell>
        </row>
        <row r="531">
          <cell r="A531">
            <v>22235027</v>
          </cell>
          <cell r="B531" t="str">
            <v>노블레스 아머_남성용</v>
          </cell>
        </row>
        <row r="532">
          <cell r="A532">
            <v>22235029</v>
          </cell>
          <cell r="B532" t="str">
            <v>타키티무 아머_남성용</v>
          </cell>
        </row>
        <row r="533">
          <cell r="A533">
            <v>22235031</v>
          </cell>
          <cell r="B533" t="str">
            <v>카누니의 카프탄_남성용</v>
          </cell>
        </row>
        <row r="534">
          <cell r="A534">
            <v>22235032</v>
          </cell>
          <cell r="B534" t="str">
            <v>귈바하르의 의복_여성용</v>
          </cell>
        </row>
        <row r="535">
          <cell r="A535">
            <v>22235033</v>
          </cell>
          <cell r="B535" t="str">
            <v>청포 철갑_남성용</v>
          </cell>
        </row>
        <row r="536">
          <cell r="A536">
            <v>22235034</v>
          </cell>
          <cell r="B536" t="str">
            <v>청포 철갑_여성용</v>
          </cell>
        </row>
        <row r="537">
          <cell r="A537">
            <v>22235035</v>
          </cell>
          <cell r="B537" t="str">
            <v>로코 이마의 능고</v>
          </cell>
        </row>
        <row r="538">
          <cell r="A538">
            <v>22235037</v>
          </cell>
          <cell r="B538" t="str">
            <v>틀라토아니의 의복_남성용</v>
          </cell>
        </row>
        <row r="539">
          <cell r="A539">
            <v>22235038</v>
          </cell>
          <cell r="B539" t="str">
            <v>시와틀라토아니의 의복_여성용</v>
          </cell>
        </row>
        <row r="540">
          <cell r="A540">
            <v>22235039</v>
          </cell>
          <cell r="B540" t="str">
            <v>비장군의 위복_남성용</v>
          </cell>
        </row>
        <row r="541">
          <cell r="A541">
            <v>22235041</v>
          </cell>
          <cell r="B541" t="str">
            <v>르네상스 푸르포앵_남성용</v>
          </cell>
        </row>
        <row r="542">
          <cell r="A542">
            <v>22235042</v>
          </cell>
          <cell r="B542" t="str">
            <v>앙투아네트의 드레스_여성용</v>
          </cell>
        </row>
        <row r="543">
          <cell r="A543">
            <v>22235043</v>
          </cell>
          <cell r="B543" t="str">
            <v>로빈 후드의 튜닉_남성용</v>
          </cell>
        </row>
        <row r="544">
          <cell r="A544">
            <v>22236001</v>
          </cell>
          <cell r="B544" t="str">
            <v>오군의 이하모라_남성용</v>
          </cell>
        </row>
        <row r="545">
          <cell r="A545">
            <v>22236003</v>
          </cell>
          <cell r="B545" t="str">
            <v>닌귀시지다의 로브_남성용</v>
          </cell>
        </row>
        <row r="546">
          <cell r="A546">
            <v>22236005</v>
          </cell>
          <cell r="B546" t="str">
            <v>레오나르도의 아머_남성용</v>
          </cell>
        </row>
        <row r="547">
          <cell r="A547">
            <v>22236007</v>
          </cell>
          <cell r="B547" t="str">
            <v>라술룰라 주바_남성용</v>
          </cell>
        </row>
        <row r="548">
          <cell r="A548">
            <v>22236009</v>
          </cell>
          <cell r="B548" t="str">
            <v>두석린갑1_남성용</v>
          </cell>
        </row>
        <row r="549">
          <cell r="A549">
            <v>22236011</v>
          </cell>
          <cell r="B549" t="str">
            <v>마레샬 베스트_남성용</v>
          </cell>
        </row>
        <row r="550">
          <cell r="A550">
            <v>22236013</v>
          </cell>
          <cell r="B550" t="str">
            <v>니자므 제디드의 자마_남성용</v>
          </cell>
        </row>
        <row r="551">
          <cell r="A551">
            <v>22236015</v>
          </cell>
          <cell r="B551" t="str">
            <v>대월 황제의 용포_남성용</v>
          </cell>
        </row>
        <row r="552">
          <cell r="A552">
            <v>22236017</v>
          </cell>
          <cell r="B552" t="str">
            <v>삼절한복_남성용</v>
          </cell>
        </row>
        <row r="553">
          <cell r="A553">
            <v>22236018</v>
          </cell>
          <cell r="B553" t="str">
            <v>삼절한복_여성용</v>
          </cell>
        </row>
        <row r="554">
          <cell r="A554">
            <v>22236019</v>
          </cell>
          <cell r="B554" t="str">
            <v>데르비쇼 바가라 아머_남성용</v>
          </cell>
        </row>
        <row r="555">
          <cell r="A555">
            <v>22236021</v>
          </cell>
          <cell r="B555" t="str">
            <v>드라군 아머_남성용</v>
          </cell>
        </row>
        <row r="556">
          <cell r="A556">
            <v>22236023</v>
          </cell>
          <cell r="B556" t="str">
            <v>카라키아 타투아 코타라_남성용</v>
          </cell>
        </row>
        <row r="557">
          <cell r="A557">
            <v>22236025</v>
          </cell>
          <cell r="B557" t="str">
            <v>인티 야콜라_남성용</v>
          </cell>
        </row>
        <row r="558">
          <cell r="A558">
            <v>22236027</v>
          </cell>
          <cell r="B558" t="str">
            <v>비라코챠의 아머_남성용</v>
          </cell>
        </row>
        <row r="559">
          <cell r="A559">
            <v>22236029</v>
          </cell>
          <cell r="B559" t="str">
            <v>파라오의 아머_남성용</v>
          </cell>
        </row>
        <row r="560">
          <cell r="A560">
            <v>22236031</v>
          </cell>
          <cell r="B560" t="str">
            <v>데가나위다의 튜닉_남성용</v>
          </cell>
        </row>
        <row r="561">
          <cell r="A561">
            <v>22236032</v>
          </cell>
          <cell r="B561" t="str">
            <v>지곤사세의 예복_여성용</v>
          </cell>
        </row>
        <row r="562">
          <cell r="A562">
            <v>22236033</v>
          </cell>
          <cell r="B562" t="str">
            <v>군신갑_남성용</v>
          </cell>
        </row>
        <row r="563">
          <cell r="A563">
            <v>22236035</v>
          </cell>
          <cell r="B563" t="str">
            <v>팔괘자수선의_남성용</v>
          </cell>
        </row>
        <row r="564">
          <cell r="A564">
            <v>22236037</v>
          </cell>
          <cell r="B564" t="str">
            <v>에인헤리 아머_남성용</v>
          </cell>
        </row>
        <row r="565">
          <cell r="A565">
            <v>22236039</v>
          </cell>
          <cell r="B565" t="str">
            <v>예모자의 이하모라_남성용</v>
          </cell>
        </row>
        <row r="566">
          <cell r="A566">
            <v>22236041</v>
          </cell>
          <cell r="B566" t="str">
            <v>트리스탄의 로브_남성용</v>
          </cell>
        </row>
        <row r="567">
          <cell r="A567">
            <v>22236042</v>
          </cell>
          <cell r="B567" t="str">
            <v>이졸데의 예복_여성용</v>
          </cell>
        </row>
        <row r="568">
          <cell r="A568">
            <v>22236043</v>
          </cell>
          <cell r="B568" t="str">
            <v>히르카이 세리프_남성용</v>
          </cell>
        </row>
        <row r="569">
          <cell r="A569">
            <v>22243001</v>
          </cell>
          <cell r="B569" t="str">
            <v>마세우알틴의 로파_남성용</v>
          </cell>
        </row>
        <row r="570">
          <cell r="A570">
            <v>22243002</v>
          </cell>
          <cell r="B570" t="str">
            <v>마세우알틴의 우이필_여성용</v>
          </cell>
        </row>
        <row r="571">
          <cell r="A571">
            <v>22243003</v>
          </cell>
          <cell r="B571" t="str">
            <v>은둔자의 로브_남성용</v>
          </cell>
        </row>
        <row r="572">
          <cell r="A572">
            <v>22243004</v>
          </cell>
          <cell r="B572" t="str">
            <v>여행자의 로브_여성용</v>
          </cell>
        </row>
        <row r="573">
          <cell r="A573">
            <v>22243005</v>
          </cell>
          <cell r="B573" t="str">
            <v>푸르포앵_남성용</v>
          </cell>
        </row>
        <row r="574">
          <cell r="A574">
            <v>22243006</v>
          </cell>
          <cell r="B574" t="str">
            <v>진수_여성용</v>
          </cell>
        </row>
        <row r="575">
          <cell r="A575">
            <v>22243007</v>
          </cell>
          <cell r="B575" t="str">
            <v>콩키스타도르의 갑옷</v>
          </cell>
        </row>
        <row r="576">
          <cell r="A576">
            <v>22243009</v>
          </cell>
          <cell r="B576" t="str">
            <v>로리카 하마타</v>
          </cell>
        </row>
        <row r="577">
          <cell r="A577">
            <v>22243011</v>
          </cell>
          <cell r="B577" t="str">
            <v>교역상복</v>
          </cell>
        </row>
        <row r="578">
          <cell r="A578">
            <v>22243013</v>
          </cell>
          <cell r="B578" t="str">
            <v>옐레크_남성용</v>
          </cell>
        </row>
        <row r="579">
          <cell r="A579">
            <v>22243014</v>
          </cell>
          <cell r="B579" t="str">
            <v>엔타리_여성용</v>
          </cell>
        </row>
        <row r="580">
          <cell r="A580">
            <v>22243015</v>
          </cell>
          <cell r="B580" t="str">
            <v>줄루족의 의복_남성용</v>
          </cell>
        </row>
        <row r="581">
          <cell r="A581">
            <v>22243016</v>
          </cell>
          <cell r="B581" t="str">
            <v>포샤크_여성용</v>
          </cell>
        </row>
        <row r="582">
          <cell r="A582">
            <v>22243017</v>
          </cell>
          <cell r="B582" t="str">
            <v>호버크</v>
          </cell>
        </row>
        <row r="583">
          <cell r="A583">
            <v>22243019</v>
          </cell>
          <cell r="B583" t="str">
            <v>광대의 우플랑드_남성용</v>
          </cell>
        </row>
        <row r="584">
          <cell r="A584">
            <v>22243020</v>
          </cell>
          <cell r="B584" t="str">
            <v>귀부인의 우플랑드_여성용</v>
          </cell>
        </row>
        <row r="585">
          <cell r="A585">
            <v>22243021</v>
          </cell>
          <cell r="B585" t="str">
            <v>항해사의 조끼_남성용</v>
          </cell>
        </row>
        <row r="586">
          <cell r="A586">
            <v>22243022</v>
          </cell>
          <cell r="B586" t="str">
            <v>항해사복_여성용</v>
          </cell>
        </row>
        <row r="587">
          <cell r="A587">
            <v>22243023</v>
          </cell>
          <cell r="B587" t="str">
            <v>지라흐 박타르</v>
          </cell>
        </row>
        <row r="588">
          <cell r="A588">
            <v>22243025</v>
          </cell>
          <cell r="B588" t="str">
            <v>사냥꾼의 튜닉_남성용</v>
          </cell>
        </row>
        <row r="589">
          <cell r="A589">
            <v>22243026</v>
          </cell>
          <cell r="B589" t="str">
            <v>사냥꾼의 튜닉 드레스_여성용</v>
          </cell>
        </row>
        <row r="590">
          <cell r="A590">
            <v>22243027</v>
          </cell>
          <cell r="B590" t="str">
            <v>용병의 저킨_남성용</v>
          </cell>
        </row>
        <row r="591">
          <cell r="A591">
            <v>22243028</v>
          </cell>
          <cell r="B591" t="str">
            <v>용병의 재킷_여성용</v>
          </cell>
        </row>
        <row r="592">
          <cell r="A592">
            <v>22243029</v>
          </cell>
          <cell r="B592" t="str">
            <v>플레이트 아머</v>
          </cell>
        </row>
        <row r="593">
          <cell r="A593">
            <v>22243031</v>
          </cell>
          <cell r="B593" t="str">
            <v>코트아르디_남성용</v>
          </cell>
        </row>
        <row r="594">
          <cell r="A594">
            <v>22243032</v>
          </cell>
          <cell r="B594" t="str">
            <v>커틀_여성용</v>
          </cell>
        </row>
        <row r="595">
          <cell r="A595">
            <v>22243033</v>
          </cell>
          <cell r="B595" t="str">
            <v>베르날의 의복_남성용</v>
          </cell>
        </row>
        <row r="596">
          <cell r="A596">
            <v>22243034</v>
          </cell>
          <cell r="B596" t="str">
            <v>메리의 의복_여성용</v>
          </cell>
        </row>
        <row r="597">
          <cell r="A597">
            <v>22243035</v>
          </cell>
          <cell r="B597" t="str">
            <v>운쿠_남성용</v>
          </cell>
        </row>
        <row r="598">
          <cell r="A598">
            <v>22243036</v>
          </cell>
          <cell r="B598" t="str">
            <v>악수_여성용</v>
          </cell>
        </row>
        <row r="599">
          <cell r="A599">
            <v>22243037</v>
          </cell>
          <cell r="B599" t="str">
            <v>드라군 퀴래스</v>
          </cell>
        </row>
        <row r="600">
          <cell r="A600">
            <v>22243039</v>
          </cell>
          <cell r="B600" t="str">
            <v>학창의_남성용</v>
          </cell>
        </row>
        <row r="601">
          <cell r="A601">
            <v>22243040</v>
          </cell>
          <cell r="B601" t="str">
            <v>매화문제흉유군_여성용</v>
          </cell>
        </row>
        <row r="602">
          <cell r="A602">
            <v>22244001</v>
          </cell>
          <cell r="B602" t="str">
            <v>나이트 배철러 코트_남성용</v>
          </cell>
        </row>
        <row r="603">
          <cell r="A603">
            <v>22244002</v>
          </cell>
          <cell r="B603" t="str">
            <v>주항자의 가죽 갑옷_여성용</v>
          </cell>
        </row>
        <row r="604">
          <cell r="A604">
            <v>22244003</v>
          </cell>
          <cell r="B604" t="str">
            <v>아카데믹 가운_남성용</v>
          </cell>
        </row>
        <row r="605">
          <cell r="A605">
            <v>22244004</v>
          </cell>
          <cell r="B605" t="str">
            <v>어의녀복_여성용</v>
          </cell>
        </row>
        <row r="606">
          <cell r="A606">
            <v>22244005</v>
          </cell>
          <cell r="B606" t="str">
            <v>벨벳 쥐스토코르</v>
          </cell>
        </row>
        <row r="607">
          <cell r="A607">
            <v>22244007</v>
          </cell>
          <cell r="B607" t="str">
            <v>킵차크 갑옷</v>
          </cell>
        </row>
        <row r="608">
          <cell r="A608">
            <v>22244009</v>
          </cell>
          <cell r="B608" t="str">
            <v>알렉산더 대왕의 갑옷</v>
          </cell>
        </row>
        <row r="609">
          <cell r="A609">
            <v>22244011</v>
          </cell>
          <cell r="B609" t="str">
            <v>아르뮈르 드 샹슬리에_남성용</v>
          </cell>
        </row>
        <row r="610">
          <cell r="A610">
            <v>22244012</v>
          </cell>
          <cell r="B610" t="str">
            <v>레겐트 브로냐_여성용</v>
          </cell>
        </row>
        <row r="611">
          <cell r="A611">
            <v>22244013</v>
          </cell>
          <cell r="B611" t="str">
            <v>아치칸_남성용</v>
          </cell>
        </row>
        <row r="612">
          <cell r="A612">
            <v>22244014</v>
          </cell>
          <cell r="B612" t="str">
            <v>사파비 히르카_여성용</v>
          </cell>
        </row>
        <row r="613">
          <cell r="A613">
            <v>22244015</v>
          </cell>
          <cell r="B613" t="str">
            <v>명품 해적 코트_남성용</v>
          </cell>
        </row>
        <row r="614">
          <cell r="A614">
            <v>22244016</v>
          </cell>
          <cell r="B614" t="str">
            <v>명품 해적 드레스_여성용</v>
          </cell>
        </row>
        <row r="615">
          <cell r="A615">
            <v>22244017</v>
          </cell>
          <cell r="B615" t="str">
            <v>에롤즈 플레이트</v>
          </cell>
        </row>
        <row r="616">
          <cell r="A616">
            <v>22244019</v>
          </cell>
          <cell r="B616" t="str">
            <v>로드 아일랜드산 코트_남성용</v>
          </cell>
        </row>
        <row r="617">
          <cell r="A617">
            <v>22244020</v>
          </cell>
          <cell r="B617" t="str">
            <v>달마티카_여성용</v>
          </cell>
        </row>
        <row r="618">
          <cell r="A618">
            <v>22244021</v>
          </cell>
          <cell r="B618" t="str">
            <v>아라비아 교역상복_남성용</v>
          </cell>
        </row>
        <row r="619">
          <cell r="A619">
            <v>22244022</v>
          </cell>
          <cell r="B619" t="str">
            <v>색문부고_여성용</v>
          </cell>
        </row>
        <row r="620">
          <cell r="A620">
            <v>22244023</v>
          </cell>
          <cell r="B620" t="str">
            <v>귀뮈슈 즈르흐_남성용</v>
          </cell>
        </row>
        <row r="621">
          <cell r="A621">
            <v>22244024</v>
          </cell>
          <cell r="B621" t="str">
            <v>알튼 즈르흐_여성용</v>
          </cell>
        </row>
        <row r="622">
          <cell r="A622">
            <v>22244025</v>
          </cell>
          <cell r="B622" t="str">
            <v>용병 단장의 갑옷</v>
          </cell>
        </row>
        <row r="623">
          <cell r="A623">
            <v>22244027</v>
          </cell>
          <cell r="B623" t="str">
            <v>나사우 해적복_남성용</v>
          </cell>
        </row>
        <row r="624">
          <cell r="A624">
            <v>22244028</v>
          </cell>
          <cell r="B624" t="str">
            <v>석양의 해적복_여성용</v>
          </cell>
        </row>
        <row r="625">
          <cell r="A625">
            <v>22244029</v>
          </cell>
          <cell r="B625" t="str">
            <v>골드 플레이트 아머</v>
          </cell>
        </row>
        <row r="626">
          <cell r="A626">
            <v>22244031</v>
          </cell>
          <cell r="B626" t="str">
            <v>앙상블 코트_남성용</v>
          </cell>
        </row>
        <row r="627">
          <cell r="A627">
            <v>22244032</v>
          </cell>
          <cell r="B627" t="str">
            <v>앙상블 드레스_여성용</v>
          </cell>
        </row>
        <row r="628">
          <cell r="A628">
            <v>22244033</v>
          </cell>
          <cell r="B628" t="str">
            <v>영사의 코트_남성용</v>
          </cell>
        </row>
        <row r="629">
          <cell r="A629">
            <v>22244034</v>
          </cell>
          <cell r="B629" t="str">
            <v>영사의 쇼트코트_여성용</v>
          </cell>
        </row>
        <row r="630">
          <cell r="A630">
            <v>22244035</v>
          </cell>
          <cell r="B630" t="str">
            <v>셰르와니_남성용</v>
          </cell>
        </row>
        <row r="631">
          <cell r="A631">
            <v>22244036</v>
          </cell>
          <cell r="B631" t="str">
            <v>촐리_여성용</v>
          </cell>
        </row>
        <row r="632">
          <cell r="A632">
            <v>22244037</v>
          </cell>
          <cell r="B632" t="str">
            <v>로키의 갑옷</v>
          </cell>
        </row>
        <row r="633">
          <cell r="A633">
            <v>22244039</v>
          </cell>
          <cell r="B633" t="str">
            <v>거상의 쾌자_남성용</v>
          </cell>
        </row>
        <row r="634">
          <cell r="A634">
            <v>22244040</v>
          </cell>
          <cell r="B634" t="str">
            <v>명월 무복_여성용</v>
          </cell>
        </row>
        <row r="635">
          <cell r="A635">
            <v>22245001</v>
          </cell>
          <cell r="B635" t="str">
            <v>욤스바이킹 아머</v>
          </cell>
        </row>
        <row r="636">
          <cell r="A636">
            <v>22245003</v>
          </cell>
          <cell r="B636" t="str">
            <v>엘레멘탈 로브</v>
          </cell>
        </row>
        <row r="637">
          <cell r="A637">
            <v>22245005</v>
          </cell>
          <cell r="B637" t="str">
            <v>금상화호복</v>
          </cell>
        </row>
        <row r="638">
          <cell r="A638">
            <v>22245007</v>
          </cell>
          <cell r="B638" t="str">
            <v>로얄 플레이트 아머</v>
          </cell>
        </row>
        <row r="639">
          <cell r="A639">
            <v>22245009</v>
          </cell>
          <cell r="B639" t="str">
            <v>도쿠가와의 갑옷_남성용</v>
          </cell>
        </row>
        <row r="640">
          <cell r="A640">
            <v>22245010</v>
          </cell>
          <cell r="B640" t="str">
            <v>만샵다르의 카바치_여성용</v>
          </cell>
        </row>
        <row r="641">
          <cell r="A641">
            <v>22245011</v>
          </cell>
          <cell r="B641" t="str">
            <v>황금산문갑</v>
          </cell>
        </row>
        <row r="642">
          <cell r="A642">
            <v>22245013</v>
          </cell>
          <cell r="B642" t="str">
            <v>팰리스 코트 드레스_남성용</v>
          </cell>
        </row>
        <row r="643">
          <cell r="A643">
            <v>22245014</v>
          </cell>
          <cell r="B643" t="str">
            <v>팰리스 코트 드레스_여성용</v>
          </cell>
        </row>
        <row r="644">
          <cell r="A644">
            <v>22245015</v>
          </cell>
          <cell r="B644" t="str">
            <v>바르바로사의 히르카</v>
          </cell>
        </row>
        <row r="645">
          <cell r="A645">
            <v>22245017</v>
          </cell>
          <cell r="B645" t="str">
            <v>무흐테솀 체베</v>
          </cell>
        </row>
        <row r="646">
          <cell r="A646">
            <v>22245019</v>
          </cell>
          <cell r="B646" t="str">
            <v>리노토락스</v>
          </cell>
        </row>
        <row r="647">
          <cell r="A647">
            <v>22245021</v>
          </cell>
          <cell r="B647" t="str">
            <v>파우와 튜닉_남성용</v>
          </cell>
        </row>
        <row r="648">
          <cell r="A648">
            <v>22245023</v>
          </cell>
          <cell r="B648" t="str">
            <v>사쐬르 아르뮈르</v>
          </cell>
        </row>
        <row r="649">
          <cell r="A649">
            <v>22245025</v>
          </cell>
          <cell r="B649" t="str">
            <v>크리스토발의 갑옷</v>
          </cell>
        </row>
        <row r="650">
          <cell r="A650">
            <v>22245026</v>
          </cell>
          <cell r="B650" t="str">
            <v>키리바시 아머_여성용</v>
          </cell>
        </row>
        <row r="651">
          <cell r="A651">
            <v>22245027</v>
          </cell>
          <cell r="B651" t="str">
            <v>해적 선장의 코트</v>
          </cell>
        </row>
        <row r="652">
          <cell r="A652">
            <v>22245029</v>
          </cell>
          <cell r="B652" t="str">
            <v>사파 잉카의 금갑</v>
          </cell>
        </row>
        <row r="653">
          <cell r="A653">
            <v>22245030</v>
          </cell>
          <cell r="B653" t="str">
            <v>사파 잉카의 금갑_여성용</v>
          </cell>
        </row>
        <row r="654">
          <cell r="A654">
            <v>22245031</v>
          </cell>
          <cell r="B654" t="str">
            <v>파비앙 사룽_남성용</v>
          </cell>
        </row>
        <row r="655">
          <cell r="A655">
            <v>22245032</v>
          </cell>
          <cell r="B655" t="str">
            <v>파비앙 씬_여성용</v>
          </cell>
        </row>
        <row r="656">
          <cell r="A656">
            <v>22245033</v>
          </cell>
          <cell r="B656" t="str">
            <v>이마지겐족의 질라바</v>
          </cell>
        </row>
        <row r="657">
          <cell r="A657">
            <v>22245035</v>
          </cell>
          <cell r="B657" t="str">
            <v>파디샤의 셰르와니_남성용</v>
          </cell>
        </row>
        <row r="658">
          <cell r="A658">
            <v>22245036</v>
          </cell>
          <cell r="B658" t="str">
            <v>마라하니의 정장_여성용</v>
          </cell>
        </row>
        <row r="659">
          <cell r="A659">
            <v>22246001</v>
          </cell>
          <cell r="B659" t="str">
            <v>가루다 카바치_남성용</v>
          </cell>
        </row>
        <row r="660">
          <cell r="A660">
            <v>22246003</v>
          </cell>
          <cell r="B660" t="str">
            <v>옥산진인 보의_남성용</v>
          </cell>
        </row>
        <row r="661">
          <cell r="A661">
            <v>22246005</v>
          </cell>
          <cell r="B661" t="str">
            <v>팔지오 낭인복_남성용</v>
          </cell>
        </row>
        <row r="662">
          <cell r="A662">
            <v>22246007</v>
          </cell>
          <cell r="B662" t="str">
            <v>미다스의 파노피아_남성용</v>
          </cell>
        </row>
        <row r="663">
          <cell r="A663">
            <v>22246009</v>
          </cell>
          <cell r="B663" t="str">
            <v>라바나의 카바치_남성용</v>
          </cell>
        </row>
        <row r="664">
          <cell r="A664">
            <v>22246011</v>
          </cell>
          <cell r="B664" t="str">
            <v>살라딘의 즈르흐_남성용</v>
          </cell>
        </row>
        <row r="665">
          <cell r="A665">
            <v>22246013</v>
          </cell>
          <cell r="B665" t="str">
            <v>쿠나슨 파투그_남성용</v>
          </cell>
        </row>
        <row r="666">
          <cell r="A666">
            <v>22246015</v>
          </cell>
          <cell r="B666" t="str">
            <v>라마찬드라의 카바치_남성용</v>
          </cell>
        </row>
        <row r="667">
          <cell r="A667">
            <v>22246017</v>
          </cell>
          <cell r="B667" t="str">
            <v>아머 오브 레갈리아_남성용</v>
          </cell>
        </row>
        <row r="668">
          <cell r="A668">
            <v>22246019</v>
          </cell>
          <cell r="B668" t="str">
            <v>공명창의_남성용</v>
          </cell>
        </row>
        <row r="669">
          <cell r="A669">
            <v>22246020</v>
          </cell>
          <cell r="B669" t="str">
            <v>월영창의_여성용</v>
          </cell>
        </row>
        <row r="670">
          <cell r="A670">
            <v>22246021</v>
          </cell>
          <cell r="B670" t="str">
            <v>바루나의 카파다_남성용</v>
          </cell>
        </row>
        <row r="671">
          <cell r="A671">
            <v>22246023</v>
          </cell>
          <cell r="B671" t="str">
            <v>게오르기우스의 아머_남성용</v>
          </cell>
        </row>
        <row r="672">
          <cell r="A672">
            <v>22246025</v>
          </cell>
          <cell r="B672" t="str">
            <v>나바카이의 아머_남성용</v>
          </cell>
        </row>
        <row r="673">
          <cell r="A673">
            <v>22246027</v>
          </cell>
          <cell r="B673" t="str">
            <v>포르토스의 베트멍_남성용</v>
          </cell>
        </row>
        <row r="674">
          <cell r="A674">
            <v>22246028</v>
          </cell>
          <cell r="B674" t="str">
            <v>보르토스의 예장_여성용</v>
          </cell>
        </row>
        <row r="675">
          <cell r="A675">
            <v>22246029</v>
          </cell>
          <cell r="B675" t="str">
            <v>자비단의 제레_남성용</v>
          </cell>
        </row>
        <row r="676">
          <cell r="A676">
            <v>22246031</v>
          </cell>
          <cell r="B676" t="str">
            <v>바쿠나와 뗄라_남성용</v>
          </cell>
        </row>
        <row r="677">
          <cell r="A677">
            <v>22246033</v>
          </cell>
          <cell r="B677" t="str">
            <v>포세이돈의 아머_남성용</v>
          </cell>
        </row>
        <row r="678">
          <cell r="A678">
            <v>22246035</v>
          </cell>
          <cell r="B678" t="str">
            <v>페가수스 키톤_남성용</v>
          </cell>
        </row>
        <row r="679">
          <cell r="A679">
            <v>22246036</v>
          </cell>
          <cell r="B679" t="str">
            <v>페가수스 파니_여성용</v>
          </cell>
        </row>
        <row r="680">
          <cell r="A680">
            <v>22253001</v>
          </cell>
          <cell r="B680" t="str">
            <v>조커의 가죽 갑옷_남성용</v>
          </cell>
        </row>
        <row r="681">
          <cell r="A681">
            <v>22253002</v>
          </cell>
          <cell r="B681" t="str">
            <v>삼군_여성용</v>
          </cell>
        </row>
        <row r="682">
          <cell r="A682">
            <v>22253003</v>
          </cell>
          <cell r="B682" t="str">
            <v>오토미 막스틀라틀_남성용</v>
          </cell>
        </row>
        <row r="683">
          <cell r="A683">
            <v>22253004</v>
          </cell>
          <cell r="B683" t="str">
            <v>에스메랄다의 의복_여성용</v>
          </cell>
        </row>
        <row r="684">
          <cell r="A684">
            <v>22253005</v>
          </cell>
          <cell r="B684" t="str">
            <v>카리브족의 의복_남성용</v>
          </cell>
        </row>
        <row r="685">
          <cell r="A685">
            <v>22253007</v>
          </cell>
          <cell r="B685" t="str">
            <v>카리브족의 사냥복_남성용</v>
          </cell>
        </row>
        <row r="686">
          <cell r="A686">
            <v>22253008</v>
          </cell>
          <cell r="B686" t="str">
            <v>바 메이드 드레스_여성용</v>
          </cell>
        </row>
        <row r="687">
          <cell r="A687">
            <v>22253009</v>
          </cell>
          <cell r="B687" t="str">
            <v>장포_남성용</v>
          </cell>
        </row>
        <row r="688">
          <cell r="A688">
            <v>22253011</v>
          </cell>
          <cell r="B688" t="str">
            <v>자마_남성용</v>
          </cell>
        </row>
        <row r="689">
          <cell r="A689">
            <v>22253012</v>
          </cell>
          <cell r="B689" t="str">
            <v>노국공주의 의복_여성용</v>
          </cell>
        </row>
        <row r="690">
          <cell r="A690">
            <v>22253015</v>
          </cell>
          <cell r="B690" t="str">
            <v>부카니에의 질레_남성용</v>
          </cell>
        </row>
        <row r="691">
          <cell r="A691">
            <v>22253021</v>
          </cell>
          <cell r="B691" t="str">
            <v>가스팔의 제복_남성용</v>
          </cell>
        </row>
        <row r="692">
          <cell r="A692">
            <v>22253023</v>
          </cell>
          <cell r="B692" t="str">
            <v>자마단_남성용</v>
          </cell>
        </row>
        <row r="693">
          <cell r="A693">
            <v>22253025</v>
          </cell>
          <cell r="B693" t="str">
            <v>제라흐 바스히의 옐레크_남성용</v>
          </cell>
        </row>
        <row r="694">
          <cell r="A694">
            <v>22253027</v>
          </cell>
          <cell r="B694" t="str">
            <v>가사_남성용</v>
          </cell>
        </row>
        <row r="695">
          <cell r="A695">
            <v>22253029</v>
          </cell>
          <cell r="B695" t="str">
            <v>엔리코의 하빗_남성용</v>
          </cell>
        </row>
        <row r="696">
          <cell r="A696">
            <v>22253031</v>
          </cell>
          <cell r="B696" t="str">
            <v>로이드의 항해사복_남성용</v>
          </cell>
        </row>
        <row r="697">
          <cell r="A697">
            <v>22253033</v>
          </cell>
          <cell r="B697" t="str">
            <v>페르낭의 항해사복_남성용</v>
          </cell>
        </row>
        <row r="698">
          <cell r="A698">
            <v>22253035</v>
          </cell>
          <cell r="B698" t="str">
            <v>유괴성의 해적복_남성용</v>
          </cell>
        </row>
        <row r="699">
          <cell r="A699">
            <v>22253037</v>
          </cell>
          <cell r="B699" t="str">
            <v>카발리에 재킷_남성용</v>
          </cell>
        </row>
        <row r="700">
          <cell r="A700">
            <v>22253039</v>
          </cell>
          <cell r="B700" t="str">
            <v>카리브 셔츠_남성용</v>
          </cell>
        </row>
        <row r="701">
          <cell r="A701">
            <v>22253041</v>
          </cell>
          <cell r="B701" t="str">
            <v>판디크 칼라 더블릿_남성용</v>
          </cell>
        </row>
        <row r="702">
          <cell r="A702">
            <v>22253045</v>
          </cell>
          <cell r="B702" t="str">
            <v>히사카지마의 의복_남성용</v>
          </cell>
        </row>
        <row r="703">
          <cell r="A703">
            <v>22253047</v>
          </cell>
          <cell r="B703" t="str">
            <v>이마이의 의복_남성용</v>
          </cell>
        </row>
        <row r="704">
          <cell r="A704">
            <v>22253049</v>
          </cell>
          <cell r="B704" t="str">
            <v>명조 철릭_남성용</v>
          </cell>
        </row>
        <row r="705">
          <cell r="A705">
            <v>22254001</v>
          </cell>
          <cell r="B705" t="str">
            <v>질의 갑옷_남성용</v>
          </cell>
        </row>
        <row r="706">
          <cell r="A706">
            <v>22254002</v>
          </cell>
          <cell r="B706" t="str">
            <v>로리타 드레스_여성용</v>
          </cell>
        </row>
        <row r="707">
          <cell r="A707">
            <v>22254003</v>
          </cell>
          <cell r="B707" t="str">
            <v>로베르토의 제복_남성용</v>
          </cell>
        </row>
        <row r="708">
          <cell r="A708">
            <v>22254005</v>
          </cell>
          <cell r="B708" t="str">
            <v>루돌프의 갑옷_남성용</v>
          </cell>
        </row>
        <row r="709">
          <cell r="A709">
            <v>22254007</v>
          </cell>
          <cell r="B709" t="str">
            <v>프레트의 갑옷_남성용</v>
          </cell>
        </row>
        <row r="710">
          <cell r="A710">
            <v>22254009</v>
          </cell>
          <cell r="B710" t="str">
            <v>카라의 여행복_남성용</v>
          </cell>
        </row>
        <row r="711">
          <cell r="A711">
            <v>22254013</v>
          </cell>
          <cell r="B711" t="str">
            <v>해군 대신의 튜닉_남성용</v>
          </cell>
        </row>
        <row r="712">
          <cell r="A712">
            <v>22254015</v>
          </cell>
          <cell r="B712" t="str">
            <v>트가리누_남성용</v>
          </cell>
        </row>
        <row r="713">
          <cell r="A713">
            <v>22254017</v>
          </cell>
          <cell r="B713" t="str">
            <v>에르난의 제복_남성용</v>
          </cell>
        </row>
        <row r="714">
          <cell r="A714">
            <v>22254019</v>
          </cell>
          <cell r="B714" t="str">
            <v>왕수신의 의복_남성용</v>
          </cell>
        </row>
        <row r="715">
          <cell r="A715">
            <v>22255001</v>
          </cell>
          <cell r="B715" t="str">
            <v>로코의 코트_남성용</v>
          </cell>
        </row>
        <row r="716">
          <cell r="A716">
            <v>22264001</v>
          </cell>
          <cell r="B716" t="str">
            <v>마사와 구원자의 의복_남성용</v>
          </cell>
        </row>
        <row r="717">
          <cell r="A717">
            <v>22264002</v>
          </cell>
          <cell r="B717" t="str">
            <v>빨간 머리 해적복_여성용</v>
          </cell>
        </row>
        <row r="718">
          <cell r="A718">
            <v>22264003</v>
          </cell>
          <cell r="B718" t="str">
            <v>치킨 제독의 갑옷_남성용</v>
          </cell>
        </row>
        <row r="719">
          <cell r="A719">
            <v>22264004</v>
          </cell>
          <cell r="B719" t="str">
            <v>지도 장인의 의복_남성용</v>
          </cell>
        </row>
        <row r="720">
          <cell r="A720">
            <v>22264005</v>
          </cell>
          <cell r="B720" t="str">
            <v>대모험가의 의복_남성용</v>
          </cell>
        </row>
        <row r="721">
          <cell r="A721">
            <v>22264006</v>
          </cell>
          <cell r="B721" t="str">
            <v>보육원장의 의복_남성용</v>
          </cell>
        </row>
        <row r="722">
          <cell r="A722">
            <v>22264008</v>
          </cell>
          <cell r="B722" t="str">
            <v>말괄량이 모험가복_여성용</v>
          </cell>
        </row>
        <row r="723">
          <cell r="A723">
            <v>22264009</v>
          </cell>
          <cell r="B723" t="str">
            <v>악마 사냥꾼의 의복_남성용</v>
          </cell>
        </row>
        <row r="724">
          <cell r="A724">
            <v>22264010</v>
          </cell>
          <cell r="B724" t="str">
            <v>가주의 갑옷_남성용</v>
          </cell>
        </row>
        <row r="725">
          <cell r="A725">
            <v>22264011</v>
          </cell>
          <cell r="B725" t="str">
            <v>정화의 의복_남성용</v>
          </cell>
        </row>
        <row r="726">
          <cell r="A726">
            <v>22264012</v>
          </cell>
          <cell r="B726" t="str">
            <v>척계광의 의복_남성용</v>
          </cell>
        </row>
        <row r="727">
          <cell r="A727">
            <v>22264013</v>
          </cell>
          <cell r="B727" t="str">
            <v>그레이스 오말리의 의복_여성용</v>
          </cell>
        </row>
        <row r="728">
          <cell r="A728">
            <v>22264014</v>
          </cell>
          <cell r="B728" t="str">
            <v>정성공의 의복_남성용</v>
          </cell>
        </row>
        <row r="729">
          <cell r="A729">
            <v>22264015</v>
          </cell>
          <cell r="B729" t="str">
            <v>거상의 저고리_여성용</v>
          </cell>
        </row>
        <row r="730">
          <cell r="A730">
            <v>22264016</v>
          </cell>
          <cell r="B730" t="str">
            <v>홍길동의 의복_남성용</v>
          </cell>
        </row>
        <row r="731">
          <cell r="A731">
            <v>22264017</v>
          </cell>
          <cell r="B731" t="str">
            <v>이순신의 의복_남성용</v>
          </cell>
        </row>
        <row r="732">
          <cell r="A732">
            <v>22264018</v>
          </cell>
          <cell r="B732" t="str">
            <v>다테 마사무네의 의복_남성용</v>
          </cell>
        </row>
        <row r="733">
          <cell r="A733">
            <v>22264019</v>
          </cell>
          <cell r="B733" t="str">
            <v>이마이 사키의 의복_여성용</v>
          </cell>
        </row>
        <row r="734">
          <cell r="A734">
            <v>22264020</v>
          </cell>
          <cell r="B734" t="str">
            <v>누이 호쿠의 의복_여성용</v>
          </cell>
        </row>
        <row r="735">
          <cell r="A735">
            <v>22264021</v>
          </cell>
          <cell r="B735" t="str">
            <v>찬드 비비의 의복_여성용</v>
          </cell>
        </row>
        <row r="736">
          <cell r="A736">
            <v>22264022</v>
          </cell>
          <cell r="B736" t="str">
            <v>표트르 1세의 의복_남성용</v>
          </cell>
        </row>
        <row r="737">
          <cell r="A737">
            <v>22264023</v>
          </cell>
          <cell r="B737" t="str">
            <v>고귀한 복수자의 의복_여성용</v>
          </cell>
        </row>
        <row r="738">
          <cell r="A738">
            <v>22264024</v>
          </cell>
          <cell r="B738" t="str">
            <v>에르난 코르테스의 의복_남성용</v>
          </cell>
        </row>
        <row r="739">
          <cell r="A739">
            <v>22264025</v>
          </cell>
          <cell r="B739" t="str">
            <v>대해적의 의복_여성용</v>
          </cell>
        </row>
        <row r="740">
          <cell r="A740">
            <v>22264026</v>
          </cell>
          <cell r="B740" t="str">
            <v>필리 레이스의 의복_남성용</v>
          </cell>
        </row>
        <row r="741">
          <cell r="A741">
            <v>22264500</v>
          </cell>
          <cell r="B741" t="str">
            <v>준비된 제독의 망토</v>
          </cell>
        </row>
        <row r="742">
          <cell r="A742">
            <v>22264501</v>
          </cell>
          <cell r="B742" t="str">
            <v>조안의 성년복_남성용</v>
          </cell>
        </row>
        <row r="743">
          <cell r="A743">
            <v>22264502</v>
          </cell>
          <cell r="B743" t="str">
            <v>카탈리나의 사관복_여성용</v>
          </cell>
        </row>
        <row r="744">
          <cell r="A744">
            <v>22264503</v>
          </cell>
          <cell r="B744" t="str">
            <v>잉글랜드 해군 정복_남성용</v>
          </cell>
        </row>
        <row r="745">
          <cell r="A745">
            <v>22264504</v>
          </cell>
          <cell r="B745" t="str">
            <v>에르네스트의 외출복_남성용</v>
          </cell>
        </row>
        <row r="746">
          <cell r="A746">
            <v>22264505</v>
          </cell>
          <cell r="B746" t="str">
            <v>##피에트로 추가 장비_남성용</v>
          </cell>
        </row>
        <row r="747">
          <cell r="A747">
            <v>22264506</v>
          </cell>
          <cell r="B747" t="str">
            <v>숙적의 해적복_남성용</v>
          </cell>
        </row>
        <row r="748">
          <cell r="A748">
            <v>22264508</v>
          </cell>
          <cell r="B748" t="str">
            <v>##밀란데 추가 장비_여성용</v>
          </cell>
        </row>
        <row r="749">
          <cell r="A749">
            <v>22264509</v>
          </cell>
          <cell r="B749" t="str">
            <v>##살바도르 추가 장비_남성용</v>
          </cell>
        </row>
        <row r="750">
          <cell r="A750">
            <v>22264510</v>
          </cell>
          <cell r="B750" t="str">
            <v>##레온 추가 장비_남성용</v>
          </cell>
        </row>
        <row r="751">
          <cell r="A751">
            <v>22264511</v>
          </cell>
          <cell r="B751" t="str">
            <v>##정화 추가 장비_남성용</v>
          </cell>
        </row>
        <row r="752">
          <cell r="A752">
            <v>22264512</v>
          </cell>
          <cell r="B752" t="str">
            <v>##척계광 추가 장비_남성용</v>
          </cell>
        </row>
        <row r="753">
          <cell r="A753">
            <v>22264513</v>
          </cell>
          <cell r="B753" t="str">
            <v>##그레이스 추가 장비_여성용</v>
          </cell>
        </row>
        <row r="754">
          <cell r="A754">
            <v>22264514</v>
          </cell>
          <cell r="B754" t="str">
            <v>##정성공 추가 장비_남성용</v>
          </cell>
        </row>
        <row r="755">
          <cell r="A755">
            <v>22264515</v>
          </cell>
          <cell r="B755" t="str">
            <v>##김만덕 추가 장비_여성용</v>
          </cell>
        </row>
        <row r="756">
          <cell r="A756">
            <v>22264516</v>
          </cell>
          <cell r="B756" t="str">
            <v>##홍길동 추가 장비_남성용</v>
          </cell>
        </row>
        <row r="757">
          <cell r="A757">
            <v>22264517</v>
          </cell>
          <cell r="B757" t="str">
            <v>##이순신 추가 장비_남성용</v>
          </cell>
        </row>
        <row r="758">
          <cell r="A758">
            <v>22264518</v>
          </cell>
          <cell r="B758" t="str">
            <v>##다테 추가 장비_남성용</v>
          </cell>
        </row>
        <row r="759">
          <cell r="A759">
            <v>22264519</v>
          </cell>
          <cell r="B759" t="str">
            <v>##사키 추가 장비_여성용</v>
          </cell>
        </row>
        <row r="760">
          <cell r="A760">
            <v>22264520</v>
          </cell>
          <cell r="B760" t="str">
            <v>##호쿠 추가 장비_여성용</v>
          </cell>
        </row>
        <row r="761">
          <cell r="A761">
            <v>22264521</v>
          </cell>
          <cell r="B761" t="str">
            <v>##비비 추가 장비_여성용</v>
          </cell>
        </row>
        <row r="762">
          <cell r="A762">
            <v>22264522</v>
          </cell>
          <cell r="B762" t="str">
            <v>##표트르 추가 장비_남성용</v>
          </cell>
        </row>
        <row r="763">
          <cell r="A763">
            <v>22264523</v>
          </cell>
          <cell r="B763" t="str">
            <v>##사이이다 추가 장비_여성용</v>
          </cell>
        </row>
        <row r="764">
          <cell r="A764">
            <v>22264524</v>
          </cell>
          <cell r="B764" t="str">
            <v>##코르테스 추가 장비_남성용</v>
          </cell>
        </row>
        <row r="765">
          <cell r="A765">
            <v>22264525</v>
          </cell>
          <cell r="B765" t="str">
            <v>##앤 보니 추가 장비_여성용</v>
          </cell>
        </row>
        <row r="766">
          <cell r="A766">
            <v>22264526</v>
          </cell>
          <cell r="B766" t="str">
            <v>##필리 추가 장비_남성용</v>
          </cell>
        </row>
        <row r="767">
          <cell r="A767">
            <v>22264801</v>
          </cell>
          <cell r="B767" t="str">
            <v>불멸의 해적단 전투복</v>
          </cell>
        </row>
        <row r="768">
          <cell r="A768">
            <v>22264802</v>
          </cell>
          <cell r="B768" t="str">
            <v>불멸의 해적단 사수복_여성용</v>
          </cell>
        </row>
        <row r="769">
          <cell r="A769">
            <v>22264803</v>
          </cell>
          <cell r="B769" t="str">
            <v>환상 섬의 예복</v>
          </cell>
        </row>
        <row r="770">
          <cell r="A770">
            <v>22264804</v>
          </cell>
          <cell r="B770" t="str">
            <v>환상 섬의 드레스_여성용</v>
          </cell>
        </row>
        <row r="771">
          <cell r="A771">
            <v>22264805</v>
          </cell>
          <cell r="B771" t="str">
            <v>바다 기사단 단장복</v>
          </cell>
        </row>
        <row r="772">
          <cell r="A772">
            <v>22264806</v>
          </cell>
          <cell r="B772" t="str">
            <v>바다 기사단 간부복_여성용</v>
          </cell>
        </row>
        <row r="773">
          <cell r="A773">
            <v>22264807</v>
          </cell>
          <cell r="B773" t="str">
            <v>비술의 제복_남성용</v>
          </cell>
        </row>
        <row r="774">
          <cell r="A774">
            <v>22264808</v>
          </cell>
          <cell r="B774" t="str">
            <v>비술의 항해사복_여성용</v>
          </cell>
        </row>
        <row r="775">
          <cell r="A775">
            <v>22264809</v>
          </cell>
          <cell r="B775" t="str">
            <v>황금 염소의 코트_남성용</v>
          </cell>
        </row>
        <row r="776">
          <cell r="A776">
            <v>22264810</v>
          </cell>
          <cell r="B776" t="str">
            <v>붉은 망토의 드레스_여성용</v>
          </cell>
        </row>
        <row r="777">
          <cell r="A777">
            <v>22265001</v>
          </cell>
          <cell r="B777" t="str">
            <v>벤자밍의 의복_남성용</v>
          </cell>
        </row>
        <row r="778">
          <cell r="A778">
            <v>22265002</v>
          </cell>
          <cell r="B778" t="str">
            <v>브로케이드 저킨_남성용</v>
          </cell>
        </row>
        <row r="779">
          <cell r="A779">
            <v>22265003</v>
          </cell>
          <cell r="B779" t="str">
            <v>프레드릭의 코트_남성용</v>
          </cell>
        </row>
        <row r="780">
          <cell r="A780">
            <v>22265004</v>
          </cell>
          <cell r="B780" t="str">
            <v>랏바우트의 재킷_남성용</v>
          </cell>
        </row>
        <row r="781">
          <cell r="A781">
            <v>22265007</v>
          </cell>
          <cell r="B781" t="str">
            <v>야무르의 옐레크_남성용</v>
          </cell>
        </row>
        <row r="782">
          <cell r="A782">
            <v>22265008</v>
          </cell>
          <cell r="B782" t="str">
            <v>구디나의 의복_남성용</v>
          </cell>
        </row>
        <row r="783">
          <cell r="A783">
            <v>22265010</v>
          </cell>
          <cell r="B783" t="str">
            <v>아자르의 의복_남성용</v>
          </cell>
        </row>
        <row r="784">
          <cell r="A784">
            <v>22265011</v>
          </cell>
          <cell r="B784" t="str">
            <v>이시의 의복_남성용</v>
          </cell>
        </row>
        <row r="785">
          <cell r="A785">
            <v>22265012</v>
          </cell>
          <cell r="B785" t="str">
            <v>세이시치의 의복_남성용</v>
          </cell>
        </row>
        <row r="786">
          <cell r="A786">
            <v>22265013</v>
          </cell>
          <cell r="B786" t="str">
            <v>에미얄리의 의복_남성용</v>
          </cell>
        </row>
        <row r="787">
          <cell r="A787">
            <v>22265014</v>
          </cell>
          <cell r="B787" t="str">
            <v>청철의 의복_남성용</v>
          </cell>
        </row>
        <row r="788">
          <cell r="A788">
            <v>22265015</v>
          </cell>
          <cell r="B788" t="str">
            <v>파트리스의 의복_남성용</v>
          </cell>
        </row>
        <row r="789">
          <cell r="A789">
            <v>22265016</v>
          </cell>
          <cell r="B789" t="str">
            <v>무영의 의복_남성용</v>
          </cell>
        </row>
        <row r="790">
          <cell r="A790">
            <v>22265017</v>
          </cell>
          <cell r="B790" t="str">
            <v>설의 의복_여성용</v>
          </cell>
        </row>
        <row r="791">
          <cell r="A791">
            <v>22265018</v>
          </cell>
          <cell r="B791" t="str">
            <v>데브림의 의복_남성용</v>
          </cell>
        </row>
        <row r="792">
          <cell r="A792">
            <v>22265019</v>
          </cell>
          <cell r="B792" t="str">
            <v>티몬의 의복_남성용</v>
          </cell>
        </row>
        <row r="793">
          <cell r="A793">
            <v>22265020</v>
          </cell>
          <cell r="B793" t="str">
            <v>불카니코의 의복_남성용</v>
          </cell>
        </row>
        <row r="794">
          <cell r="A794">
            <v>22265021</v>
          </cell>
          <cell r="B794" t="str">
            <v>와만의 의복_남성용</v>
          </cell>
        </row>
        <row r="795">
          <cell r="A795">
            <v>22265022</v>
          </cell>
          <cell r="B795" t="str">
            <v>군투르의 의복_남성용</v>
          </cell>
        </row>
        <row r="796">
          <cell r="A796">
            <v>22265023</v>
          </cell>
          <cell r="B796" t="str">
            <v>시씬과크의 의복_남성용</v>
          </cell>
        </row>
        <row r="797">
          <cell r="A797">
            <v>22265024</v>
          </cell>
          <cell r="B797" t="str">
            <v>타마의 의복_남성용</v>
          </cell>
        </row>
        <row r="798">
          <cell r="A798">
            <v>22265025</v>
          </cell>
          <cell r="B798" t="str">
            <v>오나쓰의 의복_여성용</v>
          </cell>
        </row>
        <row r="799">
          <cell r="A799">
            <v>22265026</v>
          </cell>
          <cell r="B799" t="str">
            <v>아델리나의 의복_여성용</v>
          </cell>
        </row>
        <row r="800">
          <cell r="A800">
            <v>22265027</v>
          </cell>
          <cell r="B800" t="str">
            <v>완다의 의복_여성용</v>
          </cell>
        </row>
        <row r="801">
          <cell r="A801">
            <v>22265028</v>
          </cell>
          <cell r="B801" t="str">
            <v>예루마의 의복_여성용</v>
          </cell>
        </row>
        <row r="802">
          <cell r="A802">
            <v>22265029</v>
          </cell>
          <cell r="B802" t="str">
            <v>엘레느의 의복_여성용</v>
          </cell>
        </row>
        <row r="803">
          <cell r="A803">
            <v>22265030</v>
          </cell>
          <cell r="B803" t="str">
            <v>나탈리의 의복_여성용</v>
          </cell>
        </row>
        <row r="804">
          <cell r="A804">
            <v>22265031</v>
          </cell>
          <cell r="B804" t="str">
            <v>티티스의 의복_여성용</v>
          </cell>
        </row>
        <row r="805">
          <cell r="A805">
            <v>22265033</v>
          </cell>
          <cell r="B805" t="str">
            <v>스트라이프 드레스_여성용</v>
          </cell>
        </row>
        <row r="806">
          <cell r="A806">
            <v>22265034</v>
          </cell>
          <cell r="B806" t="str">
            <v>코르넬리아의 의복_여성용</v>
          </cell>
        </row>
        <row r="807">
          <cell r="A807">
            <v>22265035</v>
          </cell>
          <cell r="B807" t="str">
            <v>아이셀의 의복_여성용</v>
          </cell>
        </row>
        <row r="808">
          <cell r="A808">
            <v>22265036</v>
          </cell>
          <cell r="B808" t="str">
            <v>잔수의 의복_여성용</v>
          </cell>
        </row>
        <row r="809">
          <cell r="A809">
            <v>22265037</v>
          </cell>
          <cell r="B809" t="str">
            <v>루도의 의복_여성용</v>
          </cell>
        </row>
        <row r="810">
          <cell r="A810">
            <v>22265038</v>
          </cell>
          <cell r="B810" t="str">
            <v>아난드의 의복_여성용</v>
          </cell>
        </row>
        <row r="811">
          <cell r="A811">
            <v>22265039</v>
          </cell>
          <cell r="B811" t="str">
            <v>잉게보르크의 의복_여성용</v>
          </cell>
        </row>
        <row r="812">
          <cell r="A812">
            <v>22265040</v>
          </cell>
          <cell r="B812" t="str">
            <v>켈레벡의 의복_여성용</v>
          </cell>
        </row>
        <row r="813">
          <cell r="A813">
            <v>22265041</v>
          </cell>
          <cell r="B813" t="str">
            <v>울로리악의 의복_여성용</v>
          </cell>
        </row>
        <row r="814">
          <cell r="A814">
            <v>22265042</v>
          </cell>
          <cell r="B814" t="str">
            <v>리리안의 의복_여성용</v>
          </cell>
        </row>
        <row r="815">
          <cell r="A815">
            <v>22265043</v>
          </cell>
          <cell r="B815" t="str">
            <v>프릴 드레스_여성용</v>
          </cell>
        </row>
        <row r="816">
          <cell r="A816">
            <v>22265044</v>
          </cell>
          <cell r="B816" t="str">
            <v>플로라의 의복_여성용</v>
          </cell>
        </row>
        <row r="817">
          <cell r="A817">
            <v>22265046</v>
          </cell>
          <cell r="B817" t="str">
            <v>사라이의 엔타리_여성용</v>
          </cell>
        </row>
        <row r="818">
          <cell r="A818">
            <v>22265047</v>
          </cell>
          <cell r="B818" t="str">
            <v>하디의 의복_여성용</v>
          </cell>
        </row>
        <row r="819">
          <cell r="A819">
            <v>22265048</v>
          </cell>
          <cell r="B819" t="str">
            <v>베리사의 의복_여성용</v>
          </cell>
        </row>
        <row r="820">
          <cell r="A820">
            <v>22265049</v>
          </cell>
          <cell r="B820" t="str">
            <v>사파의 의복_여성용</v>
          </cell>
        </row>
        <row r="821">
          <cell r="A821">
            <v>22265050</v>
          </cell>
          <cell r="B821" t="str">
            <v>아멜리아의 의복_여성용</v>
          </cell>
        </row>
        <row r="822">
          <cell r="A822">
            <v>22265051</v>
          </cell>
          <cell r="B822" t="str">
            <v>이사벨의 의복_여성용</v>
          </cell>
        </row>
        <row r="823">
          <cell r="A823">
            <v>22265052</v>
          </cell>
          <cell r="B823" t="str">
            <v>쿤티의 의복_여성용</v>
          </cell>
        </row>
        <row r="824">
          <cell r="A824">
            <v>22265053</v>
          </cell>
          <cell r="B824" t="str">
            <v>하토라의 의복_여성용</v>
          </cell>
        </row>
        <row r="825">
          <cell r="A825">
            <v>22265054</v>
          </cell>
          <cell r="B825" t="str">
            <v>미화의 의복_여성용</v>
          </cell>
        </row>
        <row r="826">
          <cell r="A826">
            <v>22265055</v>
          </cell>
          <cell r="B826" t="str">
            <v>아냐의 의복_여성용</v>
          </cell>
        </row>
        <row r="827">
          <cell r="A827">
            <v>22265056</v>
          </cell>
          <cell r="B827" t="str">
            <v>지아나의 의복_여성용</v>
          </cell>
        </row>
        <row r="828">
          <cell r="A828">
            <v>22265057</v>
          </cell>
          <cell r="B828" t="str">
            <v>테레사의 의복_여성용</v>
          </cell>
        </row>
        <row r="829">
          <cell r="A829">
            <v>22265058</v>
          </cell>
          <cell r="B829" t="str">
            <v>뮤리네의 의복_여성용</v>
          </cell>
        </row>
        <row r="830">
          <cell r="A830">
            <v>22265059</v>
          </cell>
          <cell r="B830" t="str">
            <v>실비아의 의복_여성용</v>
          </cell>
        </row>
        <row r="831">
          <cell r="A831">
            <v>22265060</v>
          </cell>
          <cell r="B831" t="str">
            <v>아세네트의 의복_여성용</v>
          </cell>
        </row>
        <row r="832">
          <cell r="A832">
            <v>22265061</v>
          </cell>
          <cell r="B832" t="str">
            <v>제바히르의 의복_여성용</v>
          </cell>
        </row>
        <row r="833">
          <cell r="A833">
            <v>22265062</v>
          </cell>
          <cell r="B833" t="str">
            <v>엘리프의 의복_여성용</v>
          </cell>
        </row>
        <row r="834">
          <cell r="A834">
            <v>22265063</v>
          </cell>
          <cell r="B834" t="str">
            <v>가더의 의복_여성용</v>
          </cell>
        </row>
        <row r="835">
          <cell r="A835">
            <v>22265064</v>
          </cell>
          <cell r="B835" t="str">
            <v>인두마티의 의복_여성용</v>
          </cell>
        </row>
        <row r="836">
          <cell r="A836">
            <v>22265065</v>
          </cell>
          <cell r="B836" t="str">
            <v>말리날리의 의복_여성용</v>
          </cell>
        </row>
        <row r="837">
          <cell r="A837">
            <v>22265066</v>
          </cell>
          <cell r="B837" t="str">
            <v>상경의 의복_여성용</v>
          </cell>
        </row>
        <row r="838">
          <cell r="A838">
            <v>22265067</v>
          </cell>
          <cell r="B838" t="str">
            <v>청린의 의복_여성용</v>
          </cell>
        </row>
        <row r="839">
          <cell r="A839">
            <v>22265068</v>
          </cell>
          <cell r="B839" t="str">
            <v>가은정의 의복_여성용</v>
          </cell>
        </row>
        <row r="840">
          <cell r="A840">
            <v>22265069</v>
          </cell>
          <cell r="B840" t="str">
            <v>타츠마루의 의복_여성용</v>
          </cell>
        </row>
        <row r="841">
          <cell r="A841">
            <v>22265070</v>
          </cell>
          <cell r="B841" t="str">
            <v>치트랄리의 의복_여성용</v>
          </cell>
        </row>
        <row r="842">
          <cell r="A842">
            <v>22265071</v>
          </cell>
          <cell r="B842" t="str">
            <v>연희의 의복_여성용</v>
          </cell>
        </row>
        <row r="843">
          <cell r="A843">
            <v>22265072</v>
          </cell>
          <cell r="B843" t="str">
            <v>스틴의 의복_여성용</v>
          </cell>
        </row>
        <row r="844">
          <cell r="A844">
            <v>22265073</v>
          </cell>
          <cell r="B844" t="str">
            <v>자령의 의복_여성용</v>
          </cell>
        </row>
        <row r="845">
          <cell r="A845">
            <v>22265074</v>
          </cell>
          <cell r="B845" t="str">
            <v>클라우디아의 의복_여성용</v>
          </cell>
        </row>
        <row r="846">
          <cell r="A846">
            <v>22265075</v>
          </cell>
          <cell r="B846" t="str">
            <v>메레의 의복_여성용</v>
          </cell>
        </row>
        <row r="847">
          <cell r="A847">
            <v>22265076</v>
          </cell>
          <cell r="B847" t="str">
            <v>푸르나마의 의복_여성용</v>
          </cell>
        </row>
        <row r="848">
          <cell r="A848">
            <v>22265077</v>
          </cell>
          <cell r="B848" t="str">
            <v>수니타의 의복_여성용</v>
          </cell>
        </row>
        <row r="849">
          <cell r="A849">
            <v>22265078</v>
          </cell>
          <cell r="B849" t="str">
            <v>예바의 의복_여성용</v>
          </cell>
        </row>
        <row r="850">
          <cell r="A850">
            <v>22265079</v>
          </cell>
          <cell r="B850" t="str">
            <v>네일리의 의복_여성용</v>
          </cell>
        </row>
        <row r="851">
          <cell r="A851">
            <v>22265080</v>
          </cell>
          <cell r="B851" t="str">
            <v>타마야의 의복_여성용</v>
          </cell>
        </row>
        <row r="852">
          <cell r="A852">
            <v>22265081</v>
          </cell>
          <cell r="B852" t="str">
            <v>돌로리스의 의복_여성용</v>
          </cell>
        </row>
        <row r="853">
          <cell r="A853">
            <v>22265083</v>
          </cell>
          <cell r="B853" t="str">
            <v>니타의 의복_여성용</v>
          </cell>
        </row>
        <row r="854">
          <cell r="A854">
            <v>22265084</v>
          </cell>
          <cell r="B854" t="str">
            <v>루치아의 의복_여성용</v>
          </cell>
        </row>
        <row r="855">
          <cell r="A855">
            <v>22265085</v>
          </cell>
          <cell r="B855" t="str">
            <v>안나의 의복_여성용</v>
          </cell>
        </row>
        <row r="856">
          <cell r="A856">
            <v>22265086</v>
          </cell>
          <cell r="B856" t="str">
            <v>라디아의 의복_여성용</v>
          </cell>
        </row>
        <row r="857">
          <cell r="A857">
            <v>22265087</v>
          </cell>
          <cell r="B857" t="str">
            <v>마틸다의 의복_여성용</v>
          </cell>
        </row>
        <row r="858">
          <cell r="A858">
            <v>22265089</v>
          </cell>
          <cell r="B858" t="str">
            <v>아르드비의 의복_여성용</v>
          </cell>
        </row>
        <row r="859">
          <cell r="A859">
            <v>22265091</v>
          </cell>
          <cell r="B859" t="str">
            <v>남혜의 의복_여성용</v>
          </cell>
        </row>
        <row r="860">
          <cell r="A860">
            <v>22265092</v>
          </cell>
          <cell r="B860" t="str">
            <v>아니사의 의복_여성용</v>
          </cell>
        </row>
        <row r="861">
          <cell r="A861">
            <v>22271001</v>
          </cell>
          <cell r="B861" t="str">
            <v>경극 의상</v>
          </cell>
        </row>
        <row r="862">
          <cell r="A862">
            <v>22271004</v>
          </cell>
          <cell r="B862" t="str">
            <v>귀부인의 드레스</v>
          </cell>
        </row>
        <row r="863">
          <cell r="A863">
            <v>22271005</v>
          </cell>
          <cell r="B863" t="str">
            <v>바다 민족의 갑옷</v>
          </cell>
        </row>
        <row r="864">
          <cell r="A864">
            <v>22272001</v>
          </cell>
          <cell r="B864" t="str">
            <v>선녀의 무용복_여성용</v>
          </cell>
        </row>
        <row r="865">
          <cell r="A865">
            <v>22272003</v>
          </cell>
          <cell r="B865" t="str">
            <v>파이완 민족의상</v>
          </cell>
        </row>
        <row r="866">
          <cell r="A866">
            <v>22272005</v>
          </cell>
          <cell r="B866" t="str">
            <v>수습 대장장이의 갑옷</v>
          </cell>
        </row>
        <row r="867">
          <cell r="A867">
            <v>22273001</v>
          </cell>
          <cell r="B867" t="str">
            <v>관두의</v>
          </cell>
        </row>
        <row r="868">
          <cell r="A868">
            <v>22273004</v>
          </cell>
          <cell r="B868" t="str">
            <v>테오도라의 무용 의상_여성용</v>
          </cell>
        </row>
        <row r="869">
          <cell r="A869">
            <v>22273005</v>
          </cell>
          <cell r="B869" t="str">
            <v>빙하 선단의 갑옷</v>
          </cell>
        </row>
        <row r="870">
          <cell r="A870">
            <v>22273007</v>
          </cell>
          <cell r="B870" t="str">
            <v>붉은 산호섬의 경장</v>
          </cell>
        </row>
        <row r="871">
          <cell r="A871">
            <v>22273009</v>
          </cell>
          <cell r="B871" t="str">
            <v>상단 연합의 단복</v>
          </cell>
        </row>
        <row r="872">
          <cell r="A872">
            <v>22274001</v>
          </cell>
          <cell r="B872" t="str">
            <v>사자왕의 갑옷</v>
          </cell>
        </row>
        <row r="873">
          <cell r="A873">
            <v>22274005</v>
          </cell>
          <cell r="B873" t="str">
            <v>성왕 갑옷</v>
          </cell>
        </row>
        <row r="874">
          <cell r="A874">
            <v>22274009</v>
          </cell>
          <cell r="B874" t="str">
            <v>템플기사단장의 갑옷</v>
          </cell>
        </row>
        <row r="875">
          <cell r="A875">
            <v>22274013</v>
          </cell>
          <cell r="B875" t="str">
            <v>데메트리오스 1세의 갑옷</v>
          </cell>
        </row>
        <row r="876">
          <cell r="A876">
            <v>22274015</v>
          </cell>
          <cell r="B876" t="str">
            <v>에파미논다스의 갑옷</v>
          </cell>
        </row>
        <row r="877">
          <cell r="A877">
            <v>22274017</v>
          </cell>
          <cell r="B877" t="str">
            <v>북해 연합의 갑옷</v>
          </cell>
        </row>
        <row r="878">
          <cell r="A878">
            <v>22274019</v>
          </cell>
          <cell r="B878" t="str">
            <v>진주섬의 경장</v>
          </cell>
        </row>
        <row r="879">
          <cell r="A879">
            <v>22274021</v>
          </cell>
          <cell r="B879" t="str">
            <v>폭풍 선단의 단복</v>
          </cell>
        </row>
        <row r="880">
          <cell r="A880">
            <v>22283001</v>
          </cell>
          <cell r="B880" t="str">
            <v>달맞이 저고리_남성용</v>
          </cell>
        </row>
        <row r="881">
          <cell r="A881">
            <v>22283002</v>
          </cell>
          <cell r="B881" t="str">
            <v>달맞이 색동저고리_여성용</v>
          </cell>
        </row>
        <row r="882">
          <cell r="A882">
            <v>22311001</v>
          </cell>
          <cell r="B882" t="str">
            <v>바르부타</v>
          </cell>
        </row>
        <row r="883">
          <cell r="A883">
            <v>22311003</v>
          </cell>
          <cell r="B883" t="str">
            <v>진립</v>
          </cell>
        </row>
        <row r="884">
          <cell r="A884">
            <v>22311005</v>
          </cell>
          <cell r="B884" t="str">
            <v>레더 헬름</v>
          </cell>
        </row>
        <row r="885">
          <cell r="A885">
            <v>22311007</v>
          </cell>
          <cell r="B885" t="str">
            <v>갬비슨 코이프</v>
          </cell>
        </row>
        <row r="886">
          <cell r="A886">
            <v>22311009</v>
          </cell>
          <cell r="B886" t="str">
            <v>터번</v>
          </cell>
        </row>
        <row r="887">
          <cell r="A887">
            <v>22311011</v>
          </cell>
          <cell r="B887" t="str">
            <v>키파</v>
          </cell>
        </row>
        <row r="888">
          <cell r="A888">
            <v>22311013</v>
          </cell>
          <cell r="B888" t="str">
            <v>두건</v>
          </cell>
        </row>
        <row r="889">
          <cell r="A889">
            <v>22311015</v>
          </cell>
          <cell r="B889" t="str">
            <v>야우투</v>
          </cell>
        </row>
        <row r="890">
          <cell r="A890">
            <v>22311017</v>
          </cell>
          <cell r="B890" t="str">
            <v>스콜라 콘 햇</v>
          </cell>
        </row>
        <row r="891">
          <cell r="A891">
            <v>22311019</v>
          </cell>
          <cell r="B891" t="str">
            <v>감시자의 두건</v>
          </cell>
        </row>
        <row r="892">
          <cell r="A892">
            <v>22311021</v>
          </cell>
          <cell r="B892" t="str">
            <v>견습 모험가의 모자</v>
          </cell>
        </row>
        <row r="893">
          <cell r="A893">
            <v>22311023</v>
          </cell>
          <cell r="B893" t="str">
            <v>상단 용병의 두건</v>
          </cell>
        </row>
        <row r="894">
          <cell r="A894">
            <v>22311025</v>
          </cell>
          <cell r="B894" t="str">
            <v>밀라노식 투구</v>
          </cell>
        </row>
        <row r="895">
          <cell r="A895">
            <v>22311027</v>
          </cell>
          <cell r="B895" t="str">
            <v>버킷 헬름</v>
          </cell>
        </row>
        <row r="896">
          <cell r="A896">
            <v>22312001</v>
          </cell>
          <cell r="B896" t="str">
            <v>찰갑두회</v>
          </cell>
        </row>
        <row r="897">
          <cell r="A897">
            <v>22312003</v>
          </cell>
          <cell r="B897" t="str">
            <v>옴</v>
          </cell>
        </row>
        <row r="898">
          <cell r="A898">
            <v>22312005</v>
          </cell>
          <cell r="B898" t="str">
            <v>후드</v>
          </cell>
        </row>
        <row r="899">
          <cell r="A899">
            <v>22312007</v>
          </cell>
          <cell r="B899" t="str">
            <v>의사 모자</v>
          </cell>
        </row>
        <row r="900">
          <cell r="A900">
            <v>22312009</v>
          </cell>
          <cell r="B900" t="str">
            <v>패랭이_남성용</v>
          </cell>
        </row>
        <row r="901">
          <cell r="A901">
            <v>22312010</v>
          </cell>
          <cell r="B901" t="str">
            <v>배씨댕기_여성용</v>
          </cell>
        </row>
        <row r="902">
          <cell r="A902">
            <v>22312011</v>
          </cell>
          <cell r="B902" t="str">
            <v>텡콜록_남성용</v>
          </cell>
        </row>
        <row r="903">
          <cell r="A903">
            <v>22312012</v>
          </cell>
          <cell r="B903" t="str">
            <v>메이드 캡_여성용</v>
          </cell>
        </row>
        <row r="904">
          <cell r="A904">
            <v>22312013</v>
          </cell>
          <cell r="B904" t="str">
            <v>삿갓</v>
          </cell>
        </row>
        <row r="905">
          <cell r="A905">
            <v>22312014</v>
          </cell>
          <cell r="B905" t="str">
            <v>빈티지 베일_여성용</v>
          </cell>
        </row>
        <row r="906">
          <cell r="A906">
            <v>22312015</v>
          </cell>
          <cell r="B906" t="str">
            <v>하즈 터번</v>
          </cell>
        </row>
        <row r="907">
          <cell r="A907">
            <v>22312016</v>
          </cell>
          <cell r="B907" t="str">
            <v>프릴 헤어 밴드_여성용</v>
          </cell>
        </row>
        <row r="908">
          <cell r="A908">
            <v>22312017</v>
          </cell>
          <cell r="B908" t="str">
            <v>무역 상인의 모자</v>
          </cell>
        </row>
        <row r="909">
          <cell r="A909">
            <v>22312019</v>
          </cell>
          <cell r="B909" t="str">
            <v>모험 용병의 보호구</v>
          </cell>
        </row>
        <row r="910">
          <cell r="A910">
            <v>22312021</v>
          </cell>
          <cell r="B910" t="str">
            <v>몰락 귀족의 모자</v>
          </cell>
        </row>
        <row r="911">
          <cell r="A911">
            <v>22312023</v>
          </cell>
          <cell r="B911" t="str">
            <v>부족 전사의 투구</v>
          </cell>
        </row>
        <row r="912">
          <cell r="A912">
            <v>22312025</v>
          </cell>
          <cell r="B912" t="str">
            <v>에롤의 실험 투구</v>
          </cell>
        </row>
        <row r="913">
          <cell r="A913">
            <v>22312027</v>
          </cell>
          <cell r="B913" t="str">
            <v>상단 호위병의 투구</v>
          </cell>
        </row>
        <row r="914">
          <cell r="A914">
            <v>22323001</v>
          </cell>
          <cell r="B914" t="str">
            <v>뤽스 터번</v>
          </cell>
        </row>
        <row r="915">
          <cell r="A915">
            <v>22323003</v>
          </cell>
          <cell r="B915" t="str">
            <v>파수꾼의 트라이콘</v>
          </cell>
        </row>
        <row r="916">
          <cell r="A916">
            <v>22323005</v>
          </cell>
          <cell r="B916" t="str">
            <v>다리우스 3세의 투구</v>
          </cell>
        </row>
        <row r="917">
          <cell r="A917">
            <v>22323007</v>
          </cell>
          <cell r="B917" t="str">
            <v>비르카 라멜라 헬름</v>
          </cell>
        </row>
        <row r="918">
          <cell r="A918">
            <v>22323009</v>
          </cell>
          <cell r="B918" t="str">
            <v>제마아트의 뵈르크</v>
          </cell>
        </row>
        <row r="919">
          <cell r="A919">
            <v>22323011</v>
          </cell>
          <cell r="B919" t="str">
            <v>에스파다친의 모리온</v>
          </cell>
        </row>
        <row r="920">
          <cell r="A920">
            <v>22323013</v>
          </cell>
          <cell r="B920" t="str">
            <v>군용 베레</v>
          </cell>
        </row>
        <row r="921">
          <cell r="A921">
            <v>22323014</v>
          </cell>
          <cell r="B921" t="str">
            <v>전모_여성용</v>
          </cell>
        </row>
        <row r="922">
          <cell r="A922">
            <v>22323015</v>
          </cell>
          <cell r="B922" t="str">
            <v>바르바리 해적의 터번</v>
          </cell>
        </row>
        <row r="923">
          <cell r="A923">
            <v>22323017</v>
          </cell>
          <cell r="B923" t="str">
            <v>탑 햇</v>
          </cell>
        </row>
        <row r="924">
          <cell r="A924">
            <v>22323019</v>
          </cell>
          <cell r="B924" t="str">
            <v>호병포면주</v>
          </cell>
        </row>
        <row r="925">
          <cell r="A925">
            <v>22324001</v>
          </cell>
          <cell r="B925" t="str">
            <v>제사장의 아데_남성용</v>
          </cell>
        </row>
        <row r="926">
          <cell r="A926">
            <v>22324002</v>
          </cell>
          <cell r="B926" t="str">
            <v>제사장의 서클릿_여성용</v>
          </cell>
        </row>
        <row r="927">
          <cell r="A927">
            <v>22324003</v>
          </cell>
          <cell r="B927" t="str">
            <v>세크반의 터번_남성용</v>
          </cell>
        </row>
        <row r="928">
          <cell r="A928">
            <v>22324004</v>
          </cell>
          <cell r="B928" t="str">
            <v>아미나의 알라쇼_여성용</v>
          </cell>
        </row>
        <row r="929">
          <cell r="A929">
            <v>22324005</v>
          </cell>
          <cell r="B929" t="str">
            <v>시샤크 후사르자</v>
          </cell>
        </row>
        <row r="930">
          <cell r="A930">
            <v>22324007</v>
          </cell>
          <cell r="B930" t="str">
            <v>아유타야 무어끼어</v>
          </cell>
        </row>
        <row r="931">
          <cell r="A931">
            <v>22324009</v>
          </cell>
          <cell r="B931" t="str">
            <v>배서닛</v>
          </cell>
        </row>
        <row r="932">
          <cell r="A932">
            <v>22324011</v>
          </cell>
          <cell r="B932" t="str">
            <v>장관의 트라이콘</v>
          </cell>
        </row>
        <row r="933">
          <cell r="A933">
            <v>22324013</v>
          </cell>
          <cell r="B933" t="str">
            <v>투이가</v>
          </cell>
        </row>
        <row r="934">
          <cell r="A934">
            <v>22324015</v>
          </cell>
          <cell r="B934" t="str">
            <v>검은 남작의 트라이콘</v>
          </cell>
        </row>
        <row r="935">
          <cell r="A935">
            <v>22324017</v>
          </cell>
          <cell r="B935" t="str">
            <v>바이킹 헬름</v>
          </cell>
        </row>
        <row r="936">
          <cell r="A936">
            <v>22324019</v>
          </cell>
          <cell r="B936" t="str">
            <v>무스케테르의 샤포_남성용</v>
          </cell>
        </row>
        <row r="937">
          <cell r="A937">
            <v>22324020</v>
          </cell>
          <cell r="B937" t="str">
            <v>라 포맹의 샤포_여성용</v>
          </cell>
        </row>
        <row r="938">
          <cell r="A938">
            <v>22324021</v>
          </cell>
          <cell r="B938" t="str">
            <v>해적 부선장의 반다나</v>
          </cell>
        </row>
        <row r="939">
          <cell r="A939">
            <v>22324023</v>
          </cell>
          <cell r="B939" t="str">
            <v>듀얼리스트의 모자</v>
          </cell>
        </row>
        <row r="940">
          <cell r="A940">
            <v>22324025</v>
          </cell>
          <cell r="B940" t="str">
            <v>그리니치 헬름</v>
          </cell>
        </row>
        <row r="941">
          <cell r="A941">
            <v>22324027</v>
          </cell>
          <cell r="B941" t="str">
            <v>캐벌리어의 모자</v>
          </cell>
        </row>
        <row r="942">
          <cell r="A942">
            <v>22324029</v>
          </cell>
          <cell r="B942" t="str">
            <v>부카니에의 샤포</v>
          </cell>
        </row>
        <row r="943">
          <cell r="A943">
            <v>22324031</v>
          </cell>
          <cell r="B943" t="str">
            <v>조커의 투구</v>
          </cell>
        </row>
        <row r="944">
          <cell r="A944">
            <v>22324033</v>
          </cell>
          <cell r="B944" t="str">
            <v>카이사르의 투구</v>
          </cell>
        </row>
        <row r="945">
          <cell r="A945">
            <v>22324035</v>
          </cell>
          <cell r="B945" t="str">
            <v>아슬란 쿠드_남성용</v>
          </cell>
        </row>
        <row r="946">
          <cell r="A946">
            <v>22324036</v>
          </cell>
          <cell r="B946" t="str">
            <v>프리마 돈나 칠라타_여성용</v>
          </cell>
        </row>
        <row r="947">
          <cell r="A947">
            <v>22325001</v>
          </cell>
          <cell r="B947" t="str">
            <v>망령 제독의 트라이콘_남성용</v>
          </cell>
        </row>
        <row r="948">
          <cell r="A948">
            <v>22325003</v>
          </cell>
          <cell r="B948" t="str">
            <v>갑사죽립_남성용</v>
          </cell>
        </row>
        <row r="949">
          <cell r="A949">
            <v>22325005</v>
          </cell>
          <cell r="B949" t="str">
            <v>파라슈라마의 쉬르스트란_남성용</v>
          </cell>
        </row>
        <row r="950">
          <cell r="A950">
            <v>22325006</v>
          </cell>
          <cell r="B950" t="str">
            <v>파라슈라마의 쉬르스트란_여성용</v>
          </cell>
        </row>
        <row r="951">
          <cell r="A951">
            <v>22325007</v>
          </cell>
          <cell r="B951" t="str">
            <v>카르나의 쉬르스트란_남성용</v>
          </cell>
        </row>
        <row r="952">
          <cell r="A952">
            <v>22325009</v>
          </cell>
          <cell r="B952" t="str">
            <v>호지조두_남성용</v>
          </cell>
        </row>
        <row r="953">
          <cell r="A953">
            <v>22325010</v>
          </cell>
          <cell r="B953" t="str">
            <v>뇌신두_여성용</v>
          </cell>
        </row>
        <row r="954">
          <cell r="A954">
            <v>22325011</v>
          </cell>
          <cell r="B954" t="str">
            <v>베어스킨</v>
          </cell>
        </row>
        <row r="955">
          <cell r="A955">
            <v>22325013</v>
          </cell>
          <cell r="B955" t="str">
            <v>몬테라_남성용</v>
          </cell>
        </row>
        <row r="956">
          <cell r="A956">
            <v>22325015</v>
          </cell>
          <cell r="B956" t="str">
            <v>라마 수카라의 토미_남성용</v>
          </cell>
        </row>
        <row r="957">
          <cell r="A957">
            <v>22325017</v>
          </cell>
          <cell r="B957" t="str">
            <v>홀리 플레이트 헬름_남성용</v>
          </cell>
        </row>
        <row r="958">
          <cell r="A958">
            <v>22325019</v>
          </cell>
          <cell r="B958" t="str">
            <v>검은 수염의 트라이콘_남성용</v>
          </cell>
        </row>
        <row r="959">
          <cell r="A959">
            <v>22325021</v>
          </cell>
          <cell r="B959" t="str">
            <v>금의사모_남성용</v>
          </cell>
        </row>
        <row r="960">
          <cell r="A960">
            <v>22325023</v>
          </cell>
          <cell r="B960" t="str">
            <v>마르크스브뤼더의 후트_남성용</v>
          </cell>
        </row>
        <row r="961">
          <cell r="A961">
            <v>22325025</v>
          </cell>
          <cell r="B961" t="str">
            <v>성기사의 투구_남성용</v>
          </cell>
        </row>
        <row r="962">
          <cell r="A962">
            <v>22325027</v>
          </cell>
          <cell r="B962" t="str">
            <v>인드라지트의 반다나_남성용</v>
          </cell>
        </row>
        <row r="963">
          <cell r="A963">
            <v>22325029</v>
          </cell>
          <cell r="B963" t="str">
            <v>레타리우스의 헬름</v>
          </cell>
        </row>
        <row r="964">
          <cell r="A964">
            <v>22325031</v>
          </cell>
          <cell r="B964" t="str">
            <v>하이레딘의 카바치_남성용</v>
          </cell>
        </row>
        <row r="965">
          <cell r="A965">
            <v>22325033</v>
          </cell>
          <cell r="B965" t="str">
            <v>엘 드라케 헬름</v>
          </cell>
        </row>
        <row r="966">
          <cell r="A966">
            <v>22325035</v>
          </cell>
          <cell r="B966" t="str">
            <v>보야르의 실렘</v>
          </cell>
        </row>
        <row r="967">
          <cell r="A967">
            <v>22326001</v>
          </cell>
          <cell r="B967" t="str">
            <v>나타라자의 만달라_남성용</v>
          </cell>
        </row>
        <row r="968">
          <cell r="A968">
            <v>22326003</v>
          </cell>
          <cell r="B968" t="str">
            <v>아하디스의 쉬르스트란_남성용</v>
          </cell>
        </row>
        <row r="969">
          <cell r="A969">
            <v>22326005</v>
          </cell>
          <cell r="B969" t="str">
            <v>우이칠린 콰칼라래틀리_남성용</v>
          </cell>
        </row>
        <row r="970">
          <cell r="A970">
            <v>22326007</v>
          </cell>
          <cell r="B970" t="str">
            <v>페르디난트 2세의 아멧_남성용</v>
          </cell>
        </row>
        <row r="971">
          <cell r="A971">
            <v>22326009</v>
          </cell>
          <cell r="B971" t="str">
            <v>제육천마왕두_남성용</v>
          </cell>
        </row>
        <row r="972">
          <cell r="A972">
            <v>22326011</v>
          </cell>
          <cell r="B972" t="str">
            <v>토피 바자_남성용</v>
          </cell>
        </row>
        <row r="973">
          <cell r="A973">
            <v>22326013</v>
          </cell>
          <cell r="B973" t="str">
            <v>벨레스의 디아데마_남성용</v>
          </cell>
        </row>
        <row r="974">
          <cell r="A974">
            <v>22326015</v>
          </cell>
          <cell r="B974" t="str">
            <v>라지푸트 파그리_남성용</v>
          </cell>
        </row>
        <row r="975">
          <cell r="A975">
            <v>22326017</v>
          </cell>
          <cell r="B975" t="str">
            <v>롤랑의 카스크_남성용</v>
          </cell>
        </row>
        <row r="976">
          <cell r="A976">
            <v>22326019</v>
          </cell>
          <cell r="B976" t="str">
            <v>임페리얼 헬름_남성용</v>
          </cell>
        </row>
        <row r="977">
          <cell r="A977">
            <v>22326021</v>
          </cell>
          <cell r="B977" t="str">
            <v>선전무전속발관_남성용</v>
          </cell>
        </row>
        <row r="978">
          <cell r="A978">
            <v>22326022</v>
          </cell>
          <cell r="B978" t="str">
            <v>폐월수화화관_여성용</v>
          </cell>
        </row>
        <row r="979">
          <cell r="A979">
            <v>22326023</v>
          </cell>
          <cell r="B979" t="str">
            <v>모드레드의 헬름_남성용</v>
          </cell>
        </row>
        <row r="980">
          <cell r="A980">
            <v>22326025</v>
          </cell>
          <cell r="B980" t="str">
            <v>골든 드래곤 헬름_남성용</v>
          </cell>
        </row>
        <row r="981">
          <cell r="A981">
            <v>22326027</v>
          </cell>
          <cell r="B981" t="str">
            <v>어우락 몽꾹_남성용</v>
          </cell>
        </row>
        <row r="982">
          <cell r="A982">
            <v>22326029</v>
          </cell>
          <cell r="B982" t="str">
            <v>쿠 훌린의 헬름_남성용</v>
          </cell>
        </row>
        <row r="983">
          <cell r="A983">
            <v>22326031</v>
          </cell>
          <cell r="B983" t="str">
            <v>코르노 델디아볼로_남성용</v>
          </cell>
        </row>
        <row r="984">
          <cell r="A984">
            <v>22326033</v>
          </cell>
          <cell r="B984" t="str">
            <v>네메안 라이언_남성용</v>
          </cell>
        </row>
        <row r="985">
          <cell r="A985">
            <v>22326035</v>
          </cell>
          <cell r="B985" t="str">
            <v>야른삭사의 헬름_남성용</v>
          </cell>
        </row>
        <row r="986">
          <cell r="A986">
            <v>22333001</v>
          </cell>
          <cell r="B986" t="str">
            <v>이츠나코치틀리</v>
          </cell>
        </row>
        <row r="987">
          <cell r="A987">
            <v>22333003</v>
          </cell>
          <cell r="B987" t="str">
            <v>데니지의 터번</v>
          </cell>
        </row>
        <row r="988">
          <cell r="A988">
            <v>22333005</v>
          </cell>
          <cell r="B988" t="str">
            <v>세르블리에르</v>
          </cell>
        </row>
        <row r="989">
          <cell r="A989">
            <v>22333007</v>
          </cell>
          <cell r="B989" t="str">
            <v>비위크 터번</v>
          </cell>
        </row>
        <row r="990">
          <cell r="A990">
            <v>22333009</v>
          </cell>
          <cell r="B990" t="str">
            <v>철기면갑</v>
          </cell>
        </row>
        <row r="991">
          <cell r="A991">
            <v>22333011</v>
          </cell>
          <cell r="B991" t="str">
            <v>샤무아 레더 햇</v>
          </cell>
        </row>
        <row r="992">
          <cell r="A992">
            <v>22333013</v>
          </cell>
          <cell r="B992" t="str">
            <v>와치맨의 헤드밴드</v>
          </cell>
        </row>
        <row r="993">
          <cell r="A993">
            <v>22333015</v>
          </cell>
          <cell r="B993" t="str">
            <v>벨벳 보닛</v>
          </cell>
        </row>
        <row r="994">
          <cell r="A994">
            <v>22333017</v>
          </cell>
          <cell r="B994" t="str">
            <v>스컬캡</v>
          </cell>
        </row>
        <row r="995">
          <cell r="A995">
            <v>22333019</v>
          </cell>
          <cell r="B995" t="str">
            <v>청색포면주</v>
          </cell>
        </row>
        <row r="996">
          <cell r="A996">
            <v>22333021</v>
          </cell>
          <cell r="B996" t="str">
            <v>보스탄츠의 뵈르크</v>
          </cell>
        </row>
        <row r="997">
          <cell r="A997">
            <v>22333023</v>
          </cell>
          <cell r="B997" t="str">
            <v>켄투리 갈레아</v>
          </cell>
        </row>
        <row r="998">
          <cell r="A998">
            <v>22333025</v>
          </cell>
          <cell r="B998" t="str">
            <v>정자관_남성용</v>
          </cell>
        </row>
        <row r="999">
          <cell r="A999">
            <v>22333026</v>
          </cell>
          <cell r="B999" t="str">
            <v>여어잠_여성용</v>
          </cell>
        </row>
        <row r="1000">
          <cell r="A1000">
            <v>22333027</v>
          </cell>
          <cell r="B1000" t="str">
            <v>가드맨 헬름</v>
          </cell>
        </row>
        <row r="1001">
          <cell r="A1001">
            <v>22333029</v>
          </cell>
          <cell r="B1001" t="str">
            <v>트라이콘</v>
          </cell>
        </row>
        <row r="1002">
          <cell r="A1002">
            <v>22333031</v>
          </cell>
          <cell r="B1002" t="str">
            <v>콰리의 야우투_남성용</v>
          </cell>
        </row>
        <row r="1003">
          <cell r="A1003">
            <v>22333032</v>
          </cell>
          <cell r="B1003" t="str">
            <v>와르미 몬테라_여성용</v>
          </cell>
        </row>
        <row r="1004">
          <cell r="A1004">
            <v>22333033</v>
          </cell>
          <cell r="B1004" t="str">
            <v>슬라빅 헬름</v>
          </cell>
        </row>
        <row r="1005">
          <cell r="A1005">
            <v>22333035</v>
          </cell>
          <cell r="B1005" t="str">
            <v>카울_남성용</v>
          </cell>
        </row>
        <row r="1006">
          <cell r="A1006">
            <v>22333036</v>
          </cell>
          <cell r="B1006" t="str">
            <v>윔플_여성용</v>
          </cell>
        </row>
        <row r="1007">
          <cell r="A1007">
            <v>22333037</v>
          </cell>
          <cell r="B1007" t="str">
            <v>가디언 헬름</v>
          </cell>
        </row>
        <row r="1008">
          <cell r="A1008">
            <v>22333039</v>
          </cell>
          <cell r="B1008" t="str">
            <v>사략 해적의 모자</v>
          </cell>
        </row>
        <row r="1009">
          <cell r="A1009">
            <v>22334001</v>
          </cell>
          <cell r="B1009" t="str">
            <v>페리위그 햇</v>
          </cell>
        </row>
        <row r="1010">
          <cell r="A1010">
            <v>22334003</v>
          </cell>
          <cell r="B1010" t="str">
            <v>카사도르의 플랫캡</v>
          </cell>
        </row>
        <row r="1011">
          <cell r="A1011">
            <v>22334005</v>
          </cell>
          <cell r="B1011" t="str">
            <v>근두</v>
          </cell>
        </row>
        <row r="1012">
          <cell r="A1012">
            <v>22334007</v>
          </cell>
          <cell r="B1012" t="str">
            <v>튜더 보닛</v>
          </cell>
        </row>
        <row r="1013">
          <cell r="A1013">
            <v>22334009</v>
          </cell>
          <cell r="B1013" t="str">
            <v>첨주</v>
          </cell>
        </row>
        <row r="1014">
          <cell r="A1014">
            <v>22334011</v>
          </cell>
          <cell r="B1014" t="str">
            <v>왕실 탐험가의 모자</v>
          </cell>
        </row>
        <row r="1015">
          <cell r="A1015">
            <v>22334013</v>
          </cell>
          <cell r="B1015" t="str">
            <v>터번 카스크_남성용</v>
          </cell>
        </row>
        <row r="1016">
          <cell r="A1016">
            <v>22334014</v>
          </cell>
          <cell r="B1016" t="str">
            <v>추축 상굴_여성용</v>
          </cell>
        </row>
        <row r="1017">
          <cell r="A1017">
            <v>22334015</v>
          </cell>
          <cell r="B1017" t="str">
            <v>슬라우치 햇</v>
          </cell>
        </row>
        <row r="1018">
          <cell r="A1018">
            <v>22334017</v>
          </cell>
          <cell r="B1018" t="str">
            <v>카르산의 트라이콘</v>
          </cell>
        </row>
        <row r="1019">
          <cell r="A1019">
            <v>22334019</v>
          </cell>
          <cell r="B1019" t="str">
            <v>어린주</v>
          </cell>
        </row>
        <row r="1020">
          <cell r="A1020">
            <v>22334021</v>
          </cell>
          <cell r="B1020" t="str">
            <v>제독의 바이콘</v>
          </cell>
        </row>
        <row r="1021">
          <cell r="A1021">
            <v>22334023</v>
          </cell>
          <cell r="B1021" t="str">
            <v>호국두무</v>
          </cell>
        </row>
        <row r="1022">
          <cell r="A1022">
            <v>22334025</v>
          </cell>
          <cell r="B1022" t="str">
            <v>쥬케토</v>
          </cell>
        </row>
        <row r="1023">
          <cell r="A1023">
            <v>22334027</v>
          </cell>
          <cell r="B1023" t="str">
            <v>익스큐셔너 헬름</v>
          </cell>
        </row>
        <row r="1024">
          <cell r="A1024">
            <v>22334029</v>
          </cell>
          <cell r="B1024" t="str">
            <v>우단전립</v>
          </cell>
        </row>
        <row r="1025">
          <cell r="A1025">
            <v>22334031</v>
          </cell>
          <cell r="B1025" t="str">
            <v>나르시스의 서클릿</v>
          </cell>
        </row>
        <row r="1026">
          <cell r="A1026">
            <v>22334033</v>
          </cell>
          <cell r="B1026" t="str">
            <v>요정의 투구</v>
          </cell>
        </row>
        <row r="1027">
          <cell r="A1027">
            <v>22334035</v>
          </cell>
          <cell r="B1027" t="str">
            <v>롤프가의 보닛_남성용</v>
          </cell>
        </row>
        <row r="1028">
          <cell r="A1028">
            <v>22334036</v>
          </cell>
          <cell r="B1028" t="str">
            <v>마토아카의 머리 장식_여성용</v>
          </cell>
        </row>
        <row r="1029">
          <cell r="A1029">
            <v>22334037</v>
          </cell>
          <cell r="B1029" t="str">
            <v>페르난도의 모자</v>
          </cell>
        </row>
        <row r="1030">
          <cell r="A1030">
            <v>22334039</v>
          </cell>
          <cell r="B1030" t="str">
            <v>명조 사모_남성용</v>
          </cell>
        </row>
        <row r="1031">
          <cell r="A1031">
            <v>22334040</v>
          </cell>
          <cell r="B1031" t="str">
            <v>엔데룬 터번_여성용</v>
          </cell>
        </row>
        <row r="1032">
          <cell r="A1032">
            <v>22335001</v>
          </cell>
          <cell r="B1032" t="str">
            <v>융복복건</v>
          </cell>
        </row>
        <row r="1033">
          <cell r="A1033">
            <v>22335003</v>
          </cell>
          <cell r="B1033" t="str">
            <v>검호의 심편립</v>
          </cell>
        </row>
        <row r="1034">
          <cell r="A1034">
            <v>22335005</v>
          </cell>
          <cell r="B1034" t="str">
            <v>콘도티에로의 엘모</v>
          </cell>
        </row>
        <row r="1035">
          <cell r="A1035">
            <v>22335007</v>
          </cell>
          <cell r="B1035" t="str">
            <v>참회왕의 크라운_남성용</v>
          </cell>
        </row>
        <row r="1036">
          <cell r="A1036">
            <v>22335009</v>
          </cell>
          <cell r="B1036" t="str">
            <v>반투간의 쿠피야_남성용</v>
          </cell>
        </row>
        <row r="1037">
          <cell r="A1037">
            <v>22335010</v>
          </cell>
          <cell r="B1037" t="str">
            <v>엘 레이 헬름_여성용</v>
          </cell>
        </row>
        <row r="1038">
          <cell r="A1038">
            <v>22335011</v>
          </cell>
          <cell r="B1038" t="str">
            <v>베이릭의 보크_남성용</v>
          </cell>
        </row>
        <row r="1039">
          <cell r="A1039">
            <v>22335013</v>
          </cell>
          <cell r="B1039" t="str">
            <v>후사르의 샤코</v>
          </cell>
        </row>
        <row r="1040">
          <cell r="A1040">
            <v>22335015</v>
          </cell>
          <cell r="B1040" t="str">
            <v>바니르 서클릿</v>
          </cell>
        </row>
        <row r="1041">
          <cell r="A1041">
            <v>22335017</v>
          </cell>
          <cell r="B1041" t="str">
            <v>내금위장의 주립</v>
          </cell>
        </row>
        <row r="1042">
          <cell r="A1042">
            <v>22335019</v>
          </cell>
          <cell r="B1042" t="str">
            <v>아킬레우스의 투구</v>
          </cell>
        </row>
        <row r="1043">
          <cell r="A1043">
            <v>22335021</v>
          </cell>
          <cell r="B1043" t="str">
            <v>신기영철모</v>
          </cell>
        </row>
        <row r="1044">
          <cell r="A1044">
            <v>22335023</v>
          </cell>
          <cell r="B1044" t="str">
            <v>틀링기트 헬름_남성용</v>
          </cell>
        </row>
        <row r="1045">
          <cell r="A1045">
            <v>22335025</v>
          </cell>
          <cell r="B1045" t="str">
            <v>난발두_남성용</v>
          </cell>
        </row>
        <row r="1046">
          <cell r="A1046">
            <v>22335027</v>
          </cell>
          <cell r="B1046" t="str">
            <v>노블레스 헬름_남성용</v>
          </cell>
        </row>
        <row r="1047">
          <cell r="A1047">
            <v>22335029</v>
          </cell>
          <cell r="B1047" t="str">
            <v>타키티무 마스크_남성용</v>
          </cell>
        </row>
        <row r="1048">
          <cell r="A1048">
            <v>22335031</v>
          </cell>
          <cell r="B1048" t="str">
            <v>카누니의 터번_남성용</v>
          </cell>
        </row>
        <row r="1049">
          <cell r="A1049">
            <v>22335032</v>
          </cell>
          <cell r="B1049" t="str">
            <v>귈바하르의 보크_여성용</v>
          </cell>
        </row>
        <row r="1050">
          <cell r="A1050">
            <v>22335033</v>
          </cell>
          <cell r="B1050" t="str">
            <v>봉황문두무_남성용</v>
          </cell>
        </row>
        <row r="1051">
          <cell r="A1051">
            <v>22335035</v>
          </cell>
          <cell r="B1051" t="str">
            <v>음봄보의 선물_남성용</v>
          </cell>
        </row>
        <row r="1052">
          <cell r="A1052">
            <v>22335037</v>
          </cell>
          <cell r="B1052" t="str">
            <v>틀라토아니 콰칼라래틀리_남성용</v>
          </cell>
        </row>
        <row r="1053">
          <cell r="A1053">
            <v>22335038</v>
          </cell>
          <cell r="B1053" t="str">
            <v>시와틀라토아니 콰칼라래틀리_여성용</v>
          </cell>
        </row>
        <row r="1054">
          <cell r="A1054">
            <v>22335039</v>
          </cell>
          <cell r="B1054" t="str">
            <v>비장군의 결건_남성용</v>
          </cell>
        </row>
        <row r="1055">
          <cell r="A1055">
            <v>22336001</v>
          </cell>
          <cell r="B1055" t="str">
            <v>오군의 이보리_남성용</v>
          </cell>
        </row>
        <row r="1056">
          <cell r="A1056">
            <v>22336003</v>
          </cell>
          <cell r="B1056" t="str">
            <v>아시리아 미트라_남성용</v>
          </cell>
        </row>
        <row r="1057">
          <cell r="A1057">
            <v>22336005</v>
          </cell>
          <cell r="B1057" t="str">
            <v>레오나르도의 헬름_남성용</v>
          </cell>
        </row>
        <row r="1058">
          <cell r="A1058">
            <v>22336007</v>
          </cell>
          <cell r="B1058" t="str">
            <v>라술룰라의 터번_남성용</v>
          </cell>
        </row>
        <row r="1059">
          <cell r="A1059">
            <v>22336009</v>
          </cell>
          <cell r="B1059" t="str">
            <v>용봉문투구_남성용</v>
          </cell>
        </row>
        <row r="1060">
          <cell r="A1060">
            <v>22336011</v>
          </cell>
          <cell r="B1060" t="str">
            <v>마레샬의 바이콘_남성용</v>
          </cell>
        </row>
        <row r="1061">
          <cell r="A1061">
            <v>22336013</v>
          </cell>
          <cell r="B1061" t="str">
            <v>니자므 제디드의 터번_남성용</v>
          </cell>
        </row>
        <row r="1062">
          <cell r="A1062">
            <v>22336015</v>
          </cell>
          <cell r="B1062" t="str">
            <v>대월 황제의 익선관_남성용</v>
          </cell>
        </row>
        <row r="1063">
          <cell r="A1063">
            <v>22336017</v>
          </cell>
          <cell r="B1063" t="str">
            <v>삼절 흑립_남성용</v>
          </cell>
        </row>
        <row r="1064">
          <cell r="A1064">
            <v>22336018</v>
          </cell>
          <cell r="B1064" t="str">
            <v>삼절 남바위_여성용</v>
          </cell>
        </row>
        <row r="1065">
          <cell r="A1065">
            <v>22336019</v>
          </cell>
          <cell r="B1065" t="str">
            <v>데르비쇼 바가라 쿠우다_남성용</v>
          </cell>
        </row>
        <row r="1066">
          <cell r="A1066">
            <v>22336021</v>
          </cell>
          <cell r="B1066" t="str">
            <v>드라군 헬멧_남성용</v>
          </cell>
        </row>
        <row r="1067">
          <cell r="A1067">
            <v>22336023</v>
          </cell>
          <cell r="B1067" t="str">
            <v>카라키아 포타에_남성용</v>
          </cell>
        </row>
        <row r="1068">
          <cell r="A1068">
            <v>22336025</v>
          </cell>
          <cell r="B1068" t="str">
            <v>인티 라우투_남성용</v>
          </cell>
        </row>
        <row r="1069">
          <cell r="A1069">
            <v>22336027</v>
          </cell>
          <cell r="B1069" t="str">
            <v>비라코챠의 추쿠_남성용</v>
          </cell>
        </row>
        <row r="1070">
          <cell r="A1070">
            <v>22336029</v>
          </cell>
          <cell r="B1070" t="str">
            <v>투탕카멘의 마스크_남성용</v>
          </cell>
        </row>
        <row r="1071">
          <cell r="A1071">
            <v>22336031</v>
          </cell>
          <cell r="B1071" t="str">
            <v>데가나위다의 구스토웨_남성용</v>
          </cell>
        </row>
        <row r="1072">
          <cell r="A1072">
            <v>22336033</v>
          </cell>
          <cell r="B1072" t="str">
            <v>군신두무_남성용</v>
          </cell>
        </row>
        <row r="1073">
          <cell r="A1073">
            <v>22336035</v>
          </cell>
          <cell r="B1073" t="str">
            <v>팔괘자수선건_남성용</v>
          </cell>
        </row>
        <row r="1074">
          <cell r="A1074">
            <v>22336037</v>
          </cell>
          <cell r="B1074" t="str">
            <v>에인헤리 헬름_남성용</v>
          </cell>
        </row>
        <row r="1075">
          <cell r="A1075">
            <v>22336038</v>
          </cell>
          <cell r="B1075" t="str">
            <v>발키리의 날개 투구_여성용</v>
          </cell>
        </row>
        <row r="1076">
          <cell r="A1076">
            <v>22336039</v>
          </cell>
          <cell r="B1076" t="str">
            <v>예모자의 이데리_남성용</v>
          </cell>
        </row>
        <row r="1077">
          <cell r="A1077">
            <v>22336041</v>
          </cell>
          <cell r="B1077" t="str">
            <v>트리스탄의 서클릿_남성용</v>
          </cell>
        </row>
        <row r="1078">
          <cell r="A1078">
            <v>22336042</v>
          </cell>
          <cell r="B1078" t="str">
            <v>이졸데의 서클릿_여성용</v>
          </cell>
        </row>
        <row r="1079">
          <cell r="A1079">
            <v>22336043</v>
          </cell>
          <cell r="B1079" t="str">
            <v>시아 터번_남성용</v>
          </cell>
        </row>
        <row r="1080">
          <cell r="A1080">
            <v>22343001</v>
          </cell>
          <cell r="B1080" t="str">
            <v>마세우알틴의 툭틀리</v>
          </cell>
        </row>
        <row r="1081">
          <cell r="A1081">
            <v>22343003</v>
          </cell>
          <cell r="B1081" t="str">
            <v>레더 후드_남성용</v>
          </cell>
        </row>
        <row r="1082">
          <cell r="A1082">
            <v>22343004</v>
          </cell>
          <cell r="B1082" t="str">
            <v>리넨 후드_여성용</v>
          </cell>
        </row>
        <row r="1083">
          <cell r="A1083">
            <v>22343005</v>
          </cell>
          <cell r="B1083" t="str">
            <v>보닛</v>
          </cell>
        </row>
        <row r="1084">
          <cell r="A1084">
            <v>22343007</v>
          </cell>
          <cell r="B1084" t="str">
            <v>콩키스타도르의 모리온</v>
          </cell>
        </row>
        <row r="1085">
          <cell r="A1085">
            <v>22343009</v>
          </cell>
          <cell r="B1085" t="str">
            <v>레기오나리우스의 갈레아</v>
          </cell>
        </row>
        <row r="1086">
          <cell r="A1086">
            <v>22343011</v>
          </cell>
          <cell r="B1086" t="str">
            <v>교역상의 햇</v>
          </cell>
        </row>
        <row r="1087">
          <cell r="A1087">
            <v>22343013</v>
          </cell>
          <cell r="B1087" t="str">
            <v>페즈_남성용</v>
          </cell>
        </row>
        <row r="1088">
          <cell r="A1088">
            <v>22343014</v>
          </cell>
          <cell r="B1088" t="str">
            <v>수녀의 베일_여성용</v>
          </cell>
        </row>
        <row r="1089">
          <cell r="A1089">
            <v>22343015</v>
          </cell>
          <cell r="B1089" t="str">
            <v>펠트 베레</v>
          </cell>
        </row>
        <row r="1090">
          <cell r="A1090">
            <v>22343017</v>
          </cell>
          <cell r="B1090" t="str">
            <v>아벤테일</v>
          </cell>
        </row>
        <row r="1091">
          <cell r="A1091">
            <v>22343019</v>
          </cell>
          <cell r="B1091" t="str">
            <v>샤포 아 베크</v>
          </cell>
        </row>
        <row r="1092">
          <cell r="A1092">
            <v>22343021</v>
          </cell>
          <cell r="B1092" t="str">
            <v>항해사의 햇</v>
          </cell>
        </row>
        <row r="1093">
          <cell r="A1093">
            <v>22343023</v>
          </cell>
          <cell r="B1093" t="str">
            <v>쿨라 쿠드</v>
          </cell>
        </row>
        <row r="1094">
          <cell r="A1094">
            <v>22343025</v>
          </cell>
          <cell r="B1094" t="str">
            <v>헌터 헤드밴드</v>
          </cell>
        </row>
        <row r="1095">
          <cell r="A1095">
            <v>22343027</v>
          </cell>
          <cell r="B1095" t="str">
            <v>용병의 헬름</v>
          </cell>
        </row>
        <row r="1096">
          <cell r="A1096">
            <v>22343029</v>
          </cell>
          <cell r="B1096" t="str">
            <v>플레이트 아멧</v>
          </cell>
        </row>
        <row r="1097">
          <cell r="A1097">
            <v>22343031</v>
          </cell>
          <cell r="B1097" t="str">
            <v>바이코켓</v>
          </cell>
        </row>
        <row r="1098">
          <cell r="A1098">
            <v>22343033</v>
          </cell>
          <cell r="B1098" t="str">
            <v>장인의 레더 헬멧</v>
          </cell>
        </row>
        <row r="1099">
          <cell r="A1099">
            <v>22343035</v>
          </cell>
          <cell r="B1099" t="str">
            <v>잉카 야우투_남성용</v>
          </cell>
        </row>
        <row r="1100">
          <cell r="A1100">
            <v>22343036</v>
          </cell>
          <cell r="B1100" t="str">
            <v>잉카 몬테라_여성용</v>
          </cell>
        </row>
        <row r="1101">
          <cell r="A1101">
            <v>22343037</v>
          </cell>
          <cell r="B1101" t="str">
            <v>드라군 헬름</v>
          </cell>
        </row>
        <row r="1102">
          <cell r="A1102">
            <v>22343039</v>
          </cell>
          <cell r="B1102" t="str">
            <v>훈장모_남성용</v>
          </cell>
        </row>
        <row r="1103">
          <cell r="A1103">
            <v>22343040</v>
          </cell>
          <cell r="B1103" t="str">
            <v>금제발잠_여성용</v>
          </cell>
        </row>
        <row r="1104">
          <cell r="A1104">
            <v>22344001</v>
          </cell>
          <cell r="B1104" t="str">
            <v>주항자의 후드</v>
          </cell>
        </row>
        <row r="1105">
          <cell r="A1105">
            <v>22344003</v>
          </cell>
          <cell r="B1105" t="str">
            <v>스콜라 캡_남성용</v>
          </cell>
        </row>
        <row r="1106">
          <cell r="A1106">
            <v>22344004</v>
          </cell>
          <cell r="B1106" t="str">
            <v>장금의 가리마_여성용</v>
          </cell>
        </row>
        <row r="1107">
          <cell r="A1107">
            <v>22344005</v>
          </cell>
          <cell r="B1107" t="str">
            <v>벨벳 콕트 햇</v>
          </cell>
        </row>
        <row r="1108">
          <cell r="A1108">
            <v>22344007</v>
          </cell>
          <cell r="B1108" t="str">
            <v>킵차크 투구</v>
          </cell>
        </row>
        <row r="1109">
          <cell r="A1109">
            <v>22344009</v>
          </cell>
          <cell r="B1109" t="str">
            <v>알렉산더 대왕의 투구</v>
          </cell>
        </row>
        <row r="1110">
          <cell r="A1110">
            <v>22344011</v>
          </cell>
          <cell r="B1110" t="str">
            <v>샤프롱_남성용</v>
          </cell>
        </row>
        <row r="1111">
          <cell r="A1111">
            <v>22344012</v>
          </cell>
          <cell r="B1111" t="str">
            <v>레겐트 코로나_여성용</v>
          </cell>
        </row>
        <row r="1112">
          <cell r="A1112">
            <v>22344013</v>
          </cell>
          <cell r="B1112" t="str">
            <v>파그리_남성용</v>
          </cell>
        </row>
        <row r="1113">
          <cell r="A1113">
            <v>22344014</v>
          </cell>
          <cell r="B1113" t="str">
            <v>사파비 터번_여성용</v>
          </cell>
        </row>
        <row r="1114">
          <cell r="A1114">
            <v>22344015</v>
          </cell>
          <cell r="B1114" t="str">
            <v>젠틀맨 바이콘</v>
          </cell>
        </row>
        <row r="1115">
          <cell r="A1115">
            <v>22344017</v>
          </cell>
          <cell r="B1115" t="str">
            <v>에롤즈 헬름</v>
          </cell>
        </row>
        <row r="1116">
          <cell r="A1116">
            <v>22344019</v>
          </cell>
          <cell r="B1116" t="str">
            <v>토마스의 탑 햇_남성용</v>
          </cell>
        </row>
        <row r="1117">
          <cell r="A1117">
            <v>22344020</v>
          </cell>
          <cell r="B1117" t="str">
            <v>미트라_여성용</v>
          </cell>
        </row>
        <row r="1118">
          <cell r="A1118">
            <v>22344021</v>
          </cell>
          <cell r="B1118" t="str">
            <v>아라비안 터번_남성용</v>
          </cell>
        </row>
        <row r="1119">
          <cell r="A1119">
            <v>22344022</v>
          </cell>
          <cell r="B1119" t="str">
            <v>아라비아 비단 베일_여성용</v>
          </cell>
        </row>
        <row r="1120">
          <cell r="A1120">
            <v>22344023</v>
          </cell>
          <cell r="B1120" t="str">
            <v>알튼 미페르</v>
          </cell>
        </row>
        <row r="1121">
          <cell r="A1121">
            <v>22344025</v>
          </cell>
          <cell r="B1121" t="str">
            <v>용병 단장의 헬름</v>
          </cell>
        </row>
        <row r="1122">
          <cell r="A1122">
            <v>22344027</v>
          </cell>
          <cell r="B1122" t="str">
            <v>브림 햇</v>
          </cell>
        </row>
        <row r="1123">
          <cell r="A1123">
            <v>22344029</v>
          </cell>
          <cell r="B1123" t="str">
            <v>골드 플레이트 아멧</v>
          </cell>
        </row>
        <row r="1124">
          <cell r="A1124">
            <v>22344031</v>
          </cell>
          <cell r="B1124" t="str">
            <v>앙상블 햇</v>
          </cell>
        </row>
        <row r="1125">
          <cell r="A1125">
            <v>22344033</v>
          </cell>
          <cell r="B1125" t="str">
            <v>영사의 바이콘</v>
          </cell>
        </row>
        <row r="1126">
          <cell r="A1126">
            <v>22344035</v>
          </cell>
          <cell r="B1126" t="str">
            <v>페타_남성용</v>
          </cell>
        </row>
        <row r="1127">
          <cell r="A1127">
            <v>22344036</v>
          </cell>
          <cell r="B1127" t="str">
            <v>마앙 티카_여성용</v>
          </cell>
        </row>
        <row r="1128">
          <cell r="A1128">
            <v>22344037</v>
          </cell>
          <cell r="B1128" t="str">
            <v>로키의 투구</v>
          </cell>
        </row>
        <row r="1129">
          <cell r="A1129">
            <v>22344039</v>
          </cell>
          <cell r="B1129" t="str">
            <v>거상의 흑립_남성용</v>
          </cell>
        </row>
        <row r="1130">
          <cell r="A1130">
            <v>22344040</v>
          </cell>
          <cell r="B1130" t="str">
            <v>명월 전모_여성용</v>
          </cell>
        </row>
        <row r="1131">
          <cell r="A1131">
            <v>22344041</v>
          </cell>
          <cell r="B1131" t="str">
            <v>르네상스 샤포_남성용</v>
          </cell>
        </row>
        <row r="1132">
          <cell r="A1132">
            <v>22344042</v>
          </cell>
          <cell r="B1132" t="str">
            <v>르네상스 샤포_여성용</v>
          </cell>
        </row>
        <row r="1133">
          <cell r="A1133">
            <v>22344043</v>
          </cell>
          <cell r="B1133" t="str">
            <v>로빈 후드의 바이코켓_남성용</v>
          </cell>
        </row>
        <row r="1134">
          <cell r="A1134">
            <v>22345001</v>
          </cell>
          <cell r="B1134" t="str">
            <v>욤스바이킹 헬름</v>
          </cell>
        </row>
        <row r="1135">
          <cell r="A1135">
            <v>22345003</v>
          </cell>
          <cell r="B1135" t="str">
            <v>엘리멘탈 후드</v>
          </cell>
        </row>
        <row r="1136">
          <cell r="A1136">
            <v>22345005</v>
          </cell>
          <cell r="B1136" t="str">
            <v>금상화복건</v>
          </cell>
        </row>
        <row r="1137">
          <cell r="A1137">
            <v>22345007</v>
          </cell>
          <cell r="B1137" t="str">
            <v>로얄 플레이트 헬름_남성용</v>
          </cell>
        </row>
        <row r="1138">
          <cell r="A1138">
            <v>22345009</v>
          </cell>
          <cell r="B1138" t="str">
            <v>만샵다르의 쿠드</v>
          </cell>
        </row>
        <row r="1139">
          <cell r="A1139">
            <v>22345010</v>
          </cell>
          <cell r="B1139" t="str">
            <v>만샵다르의 쿠드_여성용</v>
          </cell>
        </row>
        <row r="1140">
          <cell r="A1140">
            <v>22345011</v>
          </cell>
          <cell r="B1140" t="str">
            <v>조조의 금관_남성용</v>
          </cell>
        </row>
        <row r="1141">
          <cell r="A1141">
            <v>22345013</v>
          </cell>
          <cell r="B1141" t="str">
            <v>팰리스 펠트 햇_남성용</v>
          </cell>
        </row>
        <row r="1142">
          <cell r="A1142">
            <v>22345014</v>
          </cell>
          <cell r="B1142" t="str">
            <v>팰리스 크라운_여성용</v>
          </cell>
        </row>
        <row r="1143">
          <cell r="A1143">
            <v>22345015</v>
          </cell>
          <cell r="B1143" t="str">
            <v>바르바로사의 터번</v>
          </cell>
        </row>
        <row r="1144">
          <cell r="A1144">
            <v>22345017</v>
          </cell>
          <cell r="B1144" t="str">
            <v>무흐테솀 터번_남성용</v>
          </cell>
        </row>
        <row r="1145">
          <cell r="A1145">
            <v>22345019</v>
          </cell>
          <cell r="B1145" t="str">
            <v>로럴 리스</v>
          </cell>
        </row>
        <row r="1146">
          <cell r="A1146">
            <v>22345021</v>
          </cell>
          <cell r="B1146" t="str">
            <v>워 보닛_남성용</v>
          </cell>
        </row>
        <row r="1147">
          <cell r="A1147">
            <v>22345023</v>
          </cell>
          <cell r="B1147" t="str">
            <v>시쐬르 카스크_남성용</v>
          </cell>
        </row>
        <row r="1148">
          <cell r="A1148">
            <v>22345025</v>
          </cell>
          <cell r="B1148" t="str">
            <v>키리바시 헬름_남성용</v>
          </cell>
        </row>
        <row r="1149">
          <cell r="A1149">
            <v>22345027</v>
          </cell>
          <cell r="B1149" t="str">
            <v>해적 선장의 바이콘_남성용</v>
          </cell>
        </row>
        <row r="1150">
          <cell r="A1150">
            <v>22345029</v>
          </cell>
          <cell r="B1150" t="str">
            <v>우마 추쿠</v>
          </cell>
        </row>
        <row r="1151">
          <cell r="A1151">
            <v>22345031</v>
          </cell>
          <cell r="B1151" t="str">
            <v>파비앙 텡콜록_남성용</v>
          </cell>
        </row>
        <row r="1152">
          <cell r="A1152">
            <v>22345032</v>
          </cell>
          <cell r="B1152" t="str">
            <v>파비앙 텡쿨룩 탄둑_여성용</v>
          </cell>
        </row>
        <row r="1153">
          <cell r="A1153">
            <v>22345033</v>
          </cell>
          <cell r="B1153" t="str">
            <v>이마지겐족의 알라쇼_남성용</v>
          </cell>
        </row>
        <row r="1154">
          <cell r="A1154">
            <v>22345035</v>
          </cell>
          <cell r="B1154" t="str">
            <v>파디샤의 터번</v>
          </cell>
        </row>
        <row r="1155">
          <cell r="A1155">
            <v>22346001</v>
          </cell>
          <cell r="B1155" t="str">
            <v>가루다 톱_남성용</v>
          </cell>
        </row>
        <row r="1156">
          <cell r="A1156">
            <v>22346003</v>
          </cell>
          <cell r="B1156" t="str">
            <v>옥산진인 법보_남성용</v>
          </cell>
        </row>
        <row r="1157">
          <cell r="A1157">
            <v>22346005</v>
          </cell>
          <cell r="B1157" t="str">
            <v>야타가라스 일문자립_남성용</v>
          </cell>
        </row>
        <row r="1158">
          <cell r="A1158">
            <v>22346007</v>
          </cell>
          <cell r="B1158" t="str">
            <v>미다스왕의 크라노스_남성용</v>
          </cell>
        </row>
        <row r="1159">
          <cell r="A1159">
            <v>22346009</v>
          </cell>
          <cell r="B1159" t="str">
            <v>라바나 무쿼다_남성용</v>
          </cell>
        </row>
        <row r="1160">
          <cell r="A1160">
            <v>22346011</v>
          </cell>
          <cell r="B1160" t="str">
            <v>살라딘의 터번 카스크_남성용</v>
          </cell>
        </row>
        <row r="1161">
          <cell r="A1161">
            <v>22346013</v>
          </cell>
          <cell r="B1161" t="str">
            <v>쿠나슨 퀴나온_남성용</v>
          </cell>
        </row>
        <row r="1162">
          <cell r="A1162">
            <v>22346015</v>
          </cell>
          <cell r="B1162" t="str">
            <v>라마찬드라의 타즈_남성용</v>
          </cell>
        </row>
        <row r="1163">
          <cell r="A1163">
            <v>22346017</v>
          </cell>
          <cell r="B1163" t="str">
            <v>크라운 오브 레갈리아_남성용</v>
          </cell>
        </row>
        <row r="1164">
          <cell r="A1164">
            <v>22346019</v>
          </cell>
          <cell r="B1164" t="str">
            <v>제갈건_남성용</v>
          </cell>
        </row>
        <row r="1165">
          <cell r="A1165">
            <v>22346020</v>
          </cell>
          <cell r="B1165" t="str">
            <v>월영면포_여성용</v>
          </cell>
        </row>
        <row r="1166">
          <cell r="A1166">
            <v>22346021</v>
          </cell>
          <cell r="B1166" t="str">
            <v>바루나의 타즈_남성용</v>
          </cell>
        </row>
        <row r="1167">
          <cell r="A1167">
            <v>22346023</v>
          </cell>
          <cell r="B1167" t="str">
            <v>게오르기우스의 헬름_남성용</v>
          </cell>
        </row>
        <row r="1168">
          <cell r="A1168">
            <v>22346025</v>
          </cell>
          <cell r="B1168" t="str">
            <v>나바카이 헬름_남성용</v>
          </cell>
        </row>
        <row r="1169">
          <cell r="A1169">
            <v>22346027</v>
          </cell>
          <cell r="B1169" t="str">
            <v>아라미스의 샤포_남성용</v>
          </cell>
        </row>
        <row r="1170">
          <cell r="A1170">
            <v>22346029</v>
          </cell>
          <cell r="B1170" t="str">
            <v>자비단의 쿨라 쿠드_남성용</v>
          </cell>
        </row>
        <row r="1171">
          <cell r="A1171">
            <v>22346031</v>
          </cell>
          <cell r="B1171" t="str">
            <v>바쿠나와 무카_남성용</v>
          </cell>
        </row>
        <row r="1172">
          <cell r="A1172">
            <v>22346033</v>
          </cell>
          <cell r="B1172" t="str">
            <v>포세이돈의 크라운_남성용</v>
          </cell>
        </row>
        <row r="1173">
          <cell r="A1173">
            <v>22346035</v>
          </cell>
          <cell r="B1173" t="str">
            <v>메두사의 벨로_남성용</v>
          </cell>
        </row>
        <row r="1174">
          <cell r="A1174">
            <v>22353001</v>
          </cell>
          <cell r="B1174" t="str">
            <v>명조 관모</v>
          </cell>
        </row>
        <row r="1175">
          <cell r="A1175">
            <v>22353003</v>
          </cell>
          <cell r="B1175" t="str">
            <v>오토미 이츠나코치틀리</v>
          </cell>
        </row>
        <row r="1176">
          <cell r="A1176">
            <v>22364006</v>
          </cell>
          <cell r="B1176" t="str">
            <v>보육원장의 터번</v>
          </cell>
        </row>
        <row r="1177">
          <cell r="A1177">
            <v>22364014</v>
          </cell>
          <cell r="B1177" t="str">
            <v>정성공의 투구</v>
          </cell>
        </row>
        <row r="1178">
          <cell r="A1178">
            <v>22364023</v>
          </cell>
          <cell r="B1178" t="str">
            <v>고귀한 복수자의 두건</v>
          </cell>
        </row>
        <row r="1179">
          <cell r="A1179">
            <v>22364025</v>
          </cell>
          <cell r="B1179" t="str">
            <v>대해적의 트라이콘</v>
          </cell>
        </row>
        <row r="1180">
          <cell r="A1180">
            <v>22364801</v>
          </cell>
          <cell r="B1180" t="str">
            <v>불멸의 해적단 전투모</v>
          </cell>
        </row>
        <row r="1181">
          <cell r="A1181">
            <v>22364802</v>
          </cell>
          <cell r="B1181" t="str">
            <v>불멸의 해적단 탑햇_여성용</v>
          </cell>
        </row>
        <row r="1182">
          <cell r="A1182">
            <v>22364803</v>
          </cell>
          <cell r="B1182" t="str">
            <v>환상 섬의 모자</v>
          </cell>
        </row>
        <row r="1183">
          <cell r="A1183">
            <v>22364804</v>
          </cell>
          <cell r="B1183" t="str">
            <v>환상 섬의 고깔모_여성용</v>
          </cell>
        </row>
        <row r="1184">
          <cell r="A1184">
            <v>22364805</v>
          </cell>
          <cell r="B1184" t="str">
            <v>바다 기사단 단장모</v>
          </cell>
        </row>
        <row r="1185">
          <cell r="A1185">
            <v>22364806</v>
          </cell>
          <cell r="B1185" t="str">
            <v>바다 기사단 간부모_여성용</v>
          </cell>
        </row>
        <row r="1186">
          <cell r="A1186">
            <v>22364807</v>
          </cell>
          <cell r="B1186" t="str">
            <v>비술의 선장모_남성용</v>
          </cell>
        </row>
        <row r="1187">
          <cell r="A1187">
            <v>22364808</v>
          </cell>
          <cell r="B1187" t="str">
            <v>비술의 항해사모_여성용</v>
          </cell>
        </row>
        <row r="1188">
          <cell r="A1188">
            <v>22364809</v>
          </cell>
          <cell r="B1188" t="str">
            <v>황금 염소의 털모자_남성용</v>
          </cell>
        </row>
        <row r="1189">
          <cell r="A1189">
            <v>22364810</v>
          </cell>
          <cell r="B1189" t="str">
            <v>붉은 망토의 털모자_여성용</v>
          </cell>
        </row>
        <row r="1190">
          <cell r="A1190">
            <v>22371001</v>
          </cell>
          <cell r="B1190" t="str">
            <v>신기한 투구 장식</v>
          </cell>
        </row>
        <row r="1191">
          <cell r="A1191">
            <v>22372001</v>
          </cell>
          <cell r="B1191" t="str">
            <v>검투사의 투구</v>
          </cell>
        </row>
        <row r="1192">
          <cell r="A1192">
            <v>22372003</v>
          </cell>
          <cell r="B1192" t="str">
            <v>전립</v>
          </cell>
        </row>
        <row r="1193">
          <cell r="A1193">
            <v>22372005</v>
          </cell>
          <cell r="B1193" t="str">
            <v>수습 대장장이의 투구</v>
          </cell>
        </row>
        <row r="1194">
          <cell r="A1194">
            <v>22373001</v>
          </cell>
          <cell r="B1194" t="str">
            <v>롤로의 투구</v>
          </cell>
        </row>
        <row r="1195">
          <cell r="A1195">
            <v>22373003</v>
          </cell>
          <cell r="B1195" t="str">
            <v>스키피오의 투구</v>
          </cell>
        </row>
        <row r="1196">
          <cell r="A1196">
            <v>22373005</v>
          </cell>
          <cell r="B1196" t="str">
            <v>신라 금관</v>
          </cell>
        </row>
        <row r="1197">
          <cell r="A1197">
            <v>22373007</v>
          </cell>
          <cell r="B1197" t="str">
            <v>아스맛족 머리 장식</v>
          </cell>
        </row>
        <row r="1198">
          <cell r="A1198">
            <v>22373009</v>
          </cell>
          <cell r="B1198" t="str">
            <v>카를대제의 왕관</v>
          </cell>
        </row>
        <row r="1199">
          <cell r="A1199">
            <v>22373011</v>
          </cell>
          <cell r="B1199" t="str">
            <v>아우렐리아누스의 투구</v>
          </cell>
        </row>
        <row r="1200">
          <cell r="A1200">
            <v>22373013</v>
          </cell>
          <cell r="B1200" t="str">
            <v>빙하 선단의 투구</v>
          </cell>
        </row>
        <row r="1201">
          <cell r="A1201">
            <v>22373015</v>
          </cell>
          <cell r="B1201" t="str">
            <v>붉은 산호섬의 보호구</v>
          </cell>
        </row>
        <row r="1202">
          <cell r="A1202">
            <v>22373017</v>
          </cell>
          <cell r="B1202" t="str">
            <v>상단 연합의 두건</v>
          </cell>
        </row>
        <row r="1203">
          <cell r="A1203">
            <v>22374001</v>
          </cell>
          <cell r="B1203" t="str">
            <v>샤르카의 머리 장식</v>
          </cell>
        </row>
        <row r="1204">
          <cell r="A1204">
            <v>22374003</v>
          </cell>
          <cell r="B1204" t="str">
            <v>북해 연합의 투구</v>
          </cell>
        </row>
        <row r="1205">
          <cell r="A1205">
            <v>22374005</v>
          </cell>
          <cell r="B1205" t="str">
            <v>진주섬의 투구</v>
          </cell>
        </row>
        <row r="1206">
          <cell r="A1206">
            <v>22374007</v>
          </cell>
          <cell r="B1206" t="str">
            <v>폭풍 선단의 두건</v>
          </cell>
        </row>
        <row r="1207">
          <cell r="A1207">
            <v>22375001</v>
          </cell>
          <cell r="B1207" t="str">
            <v>다리우스 1세의 투구</v>
          </cell>
        </row>
        <row r="1208">
          <cell r="A1208">
            <v>22375003</v>
          </cell>
          <cell r="B1208" t="str">
            <v>투그릴베그의 왕관</v>
          </cell>
        </row>
        <row r="1209">
          <cell r="A1209">
            <v>22383001</v>
          </cell>
          <cell r="B1209" t="str">
            <v>산타 모자</v>
          </cell>
        </row>
        <row r="1210">
          <cell r="A1210">
            <v>22384001</v>
          </cell>
          <cell r="B1210" t="str">
            <v>100일 축하의 모자</v>
          </cell>
        </row>
        <row r="1211">
          <cell r="A1211">
            <v>22421001</v>
          </cell>
          <cell r="B1211" t="str">
            <v>다불</v>
          </cell>
        </row>
        <row r="1212">
          <cell r="A1212">
            <v>22421002</v>
          </cell>
          <cell r="B1212" t="str">
            <v>차마람</v>
          </cell>
        </row>
        <row r="1213">
          <cell r="A1213">
            <v>22421003</v>
          </cell>
          <cell r="B1213" t="str">
            <v>트럼펫</v>
          </cell>
        </row>
        <row r="1214">
          <cell r="A1214">
            <v>22421004</v>
          </cell>
          <cell r="B1214" t="str">
            <v>차복</v>
          </cell>
        </row>
        <row r="1215">
          <cell r="A1215">
            <v>22421005</v>
          </cell>
          <cell r="B1215" t="str">
            <v>탱커드</v>
          </cell>
        </row>
        <row r="1216">
          <cell r="A1216">
            <v>22421006</v>
          </cell>
          <cell r="B1216" t="str">
            <v>염장육 자루</v>
          </cell>
        </row>
        <row r="1217">
          <cell r="A1217">
            <v>22421007</v>
          </cell>
          <cell r="B1217" t="str">
            <v>오거</v>
          </cell>
        </row>
        <row r="1218">
          <cell r="A1218">
            <v>22421008</v>
          </cell>
          <cell r="B1218" t="str">
            <v>바스트렌</v>
          </cell>
        </row>
        <row r="1219">
          <cell r="A1219">
            <v>22421009</v>
          </cell>
          <cell r="B1219" t="str">
            <v>침통</v>
          </cell>
        </row>
        <row r="1220">
          <cell r="A1220">
            <v>22421010</v>
          </cell>
          <cell r="B1220" t="str">
            <v>나자르 본주우</v>
          </cell>
        </row>
        <row r="1221">
          <cell r="A1221">
            <v>22422001</v>
          </cell>
          <cell r="B1221" t="str">
            <v>데스 휘슬</v>
          </cell>
        </row>
        <row r="1222">
          <cell r="A1222">
            <v>22422002</v>
          </cell>
          <cell r="B1222" t="str">
            <v>바톤</v>
          </cell>
        </row>
        <row r="1223">
          <cell r="A1223">
            <v>22422003</v>
          </cell>
          <cell r="B1223" t="str">
            <v>알가이타</v>
          </cell>
        </row>
        <row r="1224">
          <cell r="A1224">
            <v>22422004</v>
          </cell>
          <cell r="B1224" t="str">
            <v>아크라페나</v>
          </cell>
        </row>
        <row r="1225">
          <cell r="A1225">
            <v>22422005</v>
          </cell>
          <cell r="B1225" t="str">
            <v>브라가풀</v>
          </cell>
        </row>
        <row r="1226">
          <cell r="A1226">
            <v>22422006</v>
          </cell>
          <cell r="B1226" t="str">
            <v>두라 주머니</v>
          </cell>
        </row>
        <row r="1227">
          <cell r="A1227">
            <v>22422007</v>
          </cell>
          <cell r="B1227" t="str">
            <v>맬릿</v>
          </cell>
        </row>
        <row r="1228">
          <cell r="A1228">
            <v>22422008</v>
          </cell>
          <cell r="B1228" t="str">
            <v>내릴톱</v>
          </cell>
        </row>
        <row r="1229">
          <cell r="A1229">
            <v>22422009</v>
          </cell>
          <cell r="B1229" t="str">
            <v>칼루멧</v>
          </cell>
        </row>
        <row r="1230">
          <cell r="A1230">
            <v>22422010</v>
          </cell>
          <cell r="B1230" t="str">
            <v>헤이 마타우</v>
          </cell>
        </row>
        <row r="1231">
          <cell r="A1231">
            <v>22423001</v>
          </cell>
          <cell r="B1231" t="str">
            <v>나각</v>
          </cell>
        </row>
        <row r="1232">
          <cell r="A1232">
            <v>22423002</v>
          </cell>
          <cell r="B1232" t="str">
            <v>채배</v>
          </cell>
        </row>
        <row r="1233">
          <cell r="A1233">
            <v>22423003</v>
          </cell>
          <cell r="B1233" t="str">
            <v>태고</v>
          </cell>
        </row>
        <row r="1234">
          <cell r="A1234">
            <v>22423004</v>
          </cell>
          <cell r="B1234" t="str">
            <v>촙</v>
          </cell>
        </row>
        <row r="1235">
          <cell r="A1235">
            <v>22423005</v>
          </cell>
          <cell r="B1235" t="str">
            <v>계영배</v>
          </cell>
        </row>
        <row r="1236">
          <cell r="A1236">
            <v>22423006</v>
          </cell>
          <cell r="B1236" t="str">
            <v>병량환낭</v>
          </cell>
        </row>
        <row r="1237">
          <cell r="A1237">
            <v>22423007</v>
          </cell>
          <cell r="B1237" t="str">
            <v>몰</v>
          </cell>
        </row>
        <row r="1238">
          <cell r="A1238">
            <v>22423008</v>
          </cell>
          <cell r="B1238" t="str">
            <v>코핑 쏘우</v>
          </cell>
        </row>
        <row r="1239">
          <cell r="A1239">
            <v>22423009</v>
          </cell>
          <cell r="B1239" t="str">
            <v>본초강목</v>
          </cell>
        </row>
        <row r="1240">
          <cell r="A1240">
            <v>22423010</v>
          </cell>
          <cell r="B1240" t="str">
            <v>베그비시르</v>
          </cell>
        </row>
        <row r="1241">
          <cell r="A1241">
            <v>22424001</v>
          </cell>
          <cell r="B1241" t="str">
            <v>공</v>
          </cell>
        </row>
        <row r="1242">
          <cell r="A1242">
            <v>22424002</v>
          </cell>
          <cell r="B1242" t="str">
            <v>등채</v>
          </cell>
        </row>
        <row r="1243">
          <cell r="A1243">
            <v>22424003</v>
          </cell>
          <cell r="B1243" t="str">
            <v>갈레우스의 황금 뿔피리</v>
          </cell>
        </row>
        <row r="1244">
          <cell r="A1244">
            <v>22424004</v>
          </cell>
          <cell r="B1244" t="str">
            <v>음폼폰수오</v>
          </cell>
        </row>
        <row r="1245">
          <cell r="A1245">
            <v>22424005</v>
          </cell>
          <cell r="B1245" t="str">
            <v>리톤</v>
          </cell>
        </row>
        <row r="1246">
          <cell r="A1246">
            <v>22424006</v>
          </cell>
          <cell r="B1246" t="str">
            <v>광병낭</v>
          </cell>
        </row>
        <row r="1247">
          <cell r="A1247">
            <v>22424007</v>
          </cell>
          <cell r="B1247" t="str">
            <v>코킹 말렛</v>
          </cell>
        </row>
        <row r="1248">
          <cell r="A1248">
            <v>22424008</v>
          </cell>
          <cell r="B1248" t="str">
            <v>장인의 보우 쏘우</v>
          </cell>
        </row>
        <row r="1249">
          <cell r="A1249">
            <v>22424009</v>
          </cell>
          <cell r="B1249" t="str">
            <v>데어 그로센 분다르츠니</v>
          </cell>
        </row>
        <row r="1250">
          <cell r="A1250">
            <v>22424010</v>
          </cell>
          <cell r="B1250" t="str">
            <v>아사바이키신</v>
          </cell>
        </row>
        <row r="1251">
          <cell r="A1251">
            <v>22425001</v>
          </cell>
          <cell r="B1251" t="str">
            <v>우에우에틀</v>
          </cell>
        </row>
        <row r="1252">
          <cell r="A1252">
            <v>22425002</v>
          </cell>
          <cell r="B1252" t="str">
            <v>아가멤논의 스태프</v>
          </cell>
        </row>
        <row r="1253">
          <cell r="A1253">
            <v>22425003</v>
          </cell>
          <cell r="B1253" t="str">
            <v>걀라르호른</v>
          </cell>
        </row>
        <row r="1254">
          <cell r="A1254">
            <v>22425004</v>
          </cell>
          <cell r="B1254" t="str">
            <v>상방검</v>
          </cell>
        </row>
        <row r="1255">
          <cell r="A1255">
            <v>22425005</v>
          </cell>
          <cell r="B1255" t="str">
            <v>자미 잠</v>
          </cell>
        </row>
        <row r="1256">
          <cell r="A1256">
            <v>22425006</v>
          </cell>
          <cell r="B1256" t="str">
            <v>가란히르의 햄퍼</v>
          </cell>
        </row>
        <row r="1257">
          <cell r="A1257">
            <v>22425007</v>
          </cell>
          <cell r="B1257" t="str">
            <v>클라바우터만의 해머</v>
          </cell>
        </row>
        <row r="1258">
          <cell r="A1258">
            <v>22425008</v>
          </cell>
          <cell r="B1258" t="str">
            <v>아르고스의 프리오니</v>
          </cell>
        </row>
        <row r="1259">
          <cell r="A1259">
            <v>22425009</v>
          </cell>
          <cell r="B1259" t="str">
            <v>동의보감</v>
          </cell>
        </row>
        <row r="1260">
          <cell r="A1260">
            <v>22425010</v>
          </cell>
          <cell r="B1260" t="str">
            <v>만파식적</v>
          </cell>
        </row>
        <row r="1261">
          <cell r="A1261">
            <v>22426001</v>
          </cell>
          <cell r="B1261" t="str">
            <v>드레이크의 드럼</v>
          </cell>
        </row>
        <row r="1262">
          <cell r="A1262">
            <v>22426002</v>
          </cell>
          <cell r="B1262" t="str">
            <v>마 드 주스티스</v>
          </cell>
        </row>
        <row r="1263">
          <cell r="A1263">
            <v>22426003</v>
          </cell>
          <cell r="B1263" t="str">
            <v>판차잔야</v>
          </cell>
        </row>
        <row r="1264">
          <cell r="A1264">
            <v>22426004</v>
          </cell>
          <cell r="B1264" t="str">
            <v>다모클레스의 소드</v>
          </cell>
        </row>
        <row r="1265">
          <cell r="A1265">
            <v>22426005</v>
          </cell>
          <cell r="B1265" t="str">
            <v>프레스터 존의 메이져</v>
          </cell>
        </row>
        <row r="1266">
          <cell r="A1266">
            <v>22426006</v>
          </cell>
          <cell r="B1266" t="str">
            <v>이둔의 햄퍼</v>
          </cell>
        </row>
        <row r="1267">
          <cell r="A1267">
            <v>22426007</v>
          </cell>
          <cell r="B1267" t="str">
            <v>일마리넨의 해머</v>
          </cell>
        </row>
        <row r="1268">
          <cell r="A1268">
            <v>22426008</v>
          </cell>
          <cell r="B1268" t="str">
            <v>쿠페의 하오</v>
          </cell>
        </row>
        <row r="1269">
          <cell r="A1269">
            <v>22426009</v>
          </cell>
          <cell r="B1269" t="str">
            <v>제라히예튀르 하니예</v>
          </cell>
        </row>
        <row r="1270">
          <cell r="A1270">
            <v>22426010</v>
          </cell>
          <cell r="B1270" t="str">
            <v>샨카</v>
          </cell>
        </row>
        <row r="1271">
          <cell r="A1271">
            <v>22431001</v>
          </cell>
          <cell r="B1271" t="str">
            <v>사블리에</v>
          </cell>
        </row>
        <row r="1272">
          <cell r="A1272">
            <v>22431002</v>
          </cell>
          <cell r="B1272" t="str">
            <v>보타백</v>
          </cell>
        </row>
        <row r="1273">
          <cell r="A1273">
            <v>22431003</v>
          </cell>
          <cell r="B1273" t="str">
            <v>카잔</v>
          </cell>
        </row>
        <row r="1274">
          <cell r="A1274">
            <v>22432001</v>
          </cell>
          <cell r="B1274" t="str">
            <v>회중시계</v>
          </cell>
        </row>
        <row r="1275">
          <cell r="A1275">
            <v>22432002</v>
          </cell>
          <cell r="B1275" t="str">
            <v>호로</v>
          </cell>
        </row>
        <row r="1276">
          <cell r="A1276">
            <v>22432003</v>
          </cell>
          <cell r="B1276" t="str">
            <v>암포라</v>
          </cell>
        </row>
        <row r="1277">
          <cell r="A1277">
            <v>22433001</v>
          </cell>
          <cell r="B1277" t="str">
            <v>링 워치</v>
          </cell>
        </row>
        <row r="1278">
          <cell r="A1278">
            <v>22433002</v>
          </cell>
          <cell r="B1278" t="str">
            <v>크루엣</v>
          </cell>
        </row>
        <row r="1279">
          <cell r="A1279">
            <v>22433003</v>
          </cell>
          <cell r="B1279" t="str">
            <v>청화백자</v>
          </cell>
        </row>
        <row r="1280">
          <cell r="A1280">
            <v>22434001</v>
          </cell>
          <cell r="B1280" t="str">
            <v>포맨더 워치</v>
          </cell>
        </row>
        <row r="1281">
          <cell r="A1281">
            <v>22434002</v>
          </cell>
          <cell r="B1281" t="str">
            <v>마타라</v>
          </cell>
        </row>
        <row r="1282">
          <cell r="A1282">
            <v>22434003</v>
          </cell>
          <cell r="B1282" t="str">
            <v>알바렐로</v>
          </cell>
        </row>
        <row r="1283">
          <cell r="A1283">
            <v>22435001</v>
          </cell>
          <cell r="B1283" t="str">
            <v>에스페라 아르밀라</v>
          </cell>
        </row>
        <row r="1284">
          <cell r="A1284">
            <v>22435002</v>
          </cell>
          <cell r="B1284" t="str">
            <v>자라병</v>
          </cell>
        </row>
        <row r="1285">
          <cell r="A1285">
            <v>22435003</v>
          </cell>
          <cell r="B1285" t="str">
            <v>코르누코피아</v>
          </cell>
        </row>
        <row r="1286">
          <cell r="A1286">
            <v>22436001</v>
          </cell>
          <cell r="B1286" t="str">
            <v>크로노미터 H5</v>
          </cell>
        </row>
        <row r="1287">
          <cell r="A1287">
            <v>22436002</v>
          </cell>
          <cell r="B1287" t="str">
            <v>아샵파트라</v>
          </cell>
        </row>
        <row r="1288">
          <cell r="A1288">
            <v>22436003</v>
          </cell>
          <cell r="B1288" t="str">
            <v>니시가르쉬</v>
          </cell>
        </row>
        <row r="1289">
          <cell r="A1289">
            <v>22441001</v>
          </cell>
          <cell r="B1289" t="str">
            <v>루비 반지</v>
          </cell>
        </row>
        <row r="1290">
          <cell r="A1290">
            <v>22441002</v>
          </cell>
          <cell r="B1290" t="str">
            <v>비취계지</v>
          </cell>
        </row>
        <row r="1291">
          <cell r="A1291">
            <v>22441003</v>
          </cell>
          <cell r="B1291" t="str">
            <v>셀레니티스 반지</v>
          </cell>
        </row>
        <row r="1292">
          <cell r="A1292">
            <v>22441004</v>
          </cell>
          <cell r="B1292" t="str">
            <v>산호 반지</v>
          </cell>
        </row>
        <row r="1293">
          <cell r="A1293">
            <v>22441005</v>
          </cell>
          <cell r="B1293" t="str">
            <v>사파이어 반지</v>
          </cell>
        </row>
        <row r="1294">
          <cell r="A1294">
            <v>22441006</v>
          </cell>
          <cell r="B1294" t="str">
            <v>가닛 반지</v>
          </cell>
        </row>
        <row r="1295">
          <cell r="A1295">
            <v>22441007</v>
          </cell>
          <cell r="B1295" t="str">
            <v>줌루트 유주크</v>
          </cell>
        </row>
        <row r="1296">
          <cell r="A1296">
            <v>22441008</v>
          </cell>
          <cell r="B1296" t="str">
            <v>크리스탈 반지</v>
          </cell>
        </row>
        <row r="1297">
          <cell r="A1297">
            <v>22441009</v>
          </cell>
          <cell r="B1297" t="str">
            <v>토르말리 무다</v>
          </cell>
        </row>
        <row r="1298">
          <cell r="A1298">
            <v>22441010</v>
          </cell>
          <cell r="B1298" t="str">
            <v>오팔 반지</v>
          </cell>
        </row>
        <row r="1299">
          <cell r="A1299">
            <v>22441011</v>
          </cell>
          <cell r="B1299" t="str">
            <v>진주 반지</v>
          </cell>
        </row>
        <row r="1300">
          <cell r="A1300">
            <v>22441012</v>
          </cell>
          <cell r="B1300" t="str">
            <v>다이아몬드 반지</v>
          </cell>
        </row>
        <row r="1301">
          <cell r="A1301">
            <v>22441013</v>
          </cell>
          <cell r="B1301" t="str">
            <v>자수정 반지</v>
          </cell>
        </row>
        <row r="1302">
          <cell r="A1302">
            <v>22441014</v>
          </cell>
          <cell r="B1302" t="str">
            <v>알렉산드라이트 반지</v>
          </cell>
        </row>
        <row r="1303">
          <cell r="A1303">
            <v>22441015</v>
          </cell>
          <cell r="B1303" t="str">
            <v>호박 가락지</v>
          </cell>
        </row>
        <row r="1304">
          <cell r="A1304">
            <v>22441016</v>
          </cell>
          <cell r="B1304" t="str">
            <v>마노 반지</v>
          </cell>
        </row>
        <row r="1305">
          <cell r="A1305">
            <v>22441017</v>
          </cell>
          <cell r="B1305" t="str">
            <v>토파즈 반지</v>
          </cell>
        </row>
        <row r="1306">
          <cell r="A1306">
            <v>22441018</v>
          </cell>
          <cell r="B1306" t="str">
            <v>블랙펄 반지</v>
          </cell>
        </row>
        <row r="1307">
          <cell r="A1307">
            <v>22442001</v>
          </cell>
          <cell r="B1307" t="str">
            <v>루비 귀걸이</v>
          </cell>
        </row>
        <row r="1308">
          <cell r="A1308">
            <v>22442002</v>
          </cell>
          <cell r="B1308" t="str">
            <v>곡옥 부적</v>
          </cell>
        </row>
        <row r="1309">
          <cell r="A1309">
            <v>22442003</v>
          </cell>
          <cell r="B1309" t="str">
            <v>셀레니티스 귀걸이</v>
          </cell>
        </row>
        <row r="1310">
          <cell r="A1310">
            <v>22442004</v>
          </cell>
          <cell r="B1310" t="str">
            <v>산호이환</v>
          </cell>
        </row>
        <row r="1311">
          <cell r="A1311">
            <v>22442005</v>
          </cell>
          <cell r="B1311" t="str">
            <v>사파이어 귀걸이</v>
          </cell>
        </row>
        <row r="1312">
          <cell r="A1312">
            <v>22442006</v>
          </cell>
          <cell r="B1312" t="str">
            <v>가닛 귀걸이</v>
          </cell>
        </row>
        <row r="1313">
          <cell r="A1313">
            <v>22442007</v>
          </cell>
          <cell r="B1313" t="str">
            <v>에메랄드 귀걸이</v>
          </cell>
        </row>
        <row r="1314">
          <cell r="A1314">
            <v>22442008</v>
          </cell>
          <cell r="B1314" t="str">
            <v>크리스탈 귀걸이</v>
          </cell>
        </row>
        <row r="1315">
          <cell r="A1315">
            <v>22442009</v>
          </cell>
          <cell r="B1315" t="str">
            <v>토르말린 올벨</v>
          </cell>
        </row>
        <row r="1316">
          <cell r="A1316">
            <v>22442010</v>
          </cell>
          <cell r="B1316" t="str">
            <v>오팔 귀걸이</v>
          </cell>
        </row>
        <row r="1317">
          <cell r="A1317">
            <v>22442011</v>
          </cell>
          <cell r="B1317" t="str">
            <v>진주 귀걸이</v>
          </cell>
        </row>
        <row r="1318">
          <cell r="A1318">
            <v>22442012</v>
          </cell>
          <cell r="B1318" t="str">
            <v>다이아몬드 귀걸이</v>
          </cell>
        </row>
        <row r="1319">
          <cell r="A1319">
            <v>22442013</v>
          </cell>
          <cell r="B1319" t="str">
            <v>자수정 귀걸이</v>
          </cell>
        </row>
        <row r="1320">
          <cell r="A1320">
            <v>22442014</v>
          </cell>
          <cell r="B1320" t="str">
            <v>알렉산드라이트 세리가</v>
          </cell>
        </row>
        <row r="1321">
          <cell r="A1321">
            <v>22442015</v>
          </cell>
          <cell r="B1321" t="str">
            <v>금패 귀걸이</v>
          </cell>
        </row>
        <row r="1322">
          <cell r="A1322">
            <v>22442016</v>
          </cell>
          <cell r="B1322" t="str">
            <v>마노 귀걸이</v>
          </cell>
        </row>
        <row r="1323">
          <cell r="A1323">
            <v>22442017</v>
          </cell>
          <cell r="B1323" t="str">
            <v>토파즈 귀걸이</v>
          </cell>
        </row>
        <row r="1324">
          <cell r="A1324">
            <v>22442018</v>
          </cell>
          <cell r="B1324" t="str">
            <v>블랙펄 귀걸이</v>
          </cell>
        </row>
        <row r="1325">
          <cell r="A1325">
            <v>22443001</v>
          </cell>
          <cell r="B1325" t="str">
            <v>루비 목걸이</v>
          </cell>
        </row>
        <row r="1326">
          <cell r="A1326">
            <v>22443002</v>
          </cell>
          <cell r="B1326" t="str">
            <v>벽옥항연</v>
          </cell>
        </row>
        <row r="1327">
          <cell r="A1327">
            <v>22443003</v>
          </cell>
          <cell r="B1327" t="str">
            <v>셀레니티스 팔찌</v>
          </cell>
        </row>
        <row r="1328">
          <cell r="A1328">
            <v>22443004</v>
          </cell>
          <cell r="B1328" t="str">
            <v>산호 팔찌</v>
          </cell>
        </row>
        <row r="1329">
          <cell r="A1329">
            <v>22443005</v>
          </cell>
          <cell r="B1329" t="str">
            <v>사파이어 목걸이</v>
          </cell>
        </row>
        <row r="1330">
          <cell r="A1330">
            <v>22443006</v>
          </cell>
          <cell r="B1330" t="str">
            <v>가닛 팔찌</v>
          </cell>
        </row>
        <row r="1331">
          <cell r="A1331">
            <v>22443007</v>
          </cell>
          <cell r="B1331" t="str">
            <v>줌루트 빌레직</v>
          </cell>
        </row>
        <row r="1332">
          <cell r="A1332">
            <v>22443008</v>
          </cell>
          <cell r="B1332" t="str">
            <v>크리스탈 팔찌</v>
          </cell>
        </row>
        <row r="1333">
          <cell r="A1333">
            <v>22443009</v>
          </cell>
          <cell r="B1333" t="str">
            <v>토르말린 팔찌</v>
          </cell>
        </row>
        <row r="1334">
          <cell r="A1334">
            <v>22443010</v>
          </cell>
          <cell r="B1334" t="str">
            <v>오팔 팔찌</v>
          </cell>
        </row>
        <row r="1335">
          <cell r="A1335">
            <v>22443011</v>
          </cell>
          <cell r="B1335" t="str">
            <v>진주 목걸이</v>
          </cell>
        </row>
        <row r="1336">
          <cell r="A1336">
            <v>22443012</v>
          </cell>
          <cell r="B1336" t="str">
            <v>다이아몬드 목걸이</v>
          </cell>
        </row>
        <row r="1337">
          <cell r="A1337">
            <v>22443013</v>
          </cell>
          <cell r="B1337" t="str">
            <v>자수정 목걸이</v>
          </cell>
        </row>
        <row r="1338">
          <cell r="A1338">
            <v>22443014</v>
          </cell>
          <cell r="B1338" t="str">
            <v>묘안석 팔찌</v>
          </cell>
        </row>
        <row r="1339">
          <cell r="A1339">
            <v>22443015</v>
          </cell>
          <cell r="B1339" t="str">
            <v>페니키아 팔찌</v>
          </cell>
        </row>
        <row r="1340">
          <cell r="A1340">
            <v>22443016</v>
          </cell>
          <cell r="B1340" t="str">
            <v>마노 팔찌</v>
          </cell>
        </row>
        <row r="1341">
          <cell r="A1341">
            <v>22443017</v>
          </cell>
          <cell r="B1341" t="str">
            <v>토파즈 팔찌</v>
          </cell>
        </row>
        <row r="1342">
          <cell r="A1342">
            <v>22443018</v>
          </cell>
          <cell r="B1342" t="str">
            <v>블랙펄 팔찌</v>
          </cell>
        </row>
        <row r="1343">
          <cell r="A1343">
            <v>22444001</v>
          </cell>
          <cell r="B1343" t="str">
            <v>피전 블러드 링</v>
          </cell>
        </row>
        <row r="1344">
          <cell r="A1344">
            <v>22444002</v>
          </cell>
          <cell r="B1344" t="str">
            <v>포우나무 헤이 티키</v>
          </cell>
        </row>
        <row r="1345">
          <cell r="A1345">
            <v>22444003</v>
          </cell>
          <cell r="B1345" t="str">
            <v>마카라 칸간</v>
          </cell>
        </row>
        <row r="1346">
          <cell r="A1346">
            <v>22444004</v>
          </cell>
          <cell r="B1346" t="str">
            <v>산호호부</v>
          </cell>
        </row>
        <row r="1347">
          <cell r="A1347">
            <v>22444005</v>
          </cell>
          <cell r="B1347" t="str">
            <v>카롤루스의 탈리스만</v>
          </cell>
        </row>
        <row r="1348">
          <cell r="A1348">
            <v>22444006</v>
          </cell>
          <cell r="B1348" t="str">
            <v>앨먼딘 목걸이</v>
          </cell>
        </row>
        <row r="1349">
          <cell r="A1349">
            <v>22444007</v>
          </cell>
          <cell r="B1349" t="str">
            <v>미낙시 프라티마</v>
          </cell>
        </row>
        <row r="1350">
          <cell r="A1350">
            <v>22444008</v>
          </cell>
          <cell r="B1350" t="str">
            <v>크리스탈 피스트</v>
          </cell>
        </row>
        <row r="1351">
          <cell r="A1351">
            <v>22444009</v>
          </cell>
          <cell r="B1351" t="str">
            <v>빅토리안 브로치</v>
          </cell>
        </row>
        <row r="1352">
          <cell r="A1352">
            <v>22444010</v>
          </cell>
          <cell r="B1352" t="str">
            <v>포실 오팔</v>
          </cell>
        </row>
        <row r="1353">
          <cell r="A1353">
            <v>22444011</v>
          </cell>
          <cell r="B1353" t="str">
            <v>인어루</v>
          </cell>
        </row>
        <row r="1354">
          <cell r="A1354">
            <v>22444012</v>
          </cell>
          <cell r="B1354" t="str">
            <v>루이 드로앙의 선물</v>
          </cell>
        </row>
        <row r="1355">
          <cell r="A1355">
            <v>22444013</v>
          </cell>
          <cell r="B1355" t="str">
            <v>왐펌</v>
          </cell>
        </row>
        <row r="1356">
          <cell r="A1356">
            <v>22444014</v>
          </cell>
          <cell r="B1356" t="str">
            <v>호안석 목걸이</v>
          </cell>
        </row>
        <row r="1357">
          <cell r="A1357">
            <v>22444015</v>
          </cell>
          <cell r="B1357" t="str">
            <v>대삼작노리개</v>
          </cell>
        </row>
        <row r="1358">
          <cell r="A1358">
            <v>22444016</v>
          </cell>
          <cell r="B1358" t="str">
            <v>오닉스 목걸이</v>
          </cell>
        </row>
        <row r="1359">
          <cell r="A1359">
            <v>22444017</v>
          </cell>
          <cell r="B1359" t="str">
            <v>임페리얼 토파즈 반지</v>
          </cell>
        </row>
        <row r="1360">
          <cell r="A1360">
            <v>22444018</v>
          </cell>
          <cell r="B1360" t="str">
            <v>왕비의 목걸이</v>
          </cell>
        </row>
        <row r="1361">
          <cell r="A1361">
            <v>22445001</v>
          </cell>
          <cell r="B1361" t="str">
            <v>기말 링</v>
          </cell>
        </row>
        <row r="1362">
          <cell r="A1362">
            <v>22445002</v>
          </cell>
          <cell r="B1362" t="str">
            <v>금모곡옥</v>
          </cell>
        </row>
        <row r="1363">
          <cell r="A1363">
            <v>22445003</v>
          </cell>
          <cell r="B1363" t="str">
            <v>셀레네의 네클릿</v>
          </cell>
        </row>
        <row r="1364">
          <cell r="A1364">
            <v>22445004</v>
          </cell>
          <cell r="B1364" t="str">
            <v>골드 코랄 네클릿</v>
          </cell>
        </row>
        <row r="1365">
          <cell r="A1365">
            <v>22445005</v>
          </cell>
          <cell r="B1365" t="str">
            <v>호수의 여인의 네클릿</v>
          </cell>
        </row>
        <row r="1366">
          <cell r="A1366">
            <v>22445006</v>
          </cell>
          <cell r="B1366" t="str">
            <v>카벙클 이어링</v>
          </cell>
        </row>
        <row r="1367">
          <cell r="A1367">
            <v>22445007</v>
          </cell>
          <cell r="B1367" t="str">
            <v>정복자의 에메랄드 링</v>
          </cell>
        </row>
        <row r="1368">
          <cell r="A1368">
            <v>22445008</v>
          </cell>
          <cell r="B1368" t="str">
            <v>신라 수정 목걸이</v>
          </cell>
        </row>
        <row r="1369">
          <cell r="A1369">
            <v>22445009</v>
          </cell>
          <cell r="B1369" t="str">
            <v>니벨룽겐의 반지</v>
          </cell>
        </row>
        <row r="1370">
          <cell r="A1370">
            <v>22445010</v>
          </cell>
          <cell r="B1370" t="str">
            <v>오르파누스</v>
          </cell>
        </row>
        <row r="1371">
          <cell r="A1371">
            <v>22445011</v>
          </cell>
          <cell r="B1371" t="str">
            <v>클레오파트라의 이어링</v>
          </cell>
        </row>
        <row r="1372">
          <cell r="A1372">
            <v>22445012</v>
          </cell>
          <cell r="B1372" t="str">
            <v>타르바니에 블루 링</v>
          </cell>
        </row>
        <row r="1373">
          <cell r="A1373">
            <v>22445013</v>
          </cell>
          <cell r="B1373" t="str">
            <v>디오니소스 브로치</v>
          </cell>
        </row>
        <row r="1374">
          <cell r="A1374">
            <v>22445014</v>
          </cell>
          <cell r="B1374" t="str">
            <v>케투의 칸 키 발리</v>
          </cell>
        </row>
        <row r="1375">
          <cell r="A1375">
            <v>22445015</v>
          </cell>
          <cell r="B1375" t="str">
            <v>얀타르니 칼초</v>
          </cell>
        </row>
        <row r="1376">
          <cell r="A1376">
            <v>22445016</v>
          </cell>
          <cell r="B1376" t="str">
            <v>에로스의 칼피</v>
          </cell>
        </row>
        <row r="1377">
          <cell r="A1377">
            <v>22445017</v>
          </cell>
          <cell r="B1377" t="str">
            <v>차리나의 아제렐리예</v>
          </cell>
        </row>
        <row r="1378">
          <cell r="A1378">
            <v>22445018</v>
          </cell>
          <cell r="B1378" t="str">
            <v>퀸 오브 블랙펄</v>
          </cell>
        </row>
        <row r="1379">
          <cell r="A1379">
            <v>22446001</v>
          </cell>
          <cell r="B1379" t="str">
            <v>수리아의 가호</v>
          </cell>
        </row>
        <row r="1380">
          <cell r="A1380">
            <v>22446002</v>
          </cell>
          <cell r="B1380" t="str">
            <v>전국옥새</v>
          </cell>
        </row>
        <row r="1381">
          <cell r="A1381">
            <v>22446003</v>
          </cell>
          <cell r="B1381" t="str">
            <v>아르마의 빛</v>
          </cell>
        </row>
        <row r="1382">
          <cell r="A1382">
            <v>22446004</v>
          </cell>
          <cell r="B1382" t="str">
            <v>메두사의 피</v>
          </cell>
        </row>
        <row r="1383">
          <cell r="A1383">
            <v>22446005</v>
          </cell>
          <cell r="B1383" t="str">
            <v>하르모니아의 네클릿</v>
          </cell>
        </row>
        <row r="1384">
          <cell r="A1384">
            <v>22446006</v>
          </cell>
          <cell r="B1384" t="str">
            <v>키나리스 디아뎀</v>
          </cell>
        </row>
        <row r="1385">
          <cell r="A1385">
            <v>22446007</v>
          </cell>
          <cell r="B1385" t="str">
            <v>에메랄드 맨</v>
          </cell>
        </row>
        <row r="1386">
          <cell r="A1386">
            <v>22446008</v>
          </cell>
          <cell r="B1386" t="str">
            <v>참스톤</v>
          </cell>
        </row>
        <row r="1387">
          <cell r="A1387">
            <v>22446009</v>
          </cell>
          <cell r="B1387" t="str">
            <v>링구리움 이어링</v>
          </cell>
        </row>
        <row r="1388">
          <cell r="A1388">
            <v>22446010</v>
          </cell>
          <cell r="B1388" t="str">
            <v>보천석</v>
          </cell>
        </row>
        <row r="1389">
          <cell r="A1389">
            <v>22446011</v>
          </cell>
          <cell r="B1389" t="str">
            <v>앤 불린의 네클릿</v>
          </cell>
        </row>
        <row r="1390">
          <cell r="A1390">
            <v>22446012</v>
          </cell>
          <cell r="B1390" t="str">
            <v>코이누르</v>
          </cell>
        </row>
        <row r="1391">
          <cell r="A1391">
            <v>22446013</v>
          </cell>
          <cell r="B1391" t="str">
            <v>솔로몬의 시그넷 링</v>
          </cell>
        </row>
        <row r="1392">
          <cell r="A1392">
            <v>22446014</v>
          </cell>
          <cell r="B1392" t="str">
            <v>알라 앗 딘의 카아티문</v>
          </cell>
        </row>
        <row r="1393">
          <cell r="A1393">
            <v>22446015</v>
          </cell>
          <cell r="B1393" t="str">
            <v>브리싱가멘</v>
          </cell>
        </row>
        <row r="1394">
          <cell r="A1394">
            <v>22446016</v>
          </cell>
          <cell r="B1394" t="str">
            <v>사르마티아의 사도닉스</v>
          </cell>
        </row>
        <row r="1395">
          <cell r="A1395">
            <v>22446017</v>
          </cell>
          <cell r="B1395" t="str">
            <v>토파즈 스카라베</v>
          </cell>
        </row>
        <row r="1396">
          <cell r="A1396">
            <v>22446018</v>
          </cell>
          <cell r="B1396" t="str">
            <v>타네 테코테코</v>
          </cell>
        </row>
        <row r="1397">
          <cell r="A1397">
            <v>22471001</v>
          </cell>
          <cell r="B1397" t="str">
            <v>미스테카의 귀걸이</v>
          </cell>
        </row>
        <row r="1398">
          <cell r="A1398">
            <v>22472001</v>
          </cell>
          <cell r="B1398" t="str">
            <v>토크</v>
          </cell>
        </row>
        <row r="1399">
          <cell r="A1399">
            <v>22473001</v>
          </cell>
          <cell r="B1399" t="str">
            <v>신소부 여왕의 귀걸이</v>
          </cell>
        </row>
        <row r="1400">
          <cell r="A1400">
            <v>22473003</v>
          </cell>
          <cell r="B1400" t="str">
            <v>말린체의 목걸이</v>
          </cell>
        </row>
        <row r="1401">
          <cell r="A1401">
            <v>22473005</v>
          </cell>
          <cell r="B1401" t="str">
            <v>폴리크라테스의 반지</v>
          </cell>
        </row>
        <row r="1402">
          <cell r="A1402">
            <v>22473007</v>
          </cell>
          <cell r="B1402" t="str">
            <v>빙하 선단의 귀걸이</v>
          </cell>
        </row>
        <row r="1403">
          <cell r="A1403">
            <v>22473008</v>
          </cell>
          <cell r="B1403" t="str">
            <v>붉은 산호섬의 반지</v>
          </cell>
        </row>
        <row r="1404">
          <cell r="A1404">
            <v>22473009</v>
          </cell>
          <cell r="B1404" t="str">
            <v>상단 연합의 목걸이</v>
          </cell>
        </row>
        <row r="1405">
          <cell r="A1405">
            <v>22474001</v>
          </cell>
          <cell r="B1405" t="str">
            <v>칸슐왕의 팔찌</v>
          </cell>
        </row>
        <row r="1406">
          <cell r="A1406">
            <v>22474003</v>
          </cell>
          <cell r="B1406" t="str">
            <v>클레오파트라의 가슴 장식</v>
          </cell>
        </row>
        <row r="1407">
          <cell r="A1407">
            <v>22474005</v>
          </cell>
          <cell r="B1407" t="str">
            <v>북해 연합의 목걸이</v>
          </cell>
        </row>
        <row r="1408">
          <cell r="A1408">
            <v>22474006</v>
          </cell>
          <cell r="B1408" t="str">
            <v>진주섬의 반지</v>
          </cell>
        </row>
        <row r="1409">
          <cell r="A1409">
            <v>22474007</v>
          </cell>
          <cell r="B1409" t="str">
            <v>폭풍 선단의 시계</v>
          </cell>
        </row>
        <row r="1410">
          <cell r="A1410">
            <v>22475001</v>
          </cell>
          <cell r="B1410" t="str">
            <v>솔로몬의 반지</v>
          </cell>
        </row>
        <row r="1411">
          <cell r="A1411">
            <v>22511001</v>
          </cell>
          <cell r="B1411" t="str">
            <v>리넨 케이프</v>
          </cell>
        </row>
        <row r="1412">
          <cell r="A1412">
            <v>22511003</v>
          </cell>
          <cell r="B1412" t="str">
            <v>칼라 케이프</v>
          </cell>
        </row>
        <row r="1413">
          <cell r="A1413">
            <v>22511004</v>
          </cell>
          <cell r="B1413" t="str">
            <v>망토</v>
          </cell>
        </row>
        <row r="1414">
          <cell r="A1414">
            <v>22511007</v>
          </cell>
          <cell r="B1414" t="str">
            <v>응우옌 케이프</v>
          </cell>
        </row>
        <row r="1415">
          <cell r="A1415">
            <v>22511009</v>
          </cell>
          <cell r="B1415" t="str">
            <v>짐승가죽 망토</v>
          </cell>
        </row>
        <row r="1416">
          <cell r="A1416">
            <v>22511011</v>
          </cell>
          <cell r="B1416" t="str">
            <v>청산 망토</v>
          </cell>
        </row>
        <row r="1417">
          <cell r="A1417">
            <v>22511013</v>
          </cell>
          <cell r="B1417" t="str">
            <v>쓰개치마</v>
          </cell>
        </row>
        <row r="1418">
          <cell r="A1418">
            <v>22511015</v>
          </cell>
          <cell r="B1418" t="str">
            <v>폰초</v>
          </cell>
        </row>
        <row r="1419">
          <cell r="A1419">
            <v>22511017</v>
          </cell>
          <cell r="B1419" t="str">
            <v>슈카</v>
          </cell>
        </row>
        <row r="1420">
          <cell r="A1420">
            <v>22511019</v>
          </cell>
          <cell r="B1420" t="str">
            <v>주바토베 케이프</v>
          </cell>
        </row>
        <row r="1421">
          <cell r="A1421">
            <v>22511021</v>
          </cell>
          <cell r="B1421" t="str">
            <v>두파타</v>
          </cell>
        </row>
        <row r="1422">
          <cell r="A1422">
            <v>22512001</v>
          </cell>
          <cell r="B1422" t="str">
            <v>브로치 케이프</v>
          </cell>
        </row>
        <row r="1423">
          <cell r="A1423">
            <v>22512003</v>
          </cell>
          <cell r="B1423" t="str">
            <v>더블 케이프</v>
          </cell>
        </row>
        <row r="1424">
          <cell r="A1424">
            <v>22512005</v>
          </cell>
          <cell r="B1424" t="str">
            <v>벨벳 케이프</v>
          </cell>
        </row>
        <row r="1425">
          <cell r="A1425">
            <v>22512007</v>
          </cell>
          <cell r="B1425" t="str">
            <v>싸빠이</v>
          </cell>
        </row>
        <row r="1426">
          <cell r="A1426">
            <v>22512009</v>
          </cell>
          <cell r="B1426" t="str">
            <v>우직</v>
          </cell>
        </row>
        <row r="1427">
          <cell r="A1427">
            <v>22512011</v>
          </cell>
          <cell r="B1427" t="str">
            <v>적포</v>
          </cell>
        </row>
        <row r="1428">
          <cell r="A1428">
            <v>22512013</v>
          </cell>
          <cell r="B1428" t="str">
            <v>두루마기</v>
          </cell>
        </row>
        <row r="1429">
          <cell r="A1429">
            <v>22512015</v>
          </cell>
          <cell r="B1429" t="str">
            <v>여행자의 폰초</v>
          </cell>
        </row>
        <row r="1430">
          <cell r="A1430">
            <v>22512017</v>
          </cell>
          <cell r="B1430" t="str">
            <v>족장의 슈카</v>
          </cell>
        </row>
        <row r="1431">
          <cell r="A1431">
            <v>22512019</v>
          </cell>
          <cell r="B1431" t="str">
            <v>밤하늘</v>
          </cell>
        </row>
        <row r="1432">
          <cell r="A1432">
            <v>22512021</v>
          </cell>
          <cell r="B1432" t="str">
            <v>파시미나 케이프</v>
          </cell>
        </row>
        <row r="1433">
          <cell r="A1433">
            <v>22513001</v>
          </cell>
          <cell r="B1433" t="str">
            <v>엠브로이더리 케이프</v>
          </cell>
        </row>
        <row r="1434">
          <cell r="A1434">
            <v>22513003</v>
          </cell>
          <cell r="B1434" t="str">
            <v>가스팔의 망토</v>
          </cell>
        </row>
        <row r="1435">
          <cell r="A1435">
            <v>22513005</v>
          </cell>
          <cell r="B1435" t="str">
            <v>에스메랄다의 망토</v>
          </cell>
        </row>
        <row r="1436">
          <cell r="A1436">
            <v>22513007</v>
          </cell>
          <cell r="B1436" t="str">
            <v xml:space="preserve">하이드레인지아 케이프 </v>
          </cell>
        </row>
        <row r="1437">
          <cell r="A1437">
            <v>22513009</v>
          </cell>
          <cell r="B1437" t="str">
            <v>꽃무늬 우직</v>
          </cell>
        </row>
        <row r="1438">
          <cell r="A1438">
            <v>22513011</v>
          </cell>
          <cell r="B1438" t="str">
            <v>촉금</v>
          </cell>
        </row>
        <row r="1439">
          <cell r="A1439">
            <v>22513013</v>
          </cell>
          <cell r="B1439" t="str">
            <v>장옷</v>
          </cell>
        </row>
        <row r="1440">
          <cell r="A1440">
            <v>22513015</v>
          </cell>
          <cell r="B1440" t="str">
            <v>정령의 폰초</v>
          </cell>
        </row>
        <row r="1441">
          <cell r="A1441">
            <v>22513017</v>
          </cell>
          <cell r="B1441" t="str">
            <v>레드 슈카</v>
          </cell>
        </row>
        <row r="1442">
          <cell r="A1442">
            <v>22513019</v>
          </cell>
          <cell r="B1442" t="str">
            <v>왕가의 망토</v>
          </cell>
        </row>
        <row r="1443">
          <cell r="A1443">
            <v>22513021</v>
          </cell>
          <cell r="B1443" t="str">
            <v>페이즐리 티펫</v>
          </cell>
        </row>
        <row r="1444">
          <cell r="A1444">
            <v>22573001</v>
          </cell>
          <cell r="B1444" t="str">
            <v>빙하 선단의 망토</v>
          </cell>
        </row>
        <row r="1445">
          <cell r="A1445">
            <v>22573002</v>
          </cell>
          <cell r="B1445" t="str">
            <v>붉은 산호섬의 망토</v>
          </cell>
        </row>
        <row r="1446">
          <cell r="A1446">
            <v>22573003</v>
          </cell>
          <cell r="B1446" t="str">
            <v>상단 연합의 망토</v>
          </cell>
        </row>
        <row r="1447">
          <cell r="A1447">
            <v>22514001</v>
          </cell>
          <cell r="B1447" t="str">
            <v>쿠아우틀리 틸마틀리</v>
          </cell>
        </row>
        <row r="1448">
          <cell r="A1448">
            <v>22514003</v>
          </cell>
          <cell r="B1448" t="str">
            <v>무흐테솀 펠레린</v>
          </cell>
        </row>
        <row r="1449">
          <cell r="A1449">
            <v>22514005</v>
          </cell>
          <cell r="B1449" t="str">
            <v>쥬얼리 케이프</v>
          </cell>
        </row>
        <row r="1450">
          <cell r="A1450">
            <v>22514007</v>
          </cell>
          <cell r="B1450" t="str">
            <v>펠리스</v>
          </cell>
        </row>
        <row r="1451">
          <cell r="A1451">
            <v>22514009</v>
          </cell>
          <cell r="B1451" t="str">
            <v>메호바야 나킷카</v>
          </cell>
        </row>
        <row r="1452">
          <cell r="A1452">
            <v>22514011</v>
          </cell>
          <cell r="B1452" t="str">
            <v>마르티네스의 망토</v>
          </cell>
        </row>
        <row r="1453">
          <cell r="A1453">
            <v>22514013</v>
          </cell>
          <cell r="B1453" t="str">
            <v>레겐트 나킷카</v>
          </cell>
        </row>
        <row r="1454">
          <cell r="A1454">
            <v>22519024</v>
          </cell>
          <cell r="B1454" t="str">
            <v>대해적의 코트</v>
          </cell>
        </row>
        <row r="1455">
          <cell r="A1455">
            <v>22574001</v>
          </cell>
          <cell r="B1455" t="str">
            <v>북해 연합의 망토</v>
          </cell>
        </row>
        <row r="1456">
          <cell r="A1456">
            <v>22574002</v>
          </cell>
          <cell r="B1456" t="str">
            <v>진주섬의 망토</v>
          </cell>
        </row>
        <row r="1457">
          <cell r="A1457">
            <v>22574003</v>
          </cell>
          <cell r="B1457" t="str">
            <v>폭풍 선단의 망토</v>
          </cell>
        </row>
        <row r="1458">
          <cell r="A1458">
            <v>22564801</v>
          </cell>
          <cell r="B1458" t="str">
            <v>비술의 보석 망토</v>
          </cell>
        </row>
        <row r="1459">
          <cell r="A1459">
            <v>22564802</v>
          </cell>
          <cell r="B1459" t="str">
            <v>비술의 문양 망토</v>
          </cell>
        </row>
        <row r="1460">
          <cell r="A1460">
            <v>22564803</v>
          </cell>
          <cell r="B1460" t="str">
            <v>황금 염소의 털망토</v>
          </cell>
        </row>
        <row r="1461">
          <cell r="A1461">
            <v>22564804</v>
          </cell>
          <cell r="B1461" t="str">
            <v>붉은 털망토</v>
          </cell>
        </row>
        <row r="1462">
          <cell r="A1462">
            <v>22611001</v>
          </cell>
          <cell r="B1462" t="str">
            <v>복면</v>
          </cell>
        </row>
        <row r="1463">
          <cell r="A1463">
            <v>22611002</v>
          </cell>
          <cell r="B1463" t="str">
            <v>안대</v>
          </cell>
        </row>
        <row r="1464">
          <cell r="A1464">
            <v>22611003</v>
          </cell>
          <cell r="B1464" t="str">
            <v>안경</v>
          </cell>
        </row>
        <row r="1465">
          <cell r="A1465">
            <v>22611004</v>
          </cell>
          <cell r="B1465" t="str">
            <v>요루바 가면</v>
          </cell>
        </row>
        <row r="1466">
          <cell r="A1466">
            <v>22611005</v>
          </cell>
          <cell r="B1466" t="str">
            <v>고대 이집트 눈화장</v>
          </cell>
        </row>
        <row r="1467">
          <cell r="A1467">
            <v>22611006</v>
          </cell>
          <cell r="B1467" t="str">
            <v>타 모코</v>
          </cell>
        </row>
        <row r="1468">
          <cell r="A1468">
            <v>22611007</v>
          </cell>
          <cell r="B1468" t="str">
            <v>밧줄 머리띠</v>
          </cell>
        </row>
        <row r="1469">
          <cell r="A1469">
            <v>22611008</v>
          </cell>
          <cell r="B1469" t="str">
            <v>코걸이</v>
          </cell>
        </row>
        <row r="1470">
          <cell r="A1470">
            <v>22611009</v>
          </cell>
          <cell r="B1470" t="str">
            <v>나뭇가지</v>
          </cell>
        </row>
        <row r="1471">
          <cell r="A1471">
            <v>22611010</v>
          </cell>
          <cell r="B1471" t="str">
            <v>머리붕대</v>
          </cell>
        </row>
        <row r="1472">
          <cell r="A1472">
            <v>22611011</v>
          </cell>
          <cell r="B1472" t="str">
            <v>에그토스트</v>
          </cell>
        </row>
        <row r="1473">
          <cell r="A1473">
            <v>22611012</v>
          </cell>
          <cell r="B1473" t="str">
            <v>붉은 장미</v>
          </cell>
        </row>
        <row r="1474">
          <cell r="A1474">
            <v>22611013</v>
          </cell>
          <cell r="B1474" t="str">
            <v>연지곤지</v>
          </cell>
        </row>
        <row r="1475">
          <cell r="A1475">
            <v>22612001</v>
          </cell>
          <cell r="B1475" t="str">
            <v>고대의 석가면</v>
          </cell>
        </row>
        <row r="1476">
          <cell r="A1476">
            <v>22612002</v>
          </cell>
          <cell r="B1476" t="str">
            <v>해적의 안대</v>
          </cell>
        </row>
        <row r="1477">
          <cell r="A1477">
            <v>22612003</v>
          </cell>
          <cell r="B1477" t="str">
            <v>히우테크틀리 가면</v>
          </cell>
        </row>
        <row r="1478">
          <cell r="A1478">
            <v>22612004</v>
          </cell>
          <cell r="B1478" t="str">
            <v>기린 가면</v>
          </cell>
        </row>
        <row r="1479">
          <cell r="A1479">
            <v>22612005</v>
          </cell>
          <cell r="B1479" t="str">
            <v>가부키 가면</v>
          </cell>
        </row>
        <row r="1480">
          <cell r="A1480">
            <v>22612006</v>
          </cell>
          <cell r="B1480" t="str">
            <v>북아메리카 선주민 화장</v>
          </cell>
        </row>
        <row r="1481">
          <cell r="A1481">
            <v>22612007</v>
          </cell>
          <cell r="B1481" t="str">
            <v>진주 머리장식</v>
          </cell>
        </row>
        <row r="1482">
          <cell r="A1482">
            <v>22612008</v>
          </cell>
          <cell r="B1482" t="str">
            <v>발명가의 안경</v>
          </cell>
        </row>
        <row r="1483">
          <cell r="A1483">
            <v>22612009</v>
          </cell>
          <cell r="B1483" t="str">
            <v>화전</v>
          </cell>
        </row>
        <row r="1484">
          <cell r="A1484">
            <v>22612010</v>
          </cell>
          <cell r="B1484" t="str">
            <v>파이프 담배</v>
          </cell>
        </row>
        <row r="1485">
          <cell r="A1485">
            <v>22612011</v>
          </cell>
          <cell r="B1485" t="str">
            <v>눈사람 장식</v>
          </cell>
        </row>
        <row r="1486">
          <cell r="A1486">
            <v>22612012</v>
          </cell>
          <cell r="B1486" t="str">
            <v>소용돌이 사탕</v>
          </cell>
        </row>
        <row r="1487">
          <cell r="A1487">
            <v>22612013</v>
          </cell>
          <cell r="B1487" t="str">
            <v>선주민 사냥꾼 화장</v>
          </cell>
        </row>
        <row r="1488">
          <cell r="A1488">
            <v>22612014</v>
          </cell>
          <cell r="B1488" t="str">
            <v>고양이 발자국</v>
          </cell>
        </row>
        <row r="1489">
          <cell r="A1489">
            <v>22612015</v>
          </cell>
          <cell r="B1489" t="str">
            <v>사랑의 편지</v>
          </cell>
        </row>
        <row r="1490">
          <cell r="A1490">
            <v>22612016</v>
          </cell>
          <cell r="B1490" t="str">
            <v>붕대 복면</v>
          </cell>
        </row>
        <row r="1491">
          <cell r="A1491">
            <v>22612017</v>
          </cell>
          <cell r="B1491" t="str">
            <v>붕대 안대</v>
          </cell>
        </row>
        <row r="1492">
          <cell r="A1492">
            <v>22612018</v>
          </cell>
          <cell r="B1492" t="str">
            <v>괴물의 흉터</v>
          </cell>
        </row>
        <row r="1493">
          <cell r="A1493">
            <v>22612019</v>
          </cell>
          <cell r="B1493" t="str">
            <v>크루제바 안대</v>
          </cell>
        </row>
        <row r="1494">
          <cell r="A1494">
            <v>22612020</v>
          </cell>
          <cell r="B1494" t="str">
            <v>루주 자국</v>
          </cell>
        </row>
        <row r="1495">
          <cell r="A1495">
            <v>22612021</v>
          </cell>
          <cell r="B1495" t="str">
            <v>하트 안경</v>
          </cell>
        </row>
        <row r="1496">
          <cell r="A1496">
            <v>22612022</v>
          </cell>
          <cell r="B1496" t="str">
            <v>수면 안대</v>
          </cell>
        </row>
        <row r="1497">
          <cell r="A1497">
            <v>22612023</v>
          </cell>
          <cell r="B1497" t="str">
            <v>미라 붕대</v>
          </cell>
        </row>
        <row r="1498">
          <cell r="A1498">
            <v>22612024</v>
          </cell>
          <cell r="B1498" t="str">
            <v>강아지 코 장식</v>
          </cell>
        </row>
        <row r="1499">
          <cell r="A1499">
            <v>22612025</v>
          </cell>
          <cell r="B1499" t="str">
            <v>피노키오 코 장식</v>
          </cell>
        </row>
        <row r="1500">
          <cell r="A1500">
            <v>22612026</v>
          </cell>
          <cell r="B1500" t="str">
            <v>고대 그리스 화장</v>
          </cell>
        </row>
        <row r="1501">
          <cell r="A1501">
            <v>22612027</v>
          </cell>
          <cell r="B1501" t="str">
            <v>루돌프 코 장식</v>
          </cell>
        </row>
        <row r="1502">
          <cell r="A1502">
            <v>22613001</v>
          </cell>
          <cell r="B1502" t="str">
            <v>면구</v>
          </cell>
        </row>
        <row r="1503">
          <cell r="A1503">
            <v>22613002</v>
          </cell>
          <cell r="B1503" t="str">
            <v>역병 의사 가면</v>
          </cell>
        </row>
        <row r="1504">
          <cell r="A1504">
            <v>22613003</v>
          </cell>
          <cell r="B1504" t="str">
            <v>오페라 가면</v>
          </cell>
        </row>
        <row r="1505">
          <cell r="A1505">
            <v>22613004</v>
          </cell>
          <cell r="B1505" t="str">
            <v>단안경</v>
          </cell>
        </row>
        <row r="1506">
          <cell r="A1506">
            <v>22613005</v>
          </cell>
          <cell r="B1506" t="str">
            <v>얼음 가면</v>
          </cell>
        </row>
        <row r="1507">
          <cell r="A1507">
            <v>22613006</v>
          </cell>
          <cell r="B1507" t="str">
            <v>초승달 머리띠</v>
          </cell>
        </row>
        <row r="1508">
          <cell r="A1508">
            <v>22613007</v>
          </cell>
          <cell r="B1508" t="str">
            <v>다이아몬드 가면</v>
          </cell>
        </row>
        <row r="1509">
          <cell r="A1509">
            <v>22613008</v>
          </cell>
          <cell r="B1509" t="str">
            <v>오리 입 장식</v>
          </cell>
        </row>
        <row r="1510">
          <cell r="A1510">
            <v>22613009</v>
          </cell>
          <cell r="B1510" t="str">
            <v>강시 부적</v>
          </cell>
        </row>
        <row r="1511">
          <cell r="A1511">
            <v>22613010</v>
          </cell>
          <cell r="B1511" t="str">
            <v>코주부 안경</v>
          </cell>
        </row>
        <row r="1512">
          <cell r="A1512">
            <v>22613011</v>
          </cell>
          <cell r="B1512" t="str">
            <v>해적의 장미 안대</v>
          </cell>
        </row>
        <row r="1513">
          <cell r="A1513">
            <v>22613012</v>
          </cell>
          <cell r="B1513" t="str">
            <v>유령의 가면</v>
          </cell>
        </row>
        <row r="1514">
          <cell r="A1514">
            <v>22613013</v>
          </cell>
          <cell r="B1514" t="str">
            <v>해적의 간식</v>
          </cell>
        </row>
        <row r="1515">
          <cell r="A1515">
            <v>22613014</v>
          </cell>
          <cell r="B1515" t="str">
            <v>오이 화장</v>
          </cell>
        </row>
        <row r="1516">
          <cell r="A1516">
            <v>22613015</v>
          </cell>
          <cell r="B1516" t="str">
            <v>맹수 가면</v>
          </cell>
        </row>
        <row r="1517">
          <cell r="A1517">
            <v>22613016</v>
          </cell>
          <cell r="B1517" t="str">
            <v>월계관</v>
          </cell>
        </row>
        <row r="1518">
          <cell r="A1518">
            <v>22613017</v>
          </cell>
          <cell r="B1518" t="str">
            <v>심안 화장</v>
          </cell>
        </row>
        <row r="1519">
          <cell r="A1519">
            <v>22613018</v>
          </cell>
          <cell r="B1519" t="str">
            <v>애착거미</v>
          </cell>
        </row>
        <row r="1520">
          <cell r="A1520">
            <v>22613019</v>
          </cell>
          <cell r="B1520" t="str">
            <v>각진 색안경</v>
          </cell>
        </row>
        <row r="1521">
          <cell r="A1521">
            <v>22613020</v>
          </cell>
          <cell r="B1521" t="str">
            <v>저팔계 장식</v>
          </cell>
        </row>
        <row r="1522">
          <cell r="A1522">
            <v>22613021</v>
          </cell>
          <cell r="B1522" t="str">
            <v>오데투의 가면</v>
          </cell>
        </row>
        <row r="1523">
          <cell r="A1523">
            <v>22613022</v>
          </cell>
          <cell r="B1523" t="str">
            <v>검은 베일</v>
          </cell>
        </row>
        <row r="1524">
          <cell r="A1524">
            <v>22613023</v>
          </cell>
          <cell r="B1524" t="str">
            <v>나스</v>
          </cell>
        </row>
        <row r="1525">
          <cell r="A1525">
            <v>22613024</v>
          </cell>
          <cell r="B1525" t="str">
            <v>광대 가면</v>
          </cell>
        </row>
        <row r="1526">
          <cell r="A1526">
            <v>22613025</v>
          </cell>
          <cell r="B1526" t="str">
            <v>괴도의 가면</v>
          </cell>
        </row>
        <row r="1527">
          <cell r="A1527">
            <v>22613026</v>
          </cell>
          <cell r="B1527" t="str">
            <v>격자무늬 가면</v>
          </cell>
        </row>
        <row r="1528">
          <cell r="A1528">
            <v>22613027</v>
          </cell>
          <cell r="B1528" t="str">
            <v>함진아비 가면</v>
          </cell>
        </row>
        <row r="1529">
          <cell r="A1529">
            <v>22613028</v>
          </cell>
          <cell r="B1529" t="str">
            <v>무희의 머리장식</v>
          </cell>
        </row>
        <row r="1530">
          <cell r="A1530">
            <v>22613029</v>
          </cell>
          <cell r="B1530" t="str">
            <v>고글</v>
          </cell>
        </row>
        <row r="1531">
          <cell r="A1531">
            <v>22613030</v>
          </cell>
          <cell r="B1531" t="str">
            <v>점술가의 별 머리장식</v>
          </cell>
        </row>
        <row r="1532">
          <cell r="A1532">
            <v>22613031</v>
          </cell>
          <cell r="B1532" t="str">
            <v>판금 가면</v>
          </cell>
        </row>
        <row r="1533">
          <cell r="A1533">
            <v>22613032</v>
          </cell>
          <cell r="B1533" t="str">
            <v>프릴 하트 안대</v>
          </cell>
        </row>
        <row r="1534">
          <cell r="A1534">
            <v>22613033</v>
          </cell>
          <cell r="B1534" t="str">
            <v>유리 가면</v>
          </cell>
        </row>
        <row r="1535">
          <cell r="A1535">
            <v>22613034</v>
          </cell>
          <cell r="B1535" t="str">
            <v>관심법의 안대</v>
          </cell>
        </row>
        <row r="1536">
          <cell r="A1536">
            <v>22613035</v>
          </cell>
          <cell r="B1536" t="str">
            <v>파피용 가면</v>
          </cell>
        </row>
        <row r="1537">
          <cell r="A1537">
            <v>22673007</v>
          </cell>
          <cell r="B1537" t="str">
            <v>빙하 선단의 가면</v>
          </cell>
        </row>
        <row r="1538">
          <cell r="A1538">
            <v>22673008</v>
          </cell>
          <cell r="B1538" t="str">
            <v>붉은 산호섬의 단안경</v>
          </cell>
        </row>
        <row r="1539">
          <cell r="A1539">
            <v>22673009</v>
          </cell>
          <cell r="B1539" t="str">
            <v>상단 연합의 머리띠</v>
          </cell>
        </row>
        <row r="1540">
          <cell r="A1540">
            <v>22614001</v>
          </cell>
          <cell r="B1540" t="str">
            <v>코스모 가면</v>
          </cell>
        </row>
        <row r="1541">
          <cell r="A1541">
            <v>22614002</v>
          </cell>
          <cell r="B1541" t="str">
            <v>양반탈</v>
          </cell>
        </row>
        <row r="1542">
          <cell r="A1542">
            <v>22614003</v>
          </cell>
          <cell r="B1542" t="str">
            <v>카니발 가면</v>
          </cell>
        </row>
        <row r="1543">
          <cell r="A1543">
            <v>22614004</v>
          </cell>
          <cell r="B1543" t="str">
            <v>가이 포크스 가면</v>
          </cell>
        </row>
        <row r="1544">
          <cell r="A1544">
            <v>22614005</v>
          </cell>
          <cell r="B1544" t="str">
            <v>하트 여왕의 가면</v>
          </cell>
        </row>
        <row r="1545">
          <cell r="A1545">
            <v>22614006</v>
          </cell>
          <cell r="B1545" t="str">
            <v>의적의 가면</v>
          </cell>
        </row>
        <row r="1546">
          <cell r="A1546">
            <v>22614007</v>
          </cell>
          <cell r="B1546" t="str">
            <v>요정의 머리장식</v>
          </cell>
        </row>
        <row r="1547">
          <cell r="A1547">
            <v>22614008</v>
          </cell>
          <cell r="B1547" t="str">
            <v>호루스의 눈화장</v>
          </cell>
        </row>
        <row r="1548">
          <cell r="A1548">
            <v>22614009</v>
          </cell>
          <cell r="B1548" t="str">
            <v>티키 가면</v>
          </cell>
        </row>
        <row r="1549">
          <cell r="A1549">
            <v>22614010</v>
          </cell>
          <cell r="B1549" t="str">
            <v>북청사자탈</v>
          </cell>
        </row>
        <row r="1550">
          <cell r="A1550">
            <v>22614011</v>
          </cell>
          <cell r="B1550" t="str">
            <v>한냐 가면</v>
          </cell>
        </row>
        <row r="1551">
          <cell r="A1551">
            <v>22614012</v>
          </cell>
          <cell r="B1551" t="str">
            <v>귀부인의 가면</v>
          </cell>
        </row>
        <row r="1552">
          <cell r="A1552">
            <v>22614013</v>
          </cell>
          <cell r="B1552" t="str">
            <v>왕의 가면</v>
          </cell>
        </row>
        <row r="1553">
          <cell r="A1553">
            <v>22614014</v>
          </cell>
          <cell r="B1553" t="str">
            <v>여왕의 가면</v>
          </cell>
        </row>
        <row r="1554">
          <cell r="A1554">
            <v>22614015</v>
          </cell>
          <cell r="B1554" t="str">
            <v>선주민 수호자의 가면</v>
          </cell>
        </row>
        <row r="1555">
          <cell r="A1555">
            <v>22614016</v>
          </cell>
          <cell r="B1555" t="str">
            <v>도하신의 가면</v>
          </cell>
        </row>
        <row r="1556">
          <cell r="A1556">
            <v>22614017</v>
          </cell>
          <cell r="B1556" t="str">
            <v>돌사자 가면</v>
          </cell>
        </row>
        <row r="1557">
          <cell r="A1557">
            <v>22614018</v>
          </cell>
          <cell r="B1557" t="str">
            <v>검무사의 안대</v>
          </cell>
        </row>
        <row r="1558">
          <cell r="A1558">
            <v>22614019</v>
          </cell>
          <cell r="B1558" t="str">
            <v>무도회 가면</v>
          </cell>
        </row>
        <row r="1559">
          <cell r="A1559">
            <v>22614020</v>
          </cell>
          <cell r="B1559" t="str">
            <v>무법자의 가죽 가면</v>
          </cell>
        </row>
        <row r="1560">
          <cell r="A1560">
            <v>22614021</v>
          </cell>
          <cell r="B1560" t="str">
            <v>베들라 가면</v>
          </cell>
        </row>
        <row r="1561">
          <cell r="A1561">
            <v>22614022</v>
          </cell>
          <cell r="B1561" t="str">
            <v>사안의 안대</v>
          </cell>
        </row>
        <row r="1562">
          <cell r="A1562">
            <v>22614023</v>
          </cell>
          <cell r="B1562" t="str">
            <v>거울 안대</v>
          </cell>
        </row>
        <row r="1563">
          <cell r="A1563">
            <v>22614024</v>
          </cell>
          <cell r="B1563" t="str">
            <v>모략꾼의 안대</v>
          </cell>
        </row>
        <row r="1564">
          <cell r="A1564">
            <v>22614025</v>
          </cell>
          <cell r="B1564" t="str">
            <v>드래곤 안대</v>
          </cell>
        </row>
        <row r="1565">
          <cell r="A1565">
            <v>22614026</v>
          </cell>
          <cell r="B1565" t="str">
            <v>장미 가면</v>
          </cell>
        </row>
        <row r="1566">
          <cell r="A1566">
            <v>22614027</v>
          </cell>
          <cell r="B1566" t="str">
            <v>증녀 가면</v>
          </cell>
        </row>
        <row r="1567">
          <cell r="A1567">
            <v>22614028</v>
          </cell>
          <cell r="B1567" t="str">
            <v>긴고아</v>
          </cell>
        </row>
        <row r="1568">
          <cell r="A1568">
            <v>22664801</v>
          </cell>
          <cell r="B1568" t="str">
            <v>비술의 장식</v>
          </cell>
        </row>
        <row r="1569">
          <cell r="A1569">
            <v>22664802</v>
          </cell>
          <cell r="B1569" t="str">
            <v>비술의 안경</v>
          </cell>
        </row>
        <row r="1570">
          <cell r="A1570">
            <v>22664803</v>
          </cell>
          <cell r="B1570" t="str">
            <v>황금 염소의 고글</v>
          </cell>
        </row>
        <row r="1571">
          <cell r="A1571">
            <v>22664804</v>
          </cell>
          <cell r="B1571" t="str">
            <v>붉은 망토의 목도리</v>
          </cell>
        </row>
        <row r="1572">
          <cell r="A1572">
            <v>22671001</v>
          </cell>
          <cell r="B1572" t="str">
            <v>재규어 전사의 가면</v>
          </cell>
        </row>
        <row r="1573">
          <cell r="A1573">
            <v>22673001</v>
          </cell>
          <cell r="B1573" t="str">
            <v>아그리피나의 머리 장식</v>
          </cell>
        </row>
        <row r="1574">
          <cell r="A1574">
            <v>22673003</v>
          </cell>
          <cell r="B1574" t="str">
            <v>요크</v>
          </cell>
        </row>
        <row r="1575">
          <cell r="A1575">
            <v>22673005</v>
          </cell>
          <cell r="B1575" t="str">
            <v>투탕카멘왕의 황금마스크</v>
          </cell>
        </row>
        <row r="1576">
          <cell r="A1576">
            <v>22674001</v>
          </cell>
          <cell r="B1576" t="str">
            <v>금 머리 장식</v>
          </cell>
        </row>
        <row r="1577">
          <cell r="A1577">
            <v>22674003</v>
          </cell>
          <cell r="B1577" t="str">
            <v>냐우의 가면</v>
          </cell>
        </row>
        <row r="1578">
          <cell r="A1578">
            <v>22674005</v>
          </cell>
          <cell r="B1578" t="str">
            <v>시민관</v>
          </cell>
        </row>
        <row r="1579">
          <cell r="A1579">
            <v>22674007</v>
          </cell>
          <cell r="B1579" t="str">
            <v>북해 연합의 가면</v>
          </cell>
        </row>
        <row r="1580">
          <cell r="A1580">
            <v>22674008</v>
          </cell>
          <cell r="B1580" t="str">
            <v>진주섬의 가면</v>
          </cell>
        </row>
        <row r="1581">
          <cell r="A1581">
            <v>22674009</v>
          </cell>
          <cell r="B1581" t="str">
            <v>폭풍 선단의 가면</v>
          </cell>
        </row>
        <row r="1582">
          <cell r="A1582">
            <v>22675001</v>
          </cell>
          <cell r="B1582" t="str">
            <v>바롱의 가면</v>
          </cell>
        </row>
        <row r="1583">
          <cell r="A1583">
            <v>22711001</v>
          </cell>
          <cell r="B1583" t="str">
            <v>낡은 스틸레토</v>
          </cell>
        </row>
        <row r="1584">
          <cell r="A1584">
            <v>22711002</v>
          </cell>
          <cell r="B1584" t="str">
            <v>낡은 휠락 피스톨</v>
          </cell>
        </row>
        <row r="1585">
          <cell r="A1585">
            <v>22711003</v>
          </cell>
          <cell r="B1585" t="str">
            <v>낡은 워 해머</v>
          </cell>
        </row>
        <row r="1586">
          <cell r="A1586">
            <v>22711004</v>
          </cell>
          <cell r="B1586" t="str">
            <v>낡은 샴쉬르</v>
          </cell>
        </row>
        <row r="1587">
          <cell r="A1587">
            <v>22711005</v>
          </cell>
          <cell r="B1587" t="str">
            <v>낡은 야유</v>
          </cell>
        </row>
        <row r="1588">
          <cell r="A1588">
            <v>22711006</v>
          </cell>
          <cell r="B1588" t="str">
            <v>낡은 츠바이헨더</v>
          </cell>
        </row>
        <row r="1589">
          <cell r="A1589">
            <v>22711007</v>
          </cell>
          <cell r="B1589" t="str">
            <v>낡은 크로스보우</v>
          </cell>
        </row>
        <row r="1590">
          <cell r="A1590">
            <v>22711008</v>
          </cell>
          <cell r="B1590" t="str">
            <v>낡은 아세가이</v>
          </cell>
        </row>
        <row r="1591">
          <cell r="A1591">
            <v>22711009</v>
          </cell>
          <cell r="B1591" t="str">
            <v>낡은 우타</v>
          </cell>
        </row>
        <row r="1592">
          <cell r="A1592">
            <v>22711010</v>
          </cell>
          <cell r="B1592" t="str">
            <v>낡은 토마호크</v>
          </cell>
        </row>
        <row r="1593">
          <cell r="A1593">
            <v>22711011</v>
          </cell>
          <cell r="B1593" t="str">
            <v>낡은 워 보우</v>
          </cell>
        </row>
        <row r="1594">
          <cell r="A1594">
            <v>22711012</v>
          </cell>
          <cell r="B1594" t="str">
            <v>낡은 마쿠아후이틀</v>
          </cell>
        </row>
        <row r="1595">
          <cell r="A1595">
            <v>22711013</v>
          </cell>
          <cell r="B1595" t="str">
            <v>낡은 차스카 추키</v>
          </cell>
        </row>
        <row r="1596">
          <cell r="A1596">
            <v>22711014</v>
          </cell>
          <cell r="B1596" t="str">
            <v>낡은 타바르</v>
          </cell>
        </row>
        <row r="1597">
          <cell r="A1597">
            <v>22711015</v>
          </cell>
          <cell r="B1597" t="str">
            <v>낡은 카만</v>
          </cell>
        </row>
        <row r="1598">
          <cell r="A1598">
            <v>22711016</v>
          </cell>
          <cell r="B1598" t="str">
            <v>낡은 캄피란</v>
          </cell>
        </row>
        <row r="1599">
          <cell r="A1599">
            <v>22711017</v>
          </cell>
          <cell r="B1599" t="str">
            <v>낡은 브딜</v>
          </cell>
        </row>
        <row r="1600">
          <cell r="A1600">
            <v>22711018</v>
          </cell>
          <cell r="B1600" t="str">
            <v>낡은 타도</v>
          </cell>
        </row>
        <row r="1601">
          <cell r="A1601">
            <v>22711019</v>
          </cell>
          <cell r="B1601" t="str">
            <v>낡은 철포</v>
          </cell>
        </row>
        <row r="1602">
          <cell r="A1602">
            <v>22711020</v>
          </cell>
          <cell r="B1602" t="str">
            <v>낡은 환도</v>
          </cell>
        </row>
        <row r="1603">
          <cell r="A1603">
            <v>22711021</v>
          </cell>
          <cell r="B1603" t="str">
            <v>낡은 각궁</v>
          </cell>
        </row>
        <row r="1604">
          <cell r="A1604">
            <v>22711022</v>
          </cell>
          <cell r="B1604" t="str">
            <v>낡은 장창</v>
          </cell>
        </row>
        <row r="1605">
          <cell r="A1605">
            <v>22711023</v>
          </cell>
          <cell r="B1605" t="str">
            <v>낡은 강노</v>
          </cell>
        </row>
        <row r="1606">
          <cell r="A1606">
            <v>22711024</v>
          </cell>
          <cell r="B1606" t="str">
            <v>낡은 에페</v>
          </cell>
        </row>
        <row r="1607">
          <cell r="A1607">
            <v>22711025</v>
          </cell>
          <cell r="B1607" t="str">
            <v>낡은 커틀라스</v>
          </cell>
        </row>
        <row r="1608">
          <cell r="A1608">
            <v>22711026</v>
          </cell>
          <cell r="B1608" t="str">
            <v>낡은 모닝스타</v>
          </cell>
        </row>
        <row r="1609">
          <cell r="A1609">
            <v>22711027</v>
          </cell>
          <cell r="B1609" t="str">
            <v>낡은 장창</v>
          </cell>
        </row>
        <row r="1610">
          <cell r="A1610">
            <v>22711028</v>
          </cell>
          <cell r="B1610" t="str">
            <v>낡은 단검</v>
          </cell>
        </row>
        <row r="1611">
          <cell r="A1611">
            <v>22711029</v>
          </cell>
          <cell r="B1611" t="str">
            <v>낡은 배틀 액스</v>
          </cell>
        </row>
        <row r="1612">
          <cell r="A1612">
            <v>22711030</v>
          </cell>
          <cell r="B1612" t="str">
            <v>낡은 쌍도끼</v>
          </cell>
        </row>
        <row r="1613">
          <cell r="A1613">
            <v>22711031</v>
          </cell>
          <cell r="B1613" t="str">
            <v>낡은 레이피어</v>
          </cell>
        </row>
        <row r="1614">
          <cell r="A1614">
            <v>22711032</v>
          </cell>
          <cell r="B1614" t="str">
            <v>낡은 아쿼버스</v>
          </cell>
        </row>
        <row r="1615">
          <cell r="A1615">
            <v>22711033</v>
          </cell>
          <cell r="B1615" t="str">
            <v>낡은 플린트락 피스톨</v>
          </cell>
        </row>
        <row r="1616">
          <cell r="A1616">
            <v>22711034</v>
          </cell>
          <cell r="B1616" t="str">
            <v>낡은 테포즈토필리</v>
          </cell>
        </row>
        <row r="1617">
          <cell r="A1617">
            <v>22711035</v>
          </cell>
          <cell r="B1617" t="str">
            <v>나무 지팡이</v>
          </cell>
        </row>
        <row r="1618">
          <cell r="A1618">
            <v>22721001</v>
          </cell>
          <cell r="B1618" t="str">
            <v>낡은 튜닉</v>
          </cell>
        </row>
        <row r="1619">
          <cell r="A1619">
            <v>22721003</v>
          </cell>
          <cell r="B1619" t="str">
            <v>낡은 히르카</v>
          </cell>
        </row>
        <row r="1620">
          <cell r="A1620">
            <v>22721005</v>
          </cell>
          <cell r="B1620" t="str">
            <v>낡은 브레스트 플레이트</v>
          </cell>
        </row>
        <row r="1621">
          <cell r="A1621">
            <v>22721007</v>
          </cell>
          <cell r="B1621" t="str">
            <v>낡은 줄루족의 의복_남성용</v>
          </cell>
        </row>
        <row r="1622">
          <cell r="A1622">
            <v>22721008</v>
          </cell>
          <cell r="B1622" t="str">
            <v>낡은 에나구아_여성용</v>
          </cell>
        </row>
        <row r="1623">
          <cell r="A1623">
            <v>22721009</v>
          </cell>
          <cell r="B1623" t="str">
            <v>낡은 사냥꾼의 튜닉_남성용</v>
          </cell>
        </row>
        <row r="1624">
          <cell r="A1624">
            <v>22721010</v>
          </cell>
          <cell r="B1624" t="str">
            <v>낡은 튜닉 드레스_여성용</v>
          </cell>
        </row>
        <row r="1625">
          <cell r="A1625">
            <v>22721011</v>
          </cell>
          <cell r="B1625" t="str">
            <v>낡은 막스틀라틀_남성용</v>
          </cell>
        </row>
        <row r="1626">
          <cell r="A1626">
            <v>22721012</v>
          </cell>
          <cell r="B1626" t="str">
            <v>낡은 우이필_여성용</v>
          </cell>
        </row>
        <row r="1627">
          <cell r="A1627">
            <v>22721013</v>
          </cell>
          <cell r="B1627" t="str">
            <v>낡은 자마_남성용</v>
          </cell>
        </row>
        <row r="1628">
          <cell r="A1628">
            <v>22721014</v>
          </cell>
          <cell r="B1628" t="str">
            <v>낡은 포샤크_여성용</v>
          </cell>
        </row>
        <row r="1629">
          <cell r="A1629">
            <v>22721015</v>
          </cell>
          <cell r="B1629" t="str">
            <v>낡은 사롱_남성용</v>
          </cell>
        </row>
        <row r="1630">
          <cell r="A1630">
            <v>22721016</v>
          </cell>
          <cell r="B1630" t="str">
            <v>낡은 크바야_여성용</v>
          </cell>
        </row>
        <row r="1631">
          <cell r="A1631">
            <v>22721017</v>
          </cell>
          <cell r="B1631" t="str">
            <v>낡은 법피</v>
          </cell>
        </row>
        <row r="1632">
          <cell r="A1632">
            <v>22721019</v>
          </cell>
          <cell r="B1632" t="str">
            <v>낡은 학창의_남성용</v>
          </cell>
        </row>
        <row r="1633">
          <cell r="A1633">
            <v>22721020</v>
          </cell>
          <cell r="B1633" t="str">
            <v>낡은 치마저고리_여성용</v>
          </cell>
        </row>
        <row r="1634">
          <cell r="A1634">
            <v>22721021</v>
          </cell>
          <cell r="B1634" t="str">
            <v>낡은 찰갑</v>
          </cell>
        </row>
        <row r="1635">
          <cell r="A1635">
            <v>22721023</v>
          </cell>
          <cell r="B1635" t="str">
            <v>낡은 어대구족</v>
          </cell>
        </row>
        <row r="1636">
          <cell r="A1636">
            <v>22721025</v>
          </cell>
          <cell r="B1636" t="str">
            <v>낡은 수도복_남성용</v>
          </cell>
        </row>
        <row r="1637">
          <cell r="A1637">
            <v>22721026</v>
          </cell>
          <cell r="B1637" t="str">
            <v>낡은 수녀복_여성용</v>
          </cell>
        </row>
        <row r="1638">
          <cell r="A1638">
            <v>22721027</v>
          </cell>
          <cell r="B1638" t="str">
            <v>낡은 가사_남성용</v>
          </cell>
        </row>
        <row r="1639">
          <cell r="A1639">
            <v>22721029</v>
          </cell>
          <cell r="B1639" t="str">
            <v>낡은 여행복_남성용</v>
          </cell>
        </row>
        <row r="1640">
          <cell r="A1640">
            <v>22721030</v>
          </cell>
          <cell r="B1640" t="str">
            <v>낡은 가죽 포수복_여성용</v>
          </cell>
        </row>
        <row r="1641">
          <cell r="A1641">
            <v>22721031</v>
          </cell>
          <cell r="B1641" t="str">
            <v>낡은 선원복_남성용</v>
          </cell>
        </row>
        <row r="1642">
          <cell r="A1642">
            <v>22721032</v>
          </cell>
          <cell r="B1642" t="str">
            <v>낡은 에이프런 드레스_여성용</v>
          </cell>
        </row>
        <row r="1643">
          <cell r="A1643">
            <v>22731001</v>
          </cell>
          <cell r="B1643" t="str">
            <v>낡은 터번</v>
          </cell>
        </row>
        <row r="1644">
          <cell r="A1644">
            <v>22731003</v>
          </cell>
          <cell r="B1644" t="str">
            <v>낡은 마앙 티카_여성용</v>
          </cell>
        </row>
        <row r="1645">
          <cell r="A1645">
            <v>22731004</v>
          </cell>
          <cell r="B1645" t="str">
            <v>낡은 수녀의 베일_여성용</v>
          </cell>
        </row>
        <row r="1646">
          <cell r="A1646">
            <v>22910001</v>
          </cell>
          <cell r="B1646" t="str">
            <v>#Lv1_공용</v>
          </cell>
        </row>
        <row r="1647">
          <cell r="A1647">
            <v>22910002</v>
          </cell>
          <cell r="B1647" t="str">
            <v>#Lv2_공용</v>
          </cell>
        </row>
        <row r="1648">
          <cell r="A1648">
            <v>22910003</v>
          </cell>
          <cell r="B1648" t="str">
            <v>#Lv3_공용</v>
          </cell>
        </row>
        <row r="1649">
          <cell r="A1649">
            <v>22910004</v>
          </cell>
          <cell r="B1649" t="str">
            <v>#Lv4_공용</v>
          </cell>
        </row>
        <row r="1650">
          <cell r="A1650">
            <v>22910005</v>
          </cell>
          <cell r="B1650" t="str">
            <v>#Lv5_공용</v>
          </cell>
        </row>
        <row r="1651">
          <cell r="A1651">
            <v>22910006</v>
          </cell>
          <cell r="B1651" t="str">
            <v>#Lv6_공용</v>
          </cell>
        </row>
        <row r="1652">
          <cell r="A1652">
            <v>22910007</v>
          </cell>
          <cell r="B1652" t="str">
            <v>#Lv7_공용</v>
          </cell>
        </row>
        <row r="1653">
          <cell r="A1653">
            <v>22910008</v>
          </cell>
          <cell r="B1653" t="str">
            <v>#Lv8_공용</v>
          </cell>
        </row>
        <row r="1654">
          <cell r="A1654">
            <v>22910009</v>
          </cell>
          <cell r="B1654" t="str">
            <v>#Lv9_공용</v>
          </cell>
        </row>
        <row r="1655">
          <cell r="A1655">
            <v>22910010</v>
          </cell>
          <cell r="B1655" t="str">
            <v>#Lv10_공용</v>
          </cell>
        </row>
        <row r="1656">
          <cell r="A1656">
            <v>22910011</v>
          </cell>
          <cell r="B1656" t="str">
            <v>#Lv11_공용</v>
          </cell>
        </row>
        <row r="1657">
          <cell r="A1657">
            <v>22910012</v>
          </cell>
          <cell r="B1657" t="str">
            <v>#Lv12_공용</v>
          </cell>
        </row>
        <row r="1658">
          <cell r="A1658">
            <v>22910013</v>
          </cell>
          <cell r="B1658" t="str">
            <v>#Lv13_공용</v>
          </cell>
        </row>
        <row r="1659">
          <cell r="A1659">
            <v>22910014</v>
          </cell>
          <cell r="B1659" t="str">
            <v>#Lv14_공용</v>
          </cell>
        </row>
        <row r="1660">
          <cell r="A1660">
            <v>22910015</v>
          </cell>
          <cell r="B1660" t="str">
            <v>#Lv15_공용</v>
          </cell>
        </row>
        <row r="1661">
          <cell r="A1661">
            <v>22910016</v>
          </cell>
          <cell r="B1661" t="str">
            <v>#Lv16_공용</v>
          </cell>
        </row>
        <row r="1662">
          <cell r="A1662">
            <v>22910017</v>
          </cell>
          <cell r="B1662" t="str">
            <v>#Lv17_공용</v>
          </cell>
        </row>
        <row r="1663">
          <cell r="A1663">
            <v>22910018</v>
          </cell>
          <cell r="B1663" t="str">
            <v>#Lv18_공용</v>
          </cell>
        </row>
        <row r="1664">
          <cell r="A1664">
            <v>22910019</v>
          </cell>
          <cell r="B1664" t="str">
            <v>#Lv19_공용</v>
          </cell>
        </row>
        <row r="1665">
          <cell r="A1665">
            <v>22910020</v>
          </cell>
          <cell r="B1665" t="str">
            <v>#Lv20_공용</v>
          </cell>
        </row>
        <row r="1666">
          <cell r="A1666">
            <v>22910021</v>
          </cell>
          <cell r="B1666" t="str">
            <v>#Lv21_공용</v>
          </cell>
        </row>
        <row r="1667">
          <cell r="A1667">
            <v>22910022</v>
          </cell>
          <cell r="B1667" t="str">
            <v>#Lv22_공용</v>
          </cell>
        </row>
        <row r="1668">
          <cell r="A1668">
            <v>22910023</v>
          </cell>
          <cell r="B1668" t="str">
            <v>#Lv23_공용</v>
          </cell>
        </row>
        <row r="1669">
          <cell r="A1669">
            <v>22910024</v>
          </cell>
          <cell r="B1669" t="str">
            <v>#Lv24_공용</v>
          </cell>
        </row>
        <row r="1670">
          <cell r="A1670">
            <v>22910025</v>
          </cell>
          <cell r="B1670" t="str">
            <v>#Lv25_공용</v>
          </cell>
        </row>
        <row r="1671">
          <cell r="A1671">
            <v>22910026</v>
          </cell>
          <cell r="B1671" t="str">
            <v>#Lv26_공용</v>
          </cell>
        </row>
        <row r="1672">
          <cell r="A1672">
            <v>22910027</v>
          </cell>
          <cell r="B1672" t="str">
            <v>#Lv27_공용</v>
          </cell>
        </row>
        <row r="1673">
          <cell r="A1673">
            <v>22910028</v>
          </cell>
          <cell r="B1673" t="str">
            <v>#Lv28_공용</v>
          </cell>
        </row>
        <row r="1674">
          <cell r="A1674">
            <v>22910029</v>
          </cell>
          <cell r="B1674" t="str">
            <v>#Lv29_공용</v>
          </cell>
        </row>
        <row r="1675">
          <cell r="A1675">
            <v>22910030</v>
          </cell>
          <cell r="B1675" t="str">
            <v>#Lv30_공용</v>
          </cell>
        </row>
        <row r="1676">
          <cell r="A1676">
            <v>22910031</v>
          </cell>
          <cell r="B1676" t="str">
            <v>#Lv31_공용</v>
          </cell>
        </row>
        <row r="1677">
          <cell r="A1677">
            <v>22910032</v>
          </cell>
          <cell r="B1677" t="str">
            <v>#Lv32_공용</v>
          </cell>
        </row>
        <row r="1678">
          <cell r="A1678">
            <v>22910033</v>
          </cell>
          <cell r="B1678" t="str">
            <v>#Lv33_공용</v>
          </cell>
        </row>
        <row r="1679">
          <cell r="A1679">
            <v>22910034</v>
          </cell>
          <cell r="B1679" t="str">
            <v>#Lv34_공용</v>
          </cell>
        </row>
        <row r="1680">
          <cell r="A1680">
            <v>22910035</v>
          </cell>
          <cell r="B1680" t="str">
            <v>#Lv35_공용</v>
          </cell>
        </row>
        <row r="1681">
          <cell r="A1681">
            <v>22910036</v>
          </cell>
          <cell r="B1681" t="str">
            <v>#Lv36_공용</v>
          </cell>
        </row>
        <row r="1682">
          <cell r="A1682">
            <v>22910037</v>
          </cell>
          <cell r="B1682" t="str">
            <v>#Lv37_공용</v>
          </cell>
        </row>
        <row r="1683">
          <cell r="A1683">
            <v>22910038</v>
          </cell>
          <cell r="B1683" t="str">
            <v>#Lv38_공용</v>
          </cell>
        </row>
        <row r="1684">
          <cell r="A1684">
            <v>22910039</v>
          </cell>
          <cell r="B1684" t="str">
            <v>#Lv39_공용</v>
          </cell>
        </row>
        <row r="1685">
          <cell r="A1685">
            <v>22910040</v>
          </cell>
          <cell r="B1685" t="str">
            <v>#Lv40_공용</v>
          </cell>
        </row>
        <row r="1686">
          <cell r="A1686">
            <v>22910041</v>
          </cell>
          <cell r="B1686" t="str">
            <v>#Lv41_공용</v>
          </cell>
        </row>
        <row r="1687">
          <cell r="A1687">
            <v>22910042</v>
          </cell>
          <cell r="B1687" t="str">
            <v>#Lv42_공용</v>
          </cell>
        </row>
        <row r="1688">
          <cell r="A1688">
            <v>22910043</v>
          </cell>
          <cell r="B1688" t="str">
            <v>#Lv43_공용</v>
          </cell>
        </row>
        <row r="1689">
          <cell r="A1689">
            <v>22910044</v>
          </cell>
          <cell r="B1689" t="str">
            <v>#Lv44_공용</v>
          </cell>
        </row>
        <row r="1690">
          <cell r="A1690">
            <v>22910045</v>
          </cell>
          <cell r="B1690" t="str">
            <v>#Lv45_공용</v>
          </cell>
        </row>
        <row r="1691">
          <cell r="A1691">
            <v>22910046</v>
          </cell>
          <cell r="B1691" t="str">
            <v>#Lv46_공용</v>
          </cell>
        </row>
        <row r="1692">
          <cell r="A1692">
            <v>22910047</v>
          </cell>
          <cell r="B1692" t="str">
            <v>#Lv47_공용</v>
          </cell>
        </row>
        <row r="1693">
          <cell r="A1693">
            <v>22910048</v>
          </cell>
          <cell r="B1693" t="str">
            <v>#Lv48_공용</v>
          </cell>
        </row>
        <row r="1694">
          <cell r="A1694">
            <v>22910049</v>
          </cell>
          <cell r="B1694" t="str">
            <v>#Lv49_공용</v>
          </cell>
        </row>
        <row r="1695">
          <cell r="A1695">
            <v>22910050</v>
          </cell>
          <cell r="B1695" t="str">
            <v>#Lv50_공용</v>
          </cell>
        </row>
        <row r="1696">
          <cell r="A1696">
            <v>22910051</v>
          </cell>
          <cell r="B1696" t="str">
            <v>#Lv51_공용</v>
          </cell>
        </row>
        <row r="1697">
          <cell r="A1697">
            <v>22910052</v>
          </cell>
          <cell r="B1697" t="str">
            <v>#Lv52_공용</v>
          </cell>
        </row>
        <row r="1698">
          <cell r="A1698">
            <v>22910053</v>
          </cell>
          <cell r="B1698" t="str">
            <v>#Lv53_공용</v>
          </cell>
        </row>
        <row r="1699">
          <cell r="A1699">
            <v>22910054</v>
          </cell>
          <cell r="B1699" t="str">
            <v>#Lv54_공용</v>
          </cell>
        </row>
        <row r="1700">
          <cell r="A1700">
            <v>22910055</v>
          </cell>
          <cell r="B1700" t="str">
            <v>#Lv55_공용</v>
          </cell>
        </row>
        <row r="1701">
          <cell r="A1701">
            <v>22910056</v>
          </cell>
          <cell r="B1701" t="str">
            <v>#Lv56_공용</v>
          </cell>
        </row>
        <row r="1702">
          <cell r="A1702">
            <v>22910057</v>
          </cell>
          <cell r="B1702" t="str">
            <v>#Lv57_공용</v>
          </cell>
        </row>
        <row r="1703">
          <cell r="A1703">
            <v>22910058</v>
          </cell>
          <cell r="B1703" t="str">
            <v>#Lv58_공용</v>
          </cell>
        </row>
        <row r="1704">
          <cell r="A1704">
            <v>22910059</v>
          </cell>
          <cell r="B1704" t="str">
            <v>#Lv59_공용</v>
          </cell>
        </row>
        <row r="1705">
          <cell r="A1705">
            <v>22910060</v>
          </cell>
          <cell r="B1705" t="str">
            <v>#Lv60_공용</v>
          </cell>
        </row>
        <row r="1706">
          <cell r="A1706">
            <v>22910061</v>
          </cell>
          <cell r="B1706" t="str">
            <v>#Lv61_공용</v>
          </cell>
        </row>
        <row r="1707">
          <cell r="A1707">
            <v>22910062</v>
          </cell>
          <cell r="B1707" t="str">
            <v>#Lv62_공용</v>
          </cell>
        </row>
        <row r="1708">
          <cell r="A1708">
            <v>22910063</v>
          </cell>
          <cell r="B1708" t="str">
            <v>#Lv63_공용</v>
          </cell>
        </row>
        <row r="1709">
          <cell r="A1709">
            <v>22910064</v>
          </cell>
          <cell r="B1709" t="str">
            <v>#Lv64_공용</v>
          </cell>
        </row>
        <row r="1710">
          <cell r="A1710">
            <v>22910065</v>
          </cell>
          <cell r="B1710" t="str">
            <v>#Lv65_공용</v>
          </cell>
        </row>
        <row r="1711">
          <cell r="A1711">
            <v>22910066</v>
          </cell>
          <cell r="B1711" t="str">
            <v>#Lv66_공용</v>
          </cell>
        </row>
        <row r="1712">
          <cell r="A1712">
            <v>22910067</v>
          </cell>
          <cell r="B1712" t="str">
            <v>#Lv67_공용</v>
          </cell>
        </row>
        <row r="1713">
          <cell r="A1713">
            <v>22910068</v>
          </cell>
          <cell r="B1713" t="str">
            <v>#Lv68_공용</v>
          </cell>
        </row>
        <row r="1714">
          <cell r="A1714">
            <v>22910069</v>
          </cell>
          <cell r="B1714" t="str">
            <v>#Lv69_공용</v>
          </cell>
        </row>
        <row r="1715">
          <cell r="A1715">
            <v>22910070</v>
          </cell>
          <cell r="B1715" t="str">
            <v>#Lv70_공용</v>
          </cell>
        </row>
        <row r="1716">
          <cell r="A1716">
            <v>22910071</v>
          </cell>
          <cell r="B1716" t="str">
            <v>#Lv71_공용</v>
          </cell>
        </row>
        <row r="1717">
          <cell r="A1717">
            <v>22910072</v>
          </cell>
          <cell r="B1717" t="str">
            <v>#Lv72_공용</v>
          </cell>
        </row>
        <row r="1718">
          <cell r="A1718">
            <v>22910073</v>
          </cell>
          <cell r="B1718" t="str">
            <v>#Lv73_공용</v>
          </cell>
        </row>
        <row r="1719">
          <cell r="A1719">
            <v>22910074</v>
          </cell>
          <cell r="B1719" t="str">
            <v>#Lv74_공용</v>
          </cell>
        </row>
        <row r="1720">
          <cell r="A1720">
            <v>22910075</v>
          </cell>
          <cell r="B1720" t="str">
            <v>#Lv75_공용</v>
          </cell>
        </row>
        <row r="1721">
          <cell r="A1721">
            <v>22910076</v>
          </cell>
          <cell r="B1721" t="str">
            <v>#Lv76_공용</v>
          </cell>
        </row>
        <row r="1722">
          <cell r="A1722">
            <v>22910077</v>
          </cell>
          <cell r="B1722" t="str">
            <v>#Lv77_공용</v>
          </cell>
        </row>
        <row r="1723">
          <cell r="A1723">
            <v>22910078</v>
          </cell>
          <cell r="B1723" t="str">
            <v>#Lv78_공용</v>
          </cell>
        </row>
        <row r="1724">
          <cell r="A1724">
            <v>22910079</v>
          </cell>
          <cell r="B1724" t="str">
            <v>#Lv79_공용</v>
          </cell>
        </row>
        <row r="1725">
          <cell r="A1725">
            <v>22910080</v>
          </cell>
          <cell r="B1725" t="str">
            <v>#Lv80_공용</v>
          </cell>
        </row>
        <row r="1726">
          <cell r="A1726">
            <v>22910081</v>
          </cell>
          <cell r="B1726" t="str">
            <v>#Lv81_공용</v>
          </cell>
        </row>
        <row r="1727">
          <cell r="A1727">
            <v>22910082</v>
          </cell>
          <cell r="B1727" t="str">
            <v>#Lv82_공용</v>
          </cell>
        </row>
        <row r="1728">
          <cell r="A1728">
            <v>22910083</v>
          </cell>
          <cell r="B1728" t="str">
            <v>#Lv83_공용</v>
          </cell>
        </row>
        <row r="1729">
          <cell r="A1729">
            <v>22910084</v>
          </cell>
          <cell r="B1729" t="str">
            <v>#Lv84_공용</v>
          </cell>
        </row>
        <row r="1730">
          <cell r="A1730">
            <v>22910085</v>
          </cell>
          <cell r="B1730" t="str">
            <v>#Lv85_공용</v>
          </cell>
        </row>
        <row r="1731">
          <cell r="A1731">
            <v>22910086</v>
          </cell>
          <cell r="B1731" t="str">
            <v>#Lv86_공용</v>
          </cell>
        </row>
        <row r="1732">
          <cell r="A1732">
            <v>22910087</v>
          </cell>
          <cell r="B1732" t="str">
            <v>#Lv87_공용</v>
          </cell>
        </row>
        <row r="1733">
          <cell r="A1733">
            <v>22910088</v>
          </cell>
          <cell r="B1733" t="str">
            <v>#Lv88_공용</v>
          </cell>
        </row>
        <row r="1734">
          <cell r="A1734">
            <v>22910089</v>
          </cell>
          <cell r="B1734" t="str">
            <v>#Lv89_공용</v>
          </cell>
        </row>
        <row r="1735">
          <cell r="A1735">
            <v>22910090</v>
          </cell>
          <cell r="B1735" t="str">
            <v>#Lv90_공용</v>
          </cell>
        </row>
        <row r="1736">
          <cell r="A1736">
            <v>22910091</v>
          </cell>
          <cell r="B1736" t="str">
            <v>#Lv91_공용</v>
          </cell>
        </row>
        <row r="1737">
          <cell r="A1737">
            <v>22910092</v>
          </cell>
          <cell r="B1737" t="str">
            <v>#Lv92_공용</v>
          </cell>
        </row>
        <row r="1738">
          <cell r="A1738">
            <v>22910093</v>
          </cell>
          <cell r="B1738" t="str">
            <v>#Lv93_공용</v>
          </cell>
        </row>
        <row r="1739">
          <cell r="A1739">
            <v>22910094</v>
          </cell>
          <cell r="B1739" t="str">
            <v>#Lv94_공용</v>
          </cell>
        </row>
        <row r="1740">
          <cell r="A1740">
            <v>22910095</v>
          </cell>
          <cell r="B1740" t="str">
            <v>#Lv95_공용</v>
          </cell>
        </row>
        <row r="1741">
          <cell r="A1741">
            <v>22910096</v>
          </cell>
          <cell r="B1741" t="str">
            <v>#Lv96_공용</v>
          </cell>
        </row>
        <row r="1742">
          <cell r="A1742">
            <v>22910097</v>
          </cell>
          <cell r="B1742" t="str">
            <v>#Lv97_공용</v>
          </cell>
        </row>
        <row r="1743">
          <cell r="A1743">
            <v>22910098</v>
          </cell>
          <cell r="B1743" t="str">
            <v>#Lv98_공용</v>
          </cell>
        </row>
        <row r="1744">
          <cell r="A1744">
            <v>22910099</v>
          </cell>
          <cell r="B1744" t="str">
            <v>#Lv99_공용</v>
          </cell>
        </row>
        <row r="1745">
          <cell r="A1745">
            <v>22910100</v>
          </cell>
          <cell r="B1745" t="str">
            <v>#Lv1_엘리트 전용</v>
          </cell>
        </row>
        <row r="1746">
          <cell r="A1746">
            <v>22910101</v>
          </cell>
          <cell r="B1746" t="str">
            <v>#Lv2_엘리트 전용</v>
          </cell>
        </row>
        <row r="1747">
          <cell r="A1747">
            <v>22910102</v>
          </cell>
          <cell r="B1747" t="str">
            <v>#Lv3_엘리트 전용</v>
          </cell>
        </row>
        <row r="1748">
          <cell r="A1748">
            <v>22910103</v>
          </cell>
          <cell r="B1748" t="str">
            <v>#Lv4_엘리트 전용</v>
          </cell>
        </row>
        <row r="1749">
          <cell r="A1749">
            <v>22910104</v>
          </cell>
          <cell r="B1749" t="str">
            <v>#Lv5_엘리트 전용</v>
          </cell>
        </row>
        <row r="1750">
          <cell r="A1750">
            <v>22910105</v>
          </cell>
          <cell r="B1750" t="str">
            <v>#Lv6_엘리트 전용</v>
          </cell>
        </row>
        <row r="1751">
          <cell r="A1751">
            <v>22910106</v>
          </cell>
          <cell r="B1751" t="str">
            <v>#Lv7_엘리트 전용</v>
          </cell>
        </row>
        <row r="1752">
          <cell r="A1752">
            <v>22910107</v>
          </cell>
          <cell r="B1752" t="str">
            <v>#Lv8_엘리트 전용</v>
          </cell>
        </row>
        <row r="1753">
          <cell r="A1753">
            <v>22910108</v>
          </cell>
          <cell r="B1753" t="str">
            <v>#Lv9_엘리트 전용</v>
          </cell>
        </row>
        <row r="1754">
          <cell r="A1754">
            <v>22910109</v>
          </cell>
          <cell r="B1754" t="str">
            <v>#Lv10_엘리트 전용</v>
          </cell>
        </row>
        <row r="1755">
          <cell r="A1755">
            <v>22910110</v>
          </cell>
          <cell r="B1755" t="str">
            <v>#Lv11_엘리트 전용</v>
          </cell>
        </row>
        <row r="1756">
          <cell r="A1756">
            <v>22910111</v>
          </cell>
          <cell r="B1756" t="str">
            <v>#Lv12_엘리트 전용</v>
          </cell>
        </row>
        <row r="1757">
          <cell r="A1757">
            <v>22910112</v>
          </cell>
          <cell r="B1757" t="str">
            <v>#Lv13_엘리트 전용</v>
          </cell>
        </row>
        <row r="1758">
          <cell r="A1758">
            <v>22910113</v>
          </cell>
          <cell r="B1758" t="str">
            <v>#Lv14_엘리트 전용</v>
          </cell>
        </row>
        <row r="1759">
          <cell r="A1759">
            <v>22910114</v>
          </cell>
          <cell r="B1759" t="str">
            <v>#Lv15_엘리트 전용</v>
          </cell>
        </row>
        <row r="1760">
          <cell r="A1760">
            <v>22910115</v>
          </cell>
          <cell r="B1760" t="str">
            <v>#Lv16_엘리트 전용</v>
          </cell>
        </row>
        <row r="1761">
          <cell r="A1761">
            <v>22910116</v>
          </cell>
          <cell r="B1761" t="str">
            <v>#Lv17_엘리트 전용</v>
          </cell>
        </row>
        <row r="1762">
          <cell r="A1762">
            <v>22910117</v>
          </cell>
          <cell r="B1762" t="str">
            <v>#Lv18_엘리트 전용</v>
          </cell>
        </row>
        <row r="1763">
          <cell r="A1763">
            <v>22910118</v>
          </cell>
          <cell r="B1763" t="str">
            <v>#Lv19_엘리트 전용</v>
          </cell>
        </row>
        <row r="1764">
          <cell r="A1764">
            <v>22910119</v>
          </cell>
          <cell r="B1764" t="str">
            <v>#Lv20_엘리트 전용</v>
          </cell>
        </row>
        <row r="1765">
          <cell r="A1765">
            <v>22910120</v>
          </cell>
          <cell r="B1765" t="str">
            <v>#Lv21_엘리트 전용</v>
          </cell>
        </row>
        <row r="1766">
          <cell r="A1766">
            <v>22910121</v>
          </cell>
          <cell r="B1766" t="str">
            <v>#Lv22_엘리트 전용</v>
          </cell>
        </row>
        <row r="1767">
          <cell r="A1767">
            <v>22910122</v>
          </cell>
          <cell r="B1767" t="str">
            <v>#Lv23_엘리트 전용</v>
          </cell>
        </row>
        <row r="1768">
          <cell r="A1768">
            <v>22910123</v>
          </cell>
          <cell r="B1768" t="str">
            <v>#Lv24_엘리트 전용</v>
          </cell>
        </row>
        <row r="1769">
          <cell r="A1769">
            <v>22910124</v>
          </cell>
          <cell r="B1769" t="str">
            <v>#Lv25_엘리트 전용</v>
          </cell>
        </row>
        <row r="1770">
          <cell r="A1770">
            <v>22910125</v>
          </cell>
          <cell r="B1770" t="str">
            <v>#Lv26_엘리트 전용</v>
          </cell>
        </row>
        <row r="1771">
          <cell r="A1771">
            <v>22910126</v>
          </cell>
          <cell r="B1771" t="str">
            <v>#Lv27_엘리트 전용</v>
          </cell>
        </row>
        <row r="1772">
          <cell r="A1772">
            <v>22910127</v>
          </cell>
          <cell r="B1772" t="str">
            <v>#Lv28_엘리트 전용</v>
          </cell>
        </row>
        <row r="1773">
          <cell r="A1773">
            <v>22910128</v>
          </cell>
          <cell r="B1773" t="str">
            <v>#Lv29_엘리트 전용</v>
          </cell>
        </row>
        <row r="1774">
          <cell r="A1774">
            <v>22910129</v>
          </cell>
          <cell r="B1774" t="str">
            <v>#Lv30_엘리트 전용</v>
          </cell>
        </row>
        <row r="1775">
          <cell r="A1775">
            <v>22910130</v>
          </cell>
          <cell r="B1775" t="str">
            <v>#Lv31_엘리트 전용</v>
          </cell>
        </row>
        <row r="1776">
          <cell r="A1776">
            <v>22910131</v>
          </cell>
          <cell r="B1776" t="str">
            <v>#Lv32_엘리트 전용</v>
          </cell>
        </row>
        <row r="1777">
          <cell r="A1777">
            <v>22910132</v>
          </cell>
          <cell r="B1777" t="str">
            <v>#Lv33_엘리트 전용</v>
          </cell>
        </row>
        <row r="1778">
          <cell r="A1778">
            <v>22910133</v>
          </cell>
          <cell r="B1778" t="str">
            <v>#Lv34_엘리트 전용</v>
          </cell>
        </row>
        <row r="1779">
          <cell r="A1779">
            <v>22910134</v>
          </cell>
          <cell r="B1779" t="str">
            <v>#Lv35_엘리트 전용</v>
          </cell>
        </row>
        <row r="1780">
          <cell r="A1780">
            <v>22910135</v>
          </cell>
          <cell r="B1780" t="str">
            <v>#Lv36_엘리트 전용</v>
          </cell>
        </row>
        <row r="1781">
          <cell r="A1781">
            <v>22910136</v>
          </cell>
          <cell r="B1781" t="str">
            <v>#Lv37_엘리트 전용</v>
          </cell>
        </row>
        <row r="1782">
          <cell r="A1782">
            <v>22910137</v>
          </cell>
          <cell r="B1782" t="str">
            <v>#Lv38_엘리트 전용</v>
          </cell>
        </row>
        <row r="1783">
          <cell r="A1783">
            <v>22910138</v>
          </cell>
          <cell r="B1783" t="str">
            <v>#Lv39_엘리트 전용</v>
          </cell>
        </row>
        <row r="1784">
          <cell r="A1784">
            <v>22910139</v>
          </cell>
          <cell r="B1784" t="str">
            <v>#Lv40_엘리트 전용</v>
          </cell>
        </row>
        <row r="1785">
          <cell r="A1785">
            <v>22910140</v>
          </cell>
          <cell r="B1785" t="str">
            <v>#Lv41_엘리트 전용</v>
          </cell>
        </row>
        <row r="1786">
          <cell r="A1786">
            <v>22910141</v>
          </cell>
          <cell r="B1786" t="str">
            <v>#Lv42_엘리트 전용</v>
          </cell>
        </row>
        <row r="1787">
          <cell r="A1787">
            <v>22910142</v>
          </cell>
          <cell r="B1787" t="str">
            <v>#Lv43_엘리트 전용</v>
          </cell>
        </row>
        <row r="1788">
          <cell r="A1788">
            <v>22910143</v>
          </cell>
          <cell r="B1788" t="str">
            <v>#Lv44_엘리트 전용</v>
          </cell>
        </row>
        <row r="1789">
          <cell r="A1789">
            <v>22910144</v>
          </cell>
          <cell r="B1789" t="str">
            <v>#Lv45_엘리트 전용</v>
          </cell>
        </row>
        <row r="1790">
          <cell r="A1790">
            <v>22910145</v>
          </cell>
          <cell r="B1790" t="str">
            <v>#Lv46_엘리트 전용</v>
          </cell>
        </row>
        <row r="1791">
          <cell r="A1791">
            <v>22910146</v>
          </cell>
          <cell r="B1791" t="str">
            <v>#Lv47_엘리트 전용</v>
          </cell>
        </row>
        <row r="1792">
          <cell r="A1792">
            <v>22910147</v>
          </cell>
          <cell r="B1792" t="str">
            <v>#Lv48_엘리트 전용</v>
          </cell>
        </row>
        <row r="1793">
          <cell r="A1793">
            <v>22910148</v>
          </cell>
          <cell r="B1793" t="str">
            <v>#Lv49_엘리트 전용</v>
          </cell>
        </row>
        <row r="1794">
          <cell r="A1794">
            <v>22910149</v>
          </cell>
          <cell r="B1794" t="str">
            <v>#Lv50_엘리트 전용</v>
          </cell>
        </row>
        <row r="1795">
          <cell r="A1795">
            <v>22910150</v>
          </cell>
          <cell r="B1795" t="str">
            <v>#Lv51_엘리트 전용</v>
          </cell>
        </row>
        <row r="1796">
          <cell r="A1796">
            <v>22910151</v>
          </cell>
          <cell r="B1796" t="str">
            <v>#Lv52_엘리트 전용</v>
          </cell>
        </row>
        <row r="1797">
          <cell r="A1797">
            <v>22910152</v>
          </cell>
          <cell r="B1797" t="str">
            <v>#Lv53_엘리트 전용</v>
          </cell>
        </row>
        <row r="1798">
          <cell r="A1798">
            <v>22910153</v>
          </cell>
          <cell r="B1798" t="str">
            <v>#Lv54_엘리트 전용</v>
          </cell>
        </row>
        <row r="1799">
          <cell r="A1799">
            <v>22910154</v>
          </cell>
          <cell r="B1799" t="str">
            <v>#Lv55_엘리트 전용</v>
          </cell>
        </row>
        <row r="1800">
          <cell r="A1800">
            <v>22910155</v>
          </cell>
          <cell r="B1800" t="str">
            <v>#Lv56_엘리트 전용</v>
          </cell>
        </row>
        <row r="1801">
          <cell r="A1801">
            <v>22910156</v>
          </cell>
          <cell r="B1801" t="str">
            <v>#Lv57_엘리트 전용</v>
          </cell>
        </row>
        <row r="1802">
          <cell r="A1802">
            <v>22910157</v>
          </cell>
          <cell r="B1802" t="str">
            <v>#Lv58_엘리트 전용</v>
          </cell>
        </row>
        <row r="1803">
          <cell r="A1803">
            <v>22910158</v>
          </cell>
          <cell r="B1803" t="str">
            <v>#Lv59_엘리트 전용</v>
          </cell>
        </row>
        <row r="1804">
          <cell r="A1804">
            <v>22910159</v>
          </cell>
          <cell r="B1804" t="str">
            <v>#Lv60_엘리트 전용</v>
          </cell>
        </row>
        <row r="1805">
          <cell r="A1805">
            <v>22910160</v>
          </cell>
          <cell r="B1805" t="str">
            <v>#Lv61_엘리트 전용</v>
          </cell>
        </row>
        <row r="1806">
          <cell r="A1806">
            <v>22910161</v>
          </cell>
          <cell r="B1806" t="str">
            <v>#Lv62_엘리트 전용</v>
          </cell>
        </row>
        <row r="1807">
          <cell r="A1807">
            <v>22910162</v>
          </cell>
          <cell r="B1807" t="str">
            <v>#Lv63_엘리트 전용</v>
          </cell>
        </row>
        <row r="1808">
          <cell r="A1808">
            <v>22910163</v>
          </cell>
          <cell r="B1808" t="str">
            <v>#Lv64_엘리트 전용</v>
          </cell>
        </row>
        <row r="1809">
          <cell r="A1809">
            <v>22910164</v>
          </cell>
          <cell r="B1809" t="str">
            <v>#Lv65_엘리트 전용</v>
          </cell>
        </row>
        <row r="1810">
          <cell r="A1810">
            <v>22910165</v>
          </cell>
          <cell r="B1810" t="str">
            <v>#Lv66_엘리트 전용</v>
          </cell>
        </row>
        <row r="1811">
          <cell r="A1811">
            <v>22910166</v>
          </cell>
          <cell r="B1811" t="str">
            <v>#Lv67_엘리트 전용</v>
          </cell>
        </row>
        <row r="1812">
          <cell r="A1812">
            <v>22910167</v>
          </cell>
          <cell r="B1812" t="str">
            <v>#Lv68_엘리트 전용</v>
          </cell>
        </row>
        <row r="1813">
          <cell r="A1813">
            <v>22910168</v>
          </cell>
          <cell r="B1813" t="str">
            <v>#Lv69_엘리트 전용</v>
          </cell>
        </row>
        <row r="1814">
          <cell r="A1814">
            <v>22910169</v>
          </cell>
          <cell r="B1814" t="str">
            <v>#Lv70_엘리트 전용</v>
          </cell>
        </row>
        <row r="1815">
          <cell r="A1815">
            <v>22910170</v>
          </cell>
          <cell r="B1815" t="str">
            <v>#Lv71_엘리트 전용</v>
          </cell>
        </row>
        <row r="1816">
          <cell r="A1816">
            <v>22910171</v>
          </cell>
          <cell r="B1816" t="str">
            <v>#Lv72_엘리트 전용</v>
          </cell>
        </row>
        <row r="1817">
          <cell r="A1817">
            <v>22910172</v>
          </cell>
          <cell r="B1817" t="str">
            <v>#Lv73_엘리트 전용</v>
          </cell>
        </row>
        <row r="1818">
          <cell r="A1818">
            <v>22910173</v>
          </cell>
          <cell r="B1818" t="str">
            <v>#Lv74_엘리트 전용</v>
          </cell>
        </row>
        <row r="1819">
          <cell r="A1819">
            <v>22910174</v>
          </cell>
          <cell r="B1819" t="str">
            <v>#Lv75_엘리트 전용</v>
          </cell>
        </row>
        <row r="1820">
          <cell r="A1820">
            <v>22910175</v>
          </cell>
          <cell r="B1820" t="str">
            <v>#Lv76_엘리트 전용</v>
          </cell>
        </row>
        <row r="1821">
          <cell r="A1821">
            <v>22910176</v>
          </cell>
          <cell r="B1821" t="str">
            <v>#Lv77_엘리트 전용</v>
          </cell>
        </row>
        <row r="1822">
          <cell r="A1822">
            <v>22910177</v>
          </cell>
          <cell r="B1822" t="str">
            <v>#Lv78_엘리트 전용</v>
          </cell>
        </row>
        <row r="1823">
          <cell r="A1823">
            <v>22910178</v>
          </cell>
          <cell r="B1823" t="str">
            <v>#Lv79_엘리트 전용</v>
          </cell>
        </row>
        <row r="1824">
          <cell r="A1824">
            <v>22910179</v>
          </cell>
          <cell r="B1824" t="str">
            <v>#Lv80_엘리트 전용</v>
          </cell>
        </row>
        <row r="1825">
          <cell r="A1825">
            <v>22910180</v>
          </cell>
          <cell r="B1825" t="str">
            <v>#Lv81_엘리트 전용</v>
          </cell>
        </row>
        <row r="1826">
          <cell r="A1826">
            <v>22910181</v>
          </cell>
          <cell r="B1826" t="str">
            <v>#Lv82_엘리트 전용</v>
          </cell>
        </row>
        <row r="1827">
          <cell r="A1827">
            <v>22910182</v>
          </cell>
          <cell r="B1827" t="str">
            <v>#Lv83_엘리트 전용</v>
          </cell>
        </row>
        <row r="1828">
          <cell r="A1828">
            <v>22910183</v>
          </cell>
          <cell r="B1828" t="str">
            <v>#Lv84_엘리트 전용</v>
          </cell>
        </row>
        <row r="1829">
          <cell r="A1829">
            <v>22910184</v>
          </cell>
          <cell r="B1829" t="str">
            <v>#Lv85_엘리트 전용</v>
          </cell>
        </row>
        <row r="1830">
          <cell r="A1830">
            <v>22910185</v>
          </cell>
          <cell r="B1830" t="str">
            <v>#Lv86_엘리트 전용</v>
          </cell>
        </row>
        <row r="1831">
          <cell r="A1831">
            <v>22910186</v>
          </cell>
          <cell r="B1831" t="str">
            <v>#Lv87_엘리트 전용</v>
          </cell>
        </row>
        <row r="1832">
          <cell r="A1832">
            <v>22910187</v>
          </cell>
          <cell r="B1832" t="str">
            <v>#Lv88_엘리트 전용</v>
          </cell>
        </row>
        <row r="1833">
          <cell r="A1833">
            <v>22910188</v>
          </cell>
          <cell r="B1833" t="str">
            <v>#Lv89_엘리트 전용</v>
          </cell>
        </row>
        <row r="1834">
          <cell r="A1834">
            <v>22910189</v>
          </cell>
          <cell r="B1834" t="str">
            <v>#Lv90_엘리트 전용</v>
          </cell>
        </row>
        <row r="1835">
          <cell r="A1835">
            <v>22910190</v>
          </cell>
          <cell r="B1835" t="str">
            <v>#Lv91_엘리트 전용</v>
          </cell>
        </row>
        <row r="1836">
          <cell r="A1836">
            <v>22910191</v>
          </cell>
          <cell r="B1836" t="str">
            <v>#Lv92_엘리트 전용</v>
          </cell>
        </row>
        <row r="1837">
          <cell r="A1837">
            <v>22910192</v>
          </cell>
          <cell r="B1837" t="str">
            <v>#Lv93_엘리트 전용</v>
          </cell>
        </row>
        <row r="1838">
          <cell r="A1838">
            <v>22910193</v>
          </cell>
          <cell r="B1838" t="str">
            <v>#Lv94_엘리트 전용</v>
          </cell>
        </row>
        <row r="1839">
          <cell r="A1839">
            <v>22910194</v>
          </cell>
          <cell r="B1839" t="str">
            <v>#Lv95_엘리트 전용</v>
          </cell>
        </row>
        <row r="1840">
          <cell r="A1840">
            <v>22910195</v>
          </cell>
          <cell r="B1840" t="str">
            <v>#Lv96_엘리트 전용</v>
          </cell>
        </row>
        <row r="1841">
          <cell r="A1841">
            <v>22910196</v>
          </cell>
          <cell r="B1841" t="str">
            <v>#Lv97_엘리트 전용</v>
          </cell>
        </row>
        <row r="1842">
          <cell r="A1842">
            <v>22910197</v>
          </cell>
          <cell r="B1842" t="str">
            <v>#Lv98_엘리트 전용</v>
          </cell>
        </row>
        <row r="1843">
          <cell r="A1843">
            <v>22910198</v>
          </cell>
          <cell r="B1843" t="str">
            <v>#Lv99_엘리트 전용</v>
          </cell>
        </row>
        <row r="1844">
          <cell r="A1844">
            <v>22910199</v>
          </cell>
          <cell r="B1844" t="str">
            <v>#Lv1_퀘스트용 2배</v>
          </cell>
        </row>
        <row r="1845">
          <cell r="A1845">
            <v>22910200</v>
          </cell>
          <cell r="B1845" t="str">
            <v>#Lv2_퀘스트용 2배</v>
          </cell>
        </row>
        <row r="1846">
          <cell r="A1846">
            <v>22910201</v>
          </cell>
          <cell r="B1846" t="str">
            <v>#Lv3_퀘스트용 2배</v>
          </cell>
        </row>
        <row r="1847">
          <cell r="A1847">
            <v>22910202</v>
          </cell>
          <cell r="B1847" t="str">
            <v>#Lv4_퀘스트용 2배</v>
          </cell>
        </row>
        <row r="1848">
          <cell r="A1848">
            <v>22910203</v>
          </cell>
          <cell r="B1848" t="str">
            <v>#Lv5_퀘스트용 2배</v>
          </cell>
        </row>
        <row r="1849">
          <cell r="A1849">
            <v>22910204</v>
          </cell>
          <cell r="B1849" t="str">
            <v>#Lv6_퀘스트용 2배</v>
          </cell>
        </row>
        <row r="1850">
          <cell r="A1850">
            <v>22910205</v>
          </cell>
          <cell r="B1850" t="str">
            <v>#Lv7_퀘스트용 2배</v>
          </cell>
        </row>
        <row r="1851">
          <cell r="A1851">
            <v>22910206</v>
          </cell>
          <cell r="B1851" t="str">
            <v>#Lv8_퀘스트용 2배</v>
          </cell>
        </row>
        <row r="1852">
          <cell r="A1852">
            <v>22910207</v>
          </cell>
          <cell r="B1852" t="str">
            <v>#Lv9_퀘스트용 2배</v>
          </cell>
        </row>
        <row r="1853">
          <cell r="A1853">
            <v>22910208</v>
          </cell>
          <cell r="B1853" t="str">
            <v>#Lv10_퀘스트용 2배</v>
          </cell>
        </row>
        <row r="1854">
          <cell r="A1854">
            <v>22910209</v>
          </cell>
          <cell r="B1854" t="str">
            <v>#Lv11_퀘스트용 2배</v>
          </cell>
        </row>
        <row r="1855">
          <cell r="A1855">
            <v>22910210</v>
          </cell>
          <cell r="B1855" t="str">
            <v>#Lv12_퀘스트용 2배</v>
          </cell>
        </row>
        <row r="1856">
          <cell r="A1856">
            <v>22910211</v>
          </cell>
          <cell r="B1856" t="str">
            <v>#Lv13_퀘스트용 2배</v>
          </cell>
        </row>
        <row r="1857">
          <cell r="A1857">
            <v>22910212</v>
          </cell>
          <cell r="B1857" t="str">
            <v>#Lv14_퀘스트용 2배</v>
          </cell>
        </row>
        <row r="1858">
          <cell r="A1858">
            <v>22910213</v>
          </cell>
          <cell r="B1858" t="str">
            <v>#Lv15_퀘스트용 2배</v>
          </cell>
        </row>
        <row r="1859">
          <cell r="A1859">
            <v>22910214</v>
          </cell>
          <cell r="B1859" t="str">
            <v>#Lv16_퀘스트용 2배</v>
          </cell>
        </row>
        <row r="1860">
          <cell r="A1860">
            <v>22910215</v>
          </cell>
          <cell r="B1860" t="str">
            <v>#Lv17_퀘스트용 2배</v>
          </cell>
        </row>
        <row r="1861">
          <cell r="A1861">
            <v>22910216</v>
          </cell>
          <cell r="B1861" t="str">
            <v>#Lv18_퀘스트용 2배</v>
          </cell>
        </row>
        <row r="1862">
          <cell r="A1862">
            <v>22910217</v>
          </cell>
          <cell r="B1862" t="str">
            <v>#Lv19_퀘스트용 2배</v>
          </cell>
        </row>
        <row r="1863">
          <cell r="A1863">
            <v>22910218</v>
          </cell>
          <cell r="B1863" t="str">
            <v>#Lv20_퀘스트용 2배</v>
          </cell>
        </row>
        <row r="1864">
          <cell r="A1864">
            <v>22910219</v>
          </cell>
          <cell r="B1864" t="str">
            <v>#Lv21_퀘스트용 2배</v>
          </cell>
        </row>
        <row r="1865">
          <cell r="A1865">
            <v>22910220</v>
          </cell>
          <cell r="B1865" t="str">
            <v>#Lv22_퀘스트용 2배</v>
          </cell>
        </row>
        <row r="1866">
          <cell r="A1866">
            <v>22910221</v>
          </cell>
          <cell r="B1866" t="str">
            <v>#Lv23_퀘스트용 2배</v>
          </cell>
        </row>
        <row r="1867">
          <cell r="A1867">
            <v>22910222</v>
          </cell>
          <cell r="B1867" t="str">
            <v>#Lv24_퀘스트용 2배</v>
          </cell>
        </row>
        <row r="1868">
          <cell r="A1868">
            <v>22910223</v>
          </cell>
          <cell r="B1868" t="str">
            <v>#Lv25_퀘스트용 2배</v>
          </cell>
        </row>
        <row r="1869">
          <cell r="A1869">
            <v>22910224</v>
          </cell>
          <cell r="B1869" t="str">
            <v>#Lv26_퀘스트용 2배</v>
          </cell>
        </row>
        <row r="1870">
          <cell r="A1870">
            <v>22910225</v>
          </cell>
          <cell r="B1870" t="str">
            <v>#Lv27_퀘스트용 2배</v>
          </cell>
        </row>
        <row r="1871">
          <cell r="A1871">
            <v>22910226</v>
          </cell>
          <cell r="B1871" t="str">
            <v>#Lv28_퀘스트용 2배</v>
          </cell>
        </row>
        <row r="1872">
          <cell r="A1872">
            <v>22910227</v>
          </cell>
          <cell r="B1872" t="str">
            <v>#Lv29_퀘스트용 2배</v>
          </cell>
        </row>
        <row r="1873">
          <cell r="A1873">
            <v>22910228</v>
          </cell>
          <cell r="B1873" t="str">
            <v>#Lv30_퀘스트용 2배</v>
          </cell>
        </row>
        <row r="1874">
          <cell r="A1874">
            <v>22910229</v>
          </cell>
          <cell r="B1874" t="str">
            <v>#Lv31_퀘스트용 2배</v>
          </cell>
        </row>
        <row r="1875">
          <cell r="A1875">
            <v>22910230</v>
          </cell>
          <cell r="B1875" t="str">
            <v>#Lv32_퀘스트용 2배</v>
          </cell>
        </row>
        <row r="1876">
          <cell r="A1876">
            <v>22910231</v>
          </cell>
          <cell r="B1876" t="str">
            <v>#Lv33_퀘스트용 2배</v>
          </cell>
        </row>
        <row r="1877">
          <cell r="A1877">
            <v>22910232</v>
          </cell>
          <cell r="B1877" t="str">
            <v>#Lv34_퀘스트용 2배</v>
          </cell>
        </row>
        <row r="1878">
          <cell r="A1878">
            <v>22910233</v>
          </cell>
          <cell r="B1878" t="str">
            <v>#Lv35_퀘스트용 2배</v>
          </cell>
        </row>
        <row r="1879">
          <cell r="A1879">
            <v>22910234</v>
          </cell>
          <cell r="B1879" t="str">
            <v>#Lv36_퀘스트용 2배</v>
          </cell>
        </row>
        <row r="1880">
          <cell r="A1880">
            <v>22910235</v>
          </cell>
          <cell r="B1880" t="str">
            <v>#Lv37_퀘스트용 2배</v>
          </cell>
        </row>
        <row r="1881">
          <cell r="A1881">
            <v>22910236</v>
          </cell>
          <cell r="B1881" t="str">
            <v>#Lv38_퀘스트용 2배</v>
          </cell>
        </row>
        <row r="1882">
          <cell r="A1882">
            <v>22910237</v>
          </cell>
          <cell r="B1882" t="str">
            <v>#Lv39_퀘스트용 2배</v>
          </cell>
        </row>
        <row r="1883">
          <cell r="A1883">
            <v>22910238</v>
          </cell>
          <cell r="B1883" t="str">
            <v>#Lv40_퀘스트용 2배</v>
          </cell>
        </row>
        <row r="1884">
          <cell r="A1884">
            <v>22910239</v>
          </cell>
          <cell r="B1884" t="str">
            <v>#Lv41_퀘스트용 2배</v>
          </cell>
        </row>
        <row r="1885">
          <cell r="A1885">
            <v>22910240</v>
          </cell>
          <cell r="B1885" t="str">
            <v>#Lv42_퀘스트용 2배</v>
          </cell>
        </row>
        <row r="1886">
          <cell r="A1886">
            <v>22910241</v>
          </cell>
          <cell r="B1886" t="str">
            <v>#Lv43_퀘스트용 2배</v>
          </cell>
        </row>
        <row r="1887">
          <cell r="A1887">
            <v>22910242</v>
          </cell>
          <cell r="B1887" t="str">
            <v>#Lv44_퀘스트용 2배</v>
          </cell>
        </row>
        <row r="1888">
          <cell r="A1888">
            <v>22910243</v>
          </cell>
          <cell r="B1888" t="str">
            <v>#Lv45_퀘스트용 2배</v>
          </cell>
        </row>
        <row r="1889">
          <cell r="A1889">
            <v>22910244</v>
          </cell>
          <cell r="B1889" t="str">
            <v>#Lv46_퀘스트용 2배</v>
          </cell>
        </row>
        <row r="1890">
          <cell r="A1890">
            <v>22910245</v>
          </cell>
          <cell r="B1890" t="str">
            <v>#Lv47_퀘스트용 2배</v>
          </cell>
        </row>
        <row r="1891">
          <cell r="A1891">
            <v>22910246</v>
          </cell>
          <cell r="B1891" t="str">
            <v>#Lv48_퀘스트용 2배</v>
          </cell>
        </row>
        <row r="1892">
          <cell r="A1892">
            <v>22910247</v>
          </cell>
          <cell r="B1892" t="str">
            <v>#Lv49_퀘스트용 2배</v>
          </cell>
        </row>
        <row r="1893">
          <cell r="A1893">
            <v>22910248</v>
          </cell>
          <cell r="B1893" t="str">
            <v>#Lv50_퀘스트용 2배</v>
          </cell>
        </row>
        <row r="1894">
          <cell r="A1894">
            <v>22910249</v>
          </cell>
          <cell r="B1894" t="str">
            <v>#Lv51_퀘스트용 2배</v>
          </cell>
        </row>
        <row r="1895">
          <cell r="A1895">
            <v>22910250</v>
          </cell>
          <cell r="B1895" t="str">
            <v>#Lv52_퀘스트용 2배</v>
          </cell>
        </row>
        <row r="1896">
          <cell r="A1896">
            <v>22910251</v>
          </cell>
          <cell r="B1896" t="str">
            <v>#Lv53_퀘스트용 2배</v>
          </cell>
        </row>
        <row r="1897">
          <cell r="A1897">
            <v>22910252</v>
          </cell>
          <cell r="B1897" t="str">
            <v>#Lv54_퀘스트용 2배</v>
          </cell>
        </row>
        <row r="1898">
          <cell r="A1898">
            <v>22910253</v>
          </cell>
          <cell r="B1898" t="str">
            <v>#Lv55_퀘스트용 2배</v>
          </cell>
        </row>
        <row r="1899">
          <cell r="A1899">
            <v>22910254</v>
          </cell>
          <cell r="B1899" t="str">
            <v>#Lv56_퀘스트용 2배</v>
          </cell>
        </row>
        <row r="1900">
          <cell r="A1900">
            <v>22910255</v>
          </cell>
          <cell r="B1900" t="str">
            <v>#Lv57_퀘스트용 2배</v>
          </cell>
        </row>
        <row r="1901">
          <cell r="A1901">
            <v>22910256</v>
          </cell>
          <cell r="B1901" t="str">
            <v>#Lv58_퀘스트용 2배</v>
          </cell>
        </row>
        <row r="1902">
          <cell r="A1902">
            <v>22910257</v>
          </cell>
          <cell r="B1902" t="str">
            <v>#Lv59_퀘스트용 2배</v>
          </cell>
        </row>
        <row r="1903">
          <cell r="A1903">
            <v>22910258</v>
          </cell>
          <cell r="B1903" t="str">
            <v>#Lv60_퀘스트용 2배</v>
          </cell>
        </row>
        <row r="1904">
          <cell r="A1904">
            <v>22910259</v>
          </cell>
          <cell r="B1904" t="str">
            <v>#Lv61_퀘스트용 2배</v>
          </cell>
        </row>
        <row r="1905">
          <cell r="A1905">
            <v>22910260</v>
          </cell>
          <cell r="B1905" t="str">
            <v>#Lv62_퀘스트용 2배</v>
          </cell>
        </row>
        <row r="1906">
          <cell r="A1906">
            <v>22910261</v>
          </cell>
          <cell r="B1906" t="str">
            <v>#Lv63_퀘스트용 2배</v>
          </cell>
        </row>
        <row r="1907">
          <cell r="A1907">
            <v>22910262</v>
          </cell>
          <cell r="B1907" t="str">
            <v>#Lv64_퀘스트용 2배</v>
          </cell>
        </row>
        <row r="1908">
          <cell r="A1908">
            <v>22910263</v>
          </cell>
          <cell r="B1908" t="str">
            <v>#Lv65_퀘스트용 2배</v>
          </cell>
        </row>
        <row r="1909">
          <cell r="A1909">
            <v>22910264</v>
          </cell>
          <cell r="B1909" t="str">
            <v>#Lv66_퀘스트용 2배</v>
          </cell>
        </row>
        <row r="1910">
          <cell r="A1910">
            <v>22910265</v>
          </cell>
          <cell r="B1910" t="str">
            <v>#Lv67_퀘스트용 2배</v>
          </cell>
        </row>
        <row r="1911">
          <cell r="A1911">
            <v>22910266</v>
          </cell>
          <cell r="B1911" t="str">
            <v>#Lv68_퀘스트용 2배</v>
          </cell>
        </row>
        <row r="1912">
          <cell r="A1912">
            <v>22910267</v>
          </cell>
          <cell r="B1912" t="str">
            <v>#Lv69_퀘스트용 2배</v>
          </cell>
        </row>
        <row r="1913">
          <cell r="A1913">
            <v>22910268</v>
          </cell>
          <cell r="B1913" t="str">
            <v>#Lv70_퀘스트용 2배</v>
          </cell>
        </row>
        <row r="1914">
          <cell r="A1914">
            <v>22910269</v>
          </cell>
          <cell r="B1914" t="str">
            <v>#Lv71_퀘스트용 2배</v>
          </cell>
        </row>
        <row r="1915">
          <cell r="A1915">
            <v>22910270</v>
          </cell>
          <cell r="B1915" t="str">
            <v>#Lv72_퀘스트용 2배</v>
          </cell>
        </row>
        <row r="1916">
          <cell r="A1916">
            <v>22910271</v>
          </cell>
          <cell r="B1916" t="str">
            <v>#Lv73_퀘스트용 2배</v>
          </cell>
        </row>
        <row r="1917">
          <cell r="A1917">
            <v>22910272</v>
          </cell>
          <cell r="B1917" t="str">
            <v>#Lv74_퀘스트용 2배</v>
          </cell>
        </row>
        <row r="1918">
          <cell r="A1918">
            <v>22910273</v>
          </cell>
          <cell r="B1918" t="str">
            <v>#Lv75_퀘스트용 2배</v>
          </cell>
        </row>
        <row r="1919">
          <cell r="A1919">
            <v>22910274</v>
          </cell>
          <cell r="B1919" t="str">
            <v>#Lv76_퀘스트용 2배</v>
          </cell>
        </row>
        <row r="1920">
          <cell r="A1920">
            <v>22910275</v>
          </cell>
          <cell r="B1920" t="str">
            <v>#Lv77_퀘스트용 2배</v>
          </cell>
        </row>
        <row r="1921">
          <cell r="A1921">
            <v>22910276</v>
          </cell>
          <cell r="B1921" t="str">
            <v>#Lv78_퀘스트용 2배</v>
          </cell>
        </row>
        <row r="1922">
          <cell r="A1922">
            <v>22910277</v>
          </cell>
          <cell r="B1922" t="str">
            <v>#Lv79_퀘스트용 2배</v>
          </cell>
        </row>
        <row r="1923">
          <cell r="A1923">
            <v>22910278</v>
          </cell>
          <cell r="B1923" t="str">
            <v>#Lv80_퀘스트용 2배</v>
          </cell>
        </row>
        <row r="1924">
          <cell r="A1924">
            <v>22910279</v>
          </cell>
          <cell r="B1924" t="str">
            <v>#Lv81_퀘스트용 2배</v>
          </cell>
        </row>
        <row r="1925">
          <cell r="A1925">
            <v>22910280</v>
          </cell>
          <cell r="B1925" t="str">
            <v>#Lv82_퀘스트용 2배</v>
          </cell>
        </row>
        <row r="1926">
          <cell r="A1926">
            <v>22910281</v>
          </cell>
          <cell r="B1926" t="str">
            <v>#Lv83_퀘스트용 2배</v>
          </cell>
        </row>
        <row r="1927">
          <cell r="A1927">
            <v>22910282</v>
          </cell>
          <cell r="B1927" t="str">
            <v>#Lv84_퀘스트용 2배</v>
          </cell>
        </row>
        <row r="1928">
          <cell r="A1928">
            <v>22910283</v>
          </cell>
          <cell r="B1928" t="str">
            <v>#Lv85_퀘스트용 2배</v>
          </cell>
        </row>
        <row r="1929">
          <cell r="A1929">
            <v>22910284</v>
          </cell>
          <cell r="B1929" t="str">
            <v>#Lv86_퀘스트용 2배</v>
          </cell>
        </row>
        <row r="1930">
          <cell r="A1930">
            <v>22910285</v>
          </cell>
          <cell r="B1930" t="str">
            <v>#Lv87_퀘스트용 2배</v>
          </cell>
        </row>
        <row r="1931">
          <cell r="A1931">
            <v>22910286</v>
          </cell>
          <cell r="B1931" t="str">
            <v>#Lv88_퀘스트용 2배</v>
          </cell>
        </row>
        <row r="1932">
          <cell r="A1932">
            <v>22910287</v>
          </cell>
          <cell r="B1932" t="str">
            <v>#Lv89_퀘스트용 2배</v>
          </cell>
        </row>
        <row r="1933">
          <cell r="A1933">
            <v>22910288</v>
          </cell>
          <cell r="B1933" t="str">
            <v>#Lv90_퀘스트용 2배</v>
          </cell>
        </row>
        <row r="1934">
          <cell r="A1934">
            <v>22910289</v>
          </cell>
          <cell r="B1934" t="str">
            <v>#Lv91_퀘스트용 2배</v>
          </cell>
        </row>
        <row r="1935">
          <cell r="A1935">
            <v>22910290</v>
          </cell>
          <cell r="B1935" t="str">
            <v>#Lv92_퀘스트용 2배</v>
          </cell>
        </row>
        <row r="1936">
          <cell r="A1936">
            <v>22910291</v>
          </cell>
          <cell r="B1936" t="str">
            <v>#Lv93_퀘스트용 2배</v>
          </cell>
        </row>
        <row r="1937">
          <cell r="A1937">
            <v>22910292</v>
          </cell>
          <cell r="B1937" t="str">
            <v>#Lv94_퀘스트용 2배</v>
          </cell>
        </row>
        <row r="1938">
          <cell r="A1938">
            <v>22910293</v>
          </cell>
          <cell r="B1938" t="str">
            <v>#Lv95_퀘스트용 2배</v>
          </cell>
        </row>
        <row r="1939">
          <cell r="A1939">
            <v>22910294</v>
          </cell>
          <cell r="B1939" t="str">
            <v>#Lv96_퀘스트용 2배</v>
          </cell>
        </row>
        <row r="1940">
          <cell r="A1940">
            <v>22910295</v>
          </cell>
          <cell r="B1940" t="str">
            <v>#Lv97_퀘스트용 2배</v>
          </cell>
        </row>
        <row r="1941">
          <cell r="A1941">
            <v>22910296</v>
          </cell>
          <cell r="B1941" t="str">
            <v>#Lv98_퀘스트용 2배</v>
          </cell>
        </row>
        <row r="1942">
          <cell r="A1942">
            <v>22910297</v>
          </cell>
          <cell r="B1942" t="str">
            <v>#Lv99_퀘스트용 2배</v>
          </cell>
        </row>
        <row r="1943">
          <cell r="A1943">
            <v>22910298</v>
          </cell>
          <cell r="B1943" t="str">
            <v>#Lv1_퀘스트용 3배</v>
          </cell>
        </row>
        <row r="1944">
          <cell r="A1944">
            <v>22910299</v>
          </cell>
          <cell r="B1944" t="str">
            <v>#Lv2_퀘스트용 3배</v>
          </cell>
        </row>
        <row r="1945">
          <cell r="A1945">
            <v>22910300</v>
          </cell>
          <cell r="B1945" t="str">
            <v>#Lv3_퀘스트용 3배</v>
          </cell>
        </row>
        <row r="1946">
          <cell r="A1946">
            <v>22910301</v>
          </cell>
          <cell r="B1946" t="str">
            <v>#Lv4_퀘스트용 3배</v>
          </cell>
        </row>
        <row r="1947">
          <cell r="A1947">
            <v>22910302</v>
          </cell>
          <cell r="B1947" t="str">
            <v>#Lv5_퀘스트용 3배</v>
          </cell>
        </row>
        <row r="1948">
          <cell r="A1948">
            <v>22910303</v>
          </cell>
          <cell r="B1948" t="str">
            <v>#Lv6_퀘스트용 3배</v>
          </cell>
        </row>
        <row r="1949">
          <cell r="A1949">
            <v>22910304</v>
          </cell>
          <cell r="B1949" t="str">
            <v>#Lv7_퀘스트용 3배</v>
          </cell>
        </row>
        <row r="1950">
          <cell r="A1950">
            <v>22910305</v>
          </cell>
          <cell r="B1950" t="str">
            <v>#Lv8_퀘스트용 3배</v>
          </cell>
        </row>
        <row r="1951">
          <cell r="A1951">
            <v>22910306</v>
          </cell>
          <cell r="B1951" t="str">
            <v>#Lv9_퀘스트용 3배</v>
          </cell>
        </row>
        <row r="1952">
          <cell r="A1952">
            <v>22910307</v>
          </cell>
          <cell r="B1952" t="str">
            <v>#Lv10_퀘스트용 3배</v>
          </cell>
        </row>
        <row r="1953">
          <cell r="A1953">
            <v>22910308</v>
          </cell>
          <cell r="B1953" t="str">
            <v>#Lv11_퀘스트용 3배</v>
          </cell>
        </row>
        <row r="1954">
          <cell r="A1954">
            <v>22910309</v>
          </cell>
          <cell r="B1954" t="str">
            <v>#Lv12_퀘스트용 3배</v>
          </cell>
        </row>
        <row r="1955">
          <cell r="A1955">
            <v>22910310</v>
          </cell>
          <cell r="B1955" t="str">
            <v>#Lv13_퀘스트용 3배</v>
          </cell>
        </row>
        <row r="1956">
          <cell r="A1956">
            <v>22910311</v>
          </cell>
          <cell r="B1956" t="str">
            <v>#Lv14_퀘스트용 3배</v>
          </cell>
        </row>
        <row r="1957">
          <cell r="A1957">
            <v>22910312</v>
          </cell>
          <cell r="B1957" t="str">
            <v>#Lv15_퀘스트용 3배</v>
          </cell>
        </row>
        <row r="1958">
          <cell r="A1958">
            <v>22910313</v>
          </cell>
          <cell r="B1958" t="str">
            <v>#Lv16_퀘스트용 3배</v>
          </cell>
        </row>
        <row r="1959">
          <cell r="A1959">
            <v>22910314</v>
          </cell>
          <cell r="B1959" t="str">
            <v>#Lv17_퀘스트용 3배</v>
          </cell>
        </row>
        <row r="1960">
          <cell r="A1960">
            <v>22910315</v>
          </cell>
          <cell r="B1960" t="str">
            <v>#Lv18_퀘스트용 3배</v>
          </cell>
        </row>
        <row r="1961">
          <cell r="A1961">
            <v>22910316</v>
          </cell>
          <cell r="B1961" t="str">
            <v>#Lv19_퀘스트용 3배</v>
          </cell>
        </row>
        <row r="1962">
          <cell r="A1962">
            <v>22910317</v>
          </cell>
          <cell r="B1962" t="str">
            <v>#Lv20_퀘스트용 3배</v>
          </cell>
        </row>
        <row r="1963">
          <cell r="A1963">
            <v>22910318</v>
          </cell>
          <cell r="B1963" t="str">
            <v>#Lv21_퀘스트용 3배</v>
          </cell>
        </row>
        <row r="1964">
          <cell r="A1964">
            <v>22910319</v>
          </cell>
          <cell r="B1964" t="str">
            <v>#Lv22_퀘스트용 3배</v>
          </cell>
        </row>
        <row r="1965">
          <cell r="A1965">
            <v>22910320</v>
          </cell>
          <cell r="B1965" t="str">
            <v>#Lv23_퀘스트용 3배</v>
          </cell>
        </row>
        <row r="1966">
          <cell r="A1966">
            <v>22910321</v>
          </cell>
          <cell r="B1966" t="str">
            <v>#Lv24_퀘스트용 3배</v>
          </cell>
        </row>
        <row r="1967">
          <cell r="A1967">
            <v>22910322</v>
          </cell>
          <cell r="B1967" t="str">
            <v>#Lv25_퀘스트용 3배</v>
          </cell>
        </row>
        <row r="1968">
          <cell r="A1968">
            <v>22910323</v>
          </cell>
          <cell r="B1968" t="str">
            <v>#Lv26_퀘스트용 3배</v>
          </cell>
        </row>
        <row r="1969">
          <cell r="A1969">
            <v>22910324</v>
          </cell>
          <cell r="B1969" t="str">
            <v>#Lv27_퀘스트용 3배</v>
          </cell>
        </row>
        <row r="1970">
          <cell r="A1970">
            <v>22910325</v>
          </cell>
          <cell r="B1970" t="str">
            <v>#Lv28_퀘스트용 3배</v>
          </cell>
        </row>
        <row r="1971">
          <cell r="A1971">
            <v>22910326</v>
          </cell>
          <cell r="B1971" t="str">
            <v>#Lv29_퀘스트용 3배</v>
          </cell>
        </row>
        <row r="1972">
          <cell r="A1972">
            <v>22910327</v>
          </cell>
          <cell r="B1972" t="str">
            <v>#Lv30_퀘스트용 3배</v>
          </cell>
        </row>
        <row r="1973">
          <cell r="A1973">
            <v>22910328</v>
          </cell>
          <cell r="B1973" t="str">
            <v>#Lv31_퀘스트용 3배</v>
          </cell>
        </row>
        <row r="1974">
          <cell r="A1974">
            <v>22910329</v>
          </cell>
          <cell r="B1974" t="str">
            <v>#Lv32_퀘스트용 3배</v>
          </cell>
        </row>
        <row r="1975">
          <cell r="A1975">
            <v>22910330</v>
          </cell>
          <cell r="B1975" t="str">
            <v>#Lv33_퀘스트용 3배</v>
          </cell>
        </row>
        <row r="1976">
          <cell r="A1976">
            <v>22910331</v>
          </cell>
          <cell r="B1976" t="str">
            <v>#Lv34_퀘스트용 3배</v>
          </cell>
        </row>
        <row r="1977">
          <cell r="A1977">
            <v>22910332</v>
          </cell>
          <cell r="B1977" t="str">
            <v>#Lv35_퀘스트용 3배</v>
          </cell>
        </row>
        <row r="1978">
          <cell r="A1978">
            <v>22910333</v>
          </cell>
          <cell r="B1978" t="str">
            <v>#Lv36_퀘스트용 3배</v>
          </cell>
        </row>
        <row r="1979">
          <cell r="A1979">
            <v>22910334</v>
          </cell>
          <cell r="B1979" t="str">
            <v>#Lv37_퀘스트용 3배</v>
          </cell>
        </row>
        <row r="1980">
          <cell r="A1980">
            <v>22910335</v>
          </cell>
          <cell r="B1980" t="str">
            <v>#Lv38_퀘스트용 3배</v>
          </cell>
        </row>
        <row r="1981">
          <cell r="A1981">
            <v>22910336</v>
          </cell>
          <cell r="B1981" t="str">
            <v>#Lv39_퀘스트용 3배</v>
          </cell>
        </row>
        <row r="1982">
          <cell r="A1982">
            <v>22910337</v>
          </cell>
          <cell r="B1982" t="str">
            <v>#Lv40_퀘스트용 3배</v>
          </cell>
        </row>
        <row r="1983">
          <cell r="A1983">
            <v>22910338</v>
          </cell>
          <cell r="B1983" t="str">
            <v>#Lv41_퀘스트용 3배</v>
          </cell>
        </row>
        <row r="1984">
          <cell r="A1984">
            <v>22910339</v>
          </cell>
          <cell r="B1984" t="str">
            <v>#Lv42_퀘스트용 3배</v>
          </cell>
        </row>
        <row r="1985">
          <cell r="A1985">
            <v>22910340</v>
          </cell>
          <cell r="B1985" t="str">
            <v>#Lv43_퀘스트용 3배</v>
          </cell>
        </row>
        <row r="1986">
          <cell r="A1986">
            <v>22910341</v>
          </cell>
          <cell r="B1986" t="str">
            <v>#Lv44_퀘스트용 3배</v>
          </cell>
        </row>
        <row r="1987">
          <cell r="A1987">
            <v>22910342</v>
          </cell>
          <cell r="B1987" t="str">
            <v>#Lv45_퀘스트용 3배</v>
          </cell>
        </row>
        <row r="1988">
          <cell r="A1988">
            <v>22910343</v>
          </cell>
          <cell r="B1988" t="str">
            <v>#Lv46_퀘스트용 3배</v>
          </cell>
        </row>
        <row r="1989">
          <cell r="A1989">
            <v>22910344</v>
          </cell>
          <cell r="B1989" t="str">
            <v>#Lv47_퀘스트용 3배</v>
          </cell>
        </row>
        <row r="1990">
          <cell r="A1990">
            <v>22910345</v>
          </cell>
          <cell r="B1990" t="str">
            <v>#Lv48_퀘스트용 3배</v>
          </cell>
        </row>
        <row r="1991">
          <cell r="A1991">
            <v>22910346</v>
          </cell>
          <cell r="B1991" t="str">
            <v>#Lv49_퀘스트용 3배</v>
          </cell>
        </row>
        <row r="1992">
          <cell r="A1992">
            <v>22910347</v>
          </cell>
          <cell r="B1992" t="str">
            <v>#Lv50_퀘스트용 3배</v>
          </cell>
        </row>
        <row r="1993">
          <cell r="A1993">
            <v>22910348</v>
          </cell>
          <cell r="B1993" t="str">
            <v>#Lv51_퀘스트용 3배</v>
          </cell>
        </row>
        <row r="1994">
          <cell r="A1994">
            <v>22910349</v>
          </cell>
          <cell r="B1994" t="str">
            <v>#Lv52_퀘스트용 3배</v>
          </cell>
        </row>
        <row r="1995">
          <cell r="A1995">
            <v>22910350</v>
          </cell>
          <cell r="B1995" t="str">
            <v>#Lv53_퀘스트용 3배</v>
          </cell>
        </row>
        <row r="1996">
          <cell r="A1996">
            <v>22910351</v>
          </cell>
          <cell r="B1996" t="str">
            <v>#Lv54_퀘스트용 3배</v>
          </cell>
        </row>
        <row r="1997">
          <cell r="A1997">
            <v>22910352</v>
          </cell>
          <cell r="B1997" t="str">
            <v>#Lv55_퀘스트용 3배</v>
          </cell>
        </row>
        <row r="1998">
          <cell r="A1998">
            <v>22910353</v>
          </cell>
          <cell r="B1998" t="str">
            <v>#Lv56_퀘스트용 3배</v>
          </cell>
        </row>
        <row r="1999">
          <cell r="A1999">
            <v>22910354</v>
          </cell>
          <cell r="B1999" t="str">
            <v>#Lv57_퀘스트용 3배</v>
          </cell>
        </row>
        <row r="2000">
          <cell r="A2000">
            <v>22910355</v>
          </cell>
          <cell r="B2000" t="str">
            <v>#Lv58_퀘스트용 3배</v>
          </cell>
        </row>
        <row r="2001">
          <cell r="A2001">
            <v>22910356</v>
          </cell>
          <cell r="B2001" t="str">
            <v>#Lv59_퀘스트용 3배</v>
          </cell>
        </row>
        <row r="2002">
          <cell r="A2002">
            <v>22910357</v>
          </cell>
          <cell r="B2002" t="str">
            <v>#Lv60_퀘스트용 3배</v>
          </cell>
        </row>
        <row r="2003">
          <cell r="A2003">
            <v>22910358</v>
          </cell>
          <cell r="B2003" t="str">
            <v>#Lv61_퀘스트용 3배</v>
          </cell>
        </row>
        <row r="2004">
          <cell r="A2004">
            <v>22910359</v>
          </cell>
          <cell r="B2004" t="str">
            <v>#Lv62_퀘스트용 3배</v>
          </cell>
        </row>
        <row r="2005">
          <cell r="A2005">
            <v>22910360</v>
          </cell>
          <cell r="B2005" t="str">
            <v>#Lv63_퀘스트용 3배</v>
          </cell>
        </row>
        <row r="2006">
          <cell r="A2006">
            <v>22910361</v>
          </cell>
          <cell r="B2006" t="str">
            <v>#Lv64_퀘스트용 3배</v>
          </cell>
        </row>
        <row r="2007">
          <cell r="A2007">
            <v>22910362</v>
          </cell>
          <cell r="B2007" t="str">
            <v>#Lv65_퀘스트용 3배</v>
          </cell>
        </row>
        <row r="2008">
          <cell r="A2008">
            <v>22910363</v>
          </cell>
          <cell r="B2008" t="str">
            <v>#Lv66_퀘스트용 3배</v>
          </cell>
        </row>
        <row r="2009">
          <cell r="A2009">
            <v>22910364</v>
          </cell>
          <cell r="B2009" t="str">
            <v>#Lv67_퀘스트용 3배</v>
          </cell>
        </row>
        <row r="2010">
          <cell r="A2010">
            <v>22910365</v>
          </cell>
          <cell r="B2010" t="str">
            <v>#Lv68_퀘스트용 3배</v>
          </cell>
        </row>
        <row r="2011">
          <cell r="A2011">
            <v>22910366</v>
          </cell>
          <cell r="B2011" t="str">
            <v>#Lv69_퀘스트용 3배</v>
          </cell>
        </row>
        <row r="2012">
          <cell r="A2012">
            <v>22910367</v>
          </cell>
          <cell r="B2012" t="str">
            <v>#Lv70_퀘스트용 3배</v>
          </cell>
        </row>
        <row r="2013">
          <cell r="A2013">
            <v>22910368</v>
          </cell>
          <cell r="B2013" t="str">
            <v>#Lv71_퀘스트용 3배</v>
          </cell>
        </row>
        <row r="2014">
          <cell r="A2014">
            <v>22910369</v>
          </cell>
          <cell r="B2014" t="str">
            <v>#Lv72_퀘스트용 3배</v>
          </cell>
        </row>
        <row r="2015">
          <cell r="A2015">
            <v>22910370</v>
          </cell>
          <cell r="B2015" t="str">
            <v>#Lv73_퀘스트용 3배</v>
          </cell>
        </row>
        <row r="2016">
          <cell r="A2016">
            <v>22910371</v>
          </cell>
          <cell r="B2016" t="str">
            <v>#Lv74_퀘스트용 3배</v>
          </cell>
        </row>
        <row r="2017">
          <cell r="A2017">
            <v>22910372</v>
          </cell>
          <cell r="B2017" t="str">
            <v>#Lv75_퀘스트용 3배</v>
          </cell>
        </row>
        <row r="2018">
          <cell r="A2018">
            <v>22910373</v>
          </cell>
          <cell r="B2018" t="str">
            <v>#Lv76_퀘스트용 3배</v>
          </cell>
        </row>
        <row r="2019">
          <cell r="A2019">
            <v>22910374</v>
          </cell>
          <cell r="B2019" t="str">
            <v>#Lv77_퀘스트용 3배</v>
          </cell>
        </row>
        <row r="2020">
          <cell r="A2020">
            <v>22910375</v>
          </cell>
          <cell r="B2020" t="str">
            <v>#Lv78_퀘스트용 3배</v>
          </cell>
        </row>
        <row r="2021">
          <cell r="A2021">
            <v>22910376</v>
          </cell>
          <cell r="B2021" t="str">
            <v>#Lv79_퀘스트용 3배</v>
          </cell>
        </row>
        <row r="2022">
          <cell r="A2022">
            <v>22910377</v>
          </cell>
          <cell r="B2022" t="str">
            <v>#Lv80_퀘스트용 3배</v>
          </cell>
        </row>
        <row r="2023">
          <cell r="A2023">
            <v>22910378</v>
          </cell>
          <cell r="B2023" t="str">
            <v>#Lv81_퀘스트용 3배</v>
          </cell>
        </row>
        <row r="2024">
          <cell r="A2024">
            <v>22910379</v>
          </cell>
          <cell r="B2024" t="str">
            <v>#Lv82_퀘스트용 3배</v>
          </cell>
        </row>
        <row r="2025">
          <cell r="A2025">
            <v>22910380</v>
          </cell>
          <cell r="B2025" t="str">
            <v>#Lv83_퀘스트용 3배</v>
          </cell>
        </row>
        <row r="2026">
          <cell r="A2026">
            <v>22910381</v>
          </cell>
          <cell r="B2026" t="str">
            <v>#Lv84_퀘스트용 3배</v>
          </cell>
        </row>
        <row r="2027">
          <cell r="A2027">
            <v>22910382</v>
          </cell>
          <cell r="B2027" t="str">
            <v>#Lv85_퀘스트용 3배</v>
          </cell>
        </row>
        <row r="2028">
          <cell r="A2028">
            <v>22910383</v>
          </cell>
          <cell r="B2028" t="str">
            <v>#Lv86_퀘스트용 3배</v>
          </cell>
        </row>
        <row r="2029">
          <cell r="A2029">
            <v>22910384</v>
          </cell>
          <cell r="B2029" t="str">
            <v>#Lv87_퀘스트용 3배</v>
          </cell>
        </row>
        <row r="2030">
          <cell r="A2030">
            <v>22910385</v>
          </cell>
          <cell r="B2030" t="str">
            <v>#Lv88_퀘스트용 3배</v>
          </cell>
        </row>
        <row r="2031">
          <cell r="A2031">
            <v>22910386</v>
          </cell>
          <cell r="B2031" t="str">
            <v>#Lv89_퀘스트용 3배</v>
          </cell>
        </row>
        <row r="2032">
          <cell r="A2032">
            <v>22910387</v>
          </cell>
          <cell r="B2032" t="str">
            <v>#Lv90_퀘스트용 3배</v>
          </cell>
        </row>
        <row r="2033">
          <cell r="A2033">
            <v>22910388</v>
          </cell>
          <cell r="B2033" t="str">
            <v>#Lv91_퀘스트용 3배</v>
          </cell>
        </row>
        <row r="2034">
          <cell r="A2034">
            <v>22910389</v>
          </cell>
          <cell r="B2034" t="str">
            <v>#Lv92_퀘스트용 3배</v>
          </cell>
        </row>
        <row r="2035">
          <cell r="A2035">
            <v>22910390</v>
          </cell>
          <cell r="B2035" t="str">
            <v>#Lv93_퀘스트용 3배</v>
          </cell>
        </row>
        <row r="2036">
          <cell r="A2036">
            <v>22910391</v>
          </cell>
          <cell r="B2036" t="str">
            <v>#Lv94_퀘스트용 3배</v>
          </cell>
        </row>
        <row r="2037">
          <cell r="A2037">
            <v>22910392</v>
          </cell>
          <cell r="B2037" t="str">
            <v>#Lv95_퀘스트용 3배</v>
          </cell>
        </row>
        <row r="2038">
          <cell r="A2038">
            <v>22910393</v>
          </cell>
          <cell r="B2038" t="str">
            <v>#Lv96_퀘스트용 3배</v>
          </cell>
        </row>
        <row r="2039">
          <cell r="A2039">
            <v>22910394</v>
          </cell>
          <cell r="B2039" t="str">
            <v>#Lv97_퀘스트용 3배</v>
          </cell>
        </row>
        <row r="2040">
          <cell r="A2040">
            <v>22910395</v>
          </cell>
          <cell r="B2040" t="str">
            <v>#Lv98_퀘스트용 3배</v>
          </cell>
        </row>
        <row r="2041">
          <cell r="A2041">
            <v>22910396</v>
          </cell>
          <cell r="B2041" t="str">
            <v>#Lv99_퀘스트용 3배</v>
          </cell>
        </row>
        <row r="2042">
          <cell r="A2042">
            <v>22910397</v>
          </cell>
          <cell r="B2042" t="str">
            <v>#Lv1_퀘스트용 4배</v>
          </cell>
        </row>
        <row r="2043">
          <cell r="A2043">
            <v>22910398</v>
          </cell>
          <cell r="B2043" t="str">
            <v>#Lv2_퀘스트용 4배</v>
          </cell>
        </row>
        <row r="2044">
          <cell r="A2044">
            <v>22910399</v>
          </cell>
          <cell r="B2044" t="str">
            <v>#Lv3_퀘스트용 4배</v>
          </cell>
        </row>
        <row r="2045">
          <cell r="A2045">
            <v>22910400</v>
          </cell>
          <cell r="B2045" t="str">
            <v>#Lv4_퀘스트용 4배</v>
          </cell>
        </row>
        <row r="2046">
          <cell r="A2046">
            <v>22910401</v>
          </cell>
          <cell r="B2046" t="str">
            <v>#Lv5_퀘스트용 4배</v>
          </cell>
        </row>
        <row r="2047">
          <cell r="A2047">
            <v>22910402</v>
          </cell>
          <cell r="B2047" t="str">
            <v>#Lv6_퀘스트용 4배</v>
          </cell>
        </row>
        <row r="2048">
          <cell r="A2048">
            <v>22910403</v>
          </cell>
          <cell r="B2048" t="str">
            <v>#Lv7_퀘스트용 4배</v>
          </cell>
        </row>
        <row r="2049">
          <cell r="A2049">
            <v>22910404</v>
          </cell>
          <cell r="B2049" t="str">
            <v>#Lv8_퀘스트용 4배</v>
          </cell>
        </row>
        <row r="2050">
          <cell r="A2050">
            <v>22910405</v>
          </cell>
          <cell r="B2050" t="str">
            <v>#Lv9_퀘스트용 4배</v>
          </cell>
        </row>
        <row r="2051">
          <cell r="A2051">
            <v>22910406</v>
          </cell>
          <cell r="B2051" t="str">
            <v>#Lv10_퀘스트용 4배</v>
          </cell>
        </row>
        <row r="2052">
          <cell r="A2052">
            <v>22910407</v>
          </cell>
          <cell r="B2052" t="str">
            <v>#Lv11_퀘스트용 4배</v>
          </cell>
        </row>
        <row r="2053">
          <cell r="A2053">
            <v>22910408</v>
          </cell>
          <cell r="B2053" t="str">
            <v>#Lv12_퀘스트용 4배</v>
          </cell>
        </row>
        <row r="2054">
          <cell r="A2054">
            <v>22910409</v>
          </cell>
          <cell r="B2054" t="str">
            <v>#Lv13_퀘스트용 4배</v>
          </cell>
        </row>
        <row r="2055">
          <cell r="A2055">
            <v>22910410</v>
          </cell>
          <cell r="B2055" t="str">
            <v>#Lv14_퀘스트용 4배</v>
          </cell>
        </row>
        <row r="2056">
          <cell r="A2056">
            <v>22910411</v>
          </cell>
          <cell r="B2056" t="str">
            <v>#Lv15_퀘스트용 4배</v>
          </cell>
        </row>
        <row r="2057">
          <cell r="A2057">
            <v>22910412</v>
          </cell>
          <cell r="B2057" t="str">
            <v>#Lv16_퀘스트용 4배</v>
          </cell>
        </row>
        <row r="2058">
          <cell r="A2058">
            <v>22910413</v>
          </cell>
          <cell r="B2058" t="str">
            <v>#Lv17_퀘스트용 4배</v>
          </cell>
        </row>
        <row r="2059">
          <cell r="A2059">
            <v>22910414</v>
          </cell>
          <cell r="B2059" t="str">
            <v>#Lv18_퀘스트용 4배</v>
          </cell>
        </row>
        <row r="2060">
          <cell r="A2060">
            <v>22910415</v>
          </cell>
          <cell r="B2060" t="str">
            <v>#Lv19_퀘스트용 4배</v>
          </cell>
        </row>
        <row r="2061">
          <cell r="A2061">
            <v>22910416</v>
          </cell>
          <cell r="B2061" t="str">
            <v>#Lv20_퀘스트용 4배</v>
          </cell>
        </row>
        <row r="2062">
          <cell r="A2062">
            <v>22910417</v>
          </cell>
          <cell r="B2062" t="str">
            <v>#Lv21_퀘스트용 4배</v>
          </cell>
        </row>
        <row r="2063">
          <cell r="A2063">
            <v>22910418</v>
          </cell>
          <cell r="B2063" t="str">
            <v>#Lv22_퀘스트용 4배</v>
          </cell>
        </row>
        <row r="2064">
          <cell r="A2064">
            <v>22910419</v>
          </cell>
          <cell r="B2064" t="str">
            <v>#Lv23_퀘스트용 4배</v>
          </cell>
        </row>
        <row r="2065">
          <cell r="A2065">
            <v>22910420</v>
          </cell>
          <cell r="B2065" t="str">
            <v>#Lv24_퀘스트용 4배</v>
          </cell>
        </row>
        <row r="2066">
          <cell r="A2066">
            <v>22910421</v>
          </cell>
          <cell r="B2066" t="str">
            <v>#Lv25_퀘스트용 4배</v>
          </cell>
        </row>
        <row r="2067">
          <cell r="A2067">
            <v>22910422</v>
          </cell>
          <cell r="B2067" t="str">
            <v>#Lv26_퀘스트용 4배</v>
          </cell>
        </row>
        <row r="2068">
          <cell r="A2068">
            <v>22910423</v>
          </cell>
          <cell r="B2068" t="str">
            <v>#Lv27_퀘스트용 4배</v>
          </cell>
        </row>
        <row r="2069">
          <cell r="A2069">
            <v>22910424</v>
          </cell>
          <cell r="B2069" t="str">
            <v>#Lv28_퀘스트용 4배</v>
          </cell>
        </row>
        <row r="2070">
          <cell r="A2070">
            <v>22910425</v>
          </cell>
          <cell r="B2070" t="str">
            <v>#Lv29_퀘스트용 4배</v>
          </cell>
        </row>
        <row r="2071">
          <cell r="A2071">
            <v>22910426</v>
          </cell>
          <cell r="B2071" t="str">
            <v>#Lv30_퀘스트용 4배</v>
          </cell>
        </row>
        <row r="2072">
          <cell r="A2072">
            <v>22910427</v>
          </cell>
          <cell r="B2072" t="str">
            <v>#Lv31_퀘스트용 4배</v>
          </cell>
        </row>
        <row r="2073">
          <cell r="A2073">
            <v>22910428</v>
          </cell>
          <cell r="B2073" t="str">
            <v>#Lv32_퀘스트용 4배</v>
          </cell>
        </row>
        <row r="2074">
          <cell r="A2074">
            <v>22910429</v>
          </cell>
          <cell r="B2074" t="str">
            <v>#Lv33_퀘스트용 4배</v>
          </cell>
        </row>
        <row r="2075">
          <cell r="A2075">
            <v>22910430</v>
          </cell>
          <cell r="B2075" t="str">
            <v>#Lv34_퀘스트용 4배</v>
          </cell>
        </row>
        <row r="2076">
          <cell r="A2076">
            <v>22910431</v>
          </cell>
          <cell r="B2076" t="str">
            <v>#Lv35_퀘스트용 4배</v>
          </cell>
        </row>
        <row r="2077">
          <cell r="A2077">
            <v>22910432</v>
          </cell>
          <cell r="B2077" t="str">
            <v>#Lv36_퀘스트용 4배</v>
          </cell>
        </row>
        <row r="2078">
          <cell r="A2078">
            <v>22910433</v>
          </cell>
          <cell r="B2078" t="str">
            <v>#Lv37_퀘스트용 4배</v>
          </cell>
        </row>
        <row r="2079">
          <cell r="A2079">
            <v>22910434</v>
          </cell>
          <cell r="B2079" t="str">
            <v>#Lv38_퀘스트용 4배</v>
          </cell>
        </row>
        <row r="2080">
          <cell r="A2080">
            <v>22910435</v>
          </cell>
          <cell r="B2080" t="str">
            <v>#Lv39_퀘스트용 4배</v>
          </cell>
        </row>
        <row r="2081">
          <cell r="A2081">
            <v>22910436</v>
          </cell>
          <cell r="B2081" t="str">
            <v>#Lv40_퀘스트용 4배</v>
          </cell>
        </row>
        <row r="2082">
          <cell r="A2082">
            <v>22910437</v>
          </cell>
          <cell r="B2082" t="str">
            <v>#Lv41_퀘스트용 4배</v>
          </cell>
        </row>
        <row r="2083">
          <cell r="A2083">
            <v>22910438</v>
          </cell>
          <cell r="B2083" t="str">
            <v>#Lv42_퀘스트용 4배</v>
          </cell>
        </row>
        <row r="2084">
          <cell r="A2084">
            <v>22910439</v>
          </cell>
          <cell r="B2084" t="str">
            <v>#Lv43_퀘스트용 4배</v>
          </cell>
        </row>
        <row r="2085">
          <cell r="A2085">
            <v>22910440</v>
          </cell>
          <cell r="B2085" t="str">
            <v>#Lv44_퀘스트용 4배</v>
          </cell>
        </row>
        <row r="2086">
          <cell r="A2086">
            <v>22910441</v>
          </cell>
          <cell r="B2086" t="str">
            <v>#Lv45_퀘스트용 4배</v>
          </cell>
        </row>
        <row r="2087">
          <cell r="A2087">
            <v>22910442</v>
          </cell>
          <cell r="B2087" t="str">
            <v>#Lv46_퀘스트용 4배</v>
          </cell>
        </row>
        <row r="2088">
          <cell r="A2088">
            <v>22910443</v>
          </cell>
          <cell r="B2088" t="str">
            <v>#Lv47_퀘스트용 4배</v>
          </cell>
        </row>
        <row r="2089">
          <cell r="A2089">
            <v>22910444</v>
          </cell>
          <cell r="B2089" t="str">
            <v>#Lv48_퀘스트용 4배</v>
          </cell>
        </row>
        <row r="2090">
          <cell r="A2090">
            <v>22910445</v>
          </cell>
          <cell r="B2090" t="str">
            <v>#Lv49_퀘스트용 4배</v>
          </cell>
        </row>
        <row r="2091">
          <cell r="A2091">
            <v>22910446</v>
          </cell>
          <cell r="B2091" t="str">
            <v>#Lv50_퀘스트용 4배</v>
          </cell>
        </row>
        <row r="2092">
          <cell r="A2092">
            <v>22910447</v>
          </cell>
          <cell r="B2092" t="str">
            <v>#Lv51_퀘스트용 4배</v>
          </cell>
        </row>
        <row r="2093">
          <cell r="A2093">
            <v>22910448</v>
          </cell>
          <cell r="B2093" t="str">
            <v>#Lv52_퀘스트용 4배</v>
          </cell>
        </row>
        <row r="2094">
          <cell r="A2094">
            <v>22910449</v>
          </cell>
          <cell r="B2094" t="str">
            <v>#Lv53_퀘스트용 4배</v>
          </cell>
        </row>
        <row r="2095">
          <cell r="A2095">
            <v>22910450</v>
          </cell>
          <cell r="B2095" t="str">
            <v>#Lv54_퀘스트용 4배</v>
          </cell>
        </row>
        <row r="2096">
          <cell r="A2096">
            <v>22910451</v>
          </cell>
          <cell r="B2096" t="str">
            <v>#Lv55_퀘스트용 4배</v>
          </cell>
        </row>
        <row r="2097">
          <cell r="A2097">
            <v>22910452</v>
          </cell>
          <cell r="B2097" t="str">
            <v>#Lv56_퀘스트용 4배</v>
          </cell>
        </row>
        <row r="2098">
          <cell r="A2098">
            <v>22910453</v>
          </cell>
          <cell r="B2098" t="str">
            <v>#Lv57_퀘스트용 4배</v>
          </cell>
        </row>
        <row r="2099">
          <cell r="A2099">
            <v>22910454</v>
          </cell>
          <cell r="B2099" t="str">
            <v>#Lv58_퀘스트용 4배</v>
          </cell>
        </row>
        <row r="2100">
          <cell r="A2100">
            <v>22910455</v>
          </cell>
          <cell r="B2100" t="str">
            <v>#Lv59_퀘스트용 4배</v>
          </cell>
        </row>
        <row r="2101">
          <cell r="A2101">
            <v>22910456</v>
          </cell>
          <cell r="B2101" t="str">
            <v>#Lv60_퀘스트용 4배</v>
          </cell>
        </row>
        <row r="2102">
          <cell r="A2102">
            <v>22910457</v>
          </cell>
          <cell r="B2102" t="str">
            <v>#Lv61_퀘스트용 4배</v>
          </cell>
        </row>
        <row r="2103">
          <cell r="A2103">
            <v>22910458</v>
          </cell>
          <cell r="B2103" t="str">
            <v>#Lv62_퀘스트용 4배</v>
          </cell>
        </row>
        <row r="2104">
          <cell r="A2104">
            <v>22910459</v>
          </cell>
          <cell r="B2104" t="str">
            <v>#Lv63_퀘스트용 4배</v>
          </cell>
        </row>
        <row r="2105">
          <cell r="A2105">
            <v>22910460</v>
          </cell>
          <cell r="B2105" t="str">
            <v>#Lv64_퀘스트용 4배</v>
          </cell>
        </row>
        <row r="2106">
          <cell r="A2106">
            <v>22910461</v>
          </cell>
          <cell r="B2106" t="str">
            <v>#Lv65_퀘스트용 4배</v>
          </cell>
        </row>
        <row r="2107">
          <cell r="A2107">
            <v>22910462</v>
          </cell>
          <cell r="B2107" t="str">
            <v>#Lv66_퀘스트용 4배</v>
          </cell>
        </row>
        <row r="2108">
          <cell r="A2108">
            <v>22910463</v>
          </cell>
          <cell r="B2108" t="str">
            <v>#Lv67_퀘스트용 4배</v>
          </cell>
        </row>
        <row r="2109">
          <cell r="A2109">
            <v>22910464</v>
          </cell>
          <cell r="B2109" t="str">
            <v>#Lv68_퀘스트용 4배</v>
          </cell>
        </row>
        <row r="2110">
          <cell r="A2110">
            <v>22910465</v>
          </cell>
          <cell r="B2110" t="str">
            <v>#Lv69_퀘스트용 4배</v>
          </cell>
        </row>
        <row r="2111">
          <cell r="A2111">
            <v>22910466</v>
          </cell>
          <cell r="B2111" t="str">
            <v>#Lv70_퀘스트용 4배</v>
          </cell>
        </row>
        <row r="2112">
          <cell r="A2112">
            <v>22910467</v>
          </cell>
          <cell r="B2112" t="str">
            <v>#Lv71_퀘스트용 4배</v>
          </cell>
        </row>
        <row r="2113">
          <cell r="A2113">
            <v>22910468</v>
          </cell>
          <cell r="B2113" t="str">
            <v>#Lv72_퀘스트용 4배</v>
          </cell>
        </row>
        <row r="2114">
          <cell r="A2114">
            <v>22910469</v>
          </cell>
          <cell r="B2114" t="str">
            <v>#Lv73_퀘스트용 4배</v>
          </cell>
        </row>
        <row r="2115">
          <cell r="A2115">
            <v>22910470</v>
          </cell>
          <cell r="B2115" t="str">
            <v>#Lv74_퀘스트용 4배</v>
          </cell>
        </row>
        <row r="2116">
          <cell r="A2116">
            <v>22910471</v>
          </cell>
          <cell r="B2116" t="str">
            <v>#Lv75_퀘스트용 4배</v>
          </cell>
        </row>
        <row r="2117">
          <cell r="A2117">
            <v>22910472</v>
          </cell>
          <cell r="B2117" t="str">
            <v>#Lv76_퀘스트용 4배</v>
          </cell>
        </row>
        <row r="2118">
          <cell r="A2118">
            <v>22910473</v>
          </cell>
          <cell r="B2118" t="str">
            <v>#Lv77_퀘스트용 4배</v>
          </cell>
        </row>
        <row r="2119">
          <cell r="A2119">
            <v>22910474</v>
          </cell>
          <cell r="B2119" t="str">
            <v>#Lv78_퀘스트용 4배</v>
          </cell>
        </row>
        <row r="2120">
          <cell r="A2120">
            <v>22910475</v>
          </cell>
          <cell r="B2120" t="str">
            <v>#Lv79_퀘스트용 4배</v>
          </cell>
        </row>
        <row r="2121">
          <cell r="A2121">
            <v>22910476</v>
          </cell>
          <cell r="B2121" t="str">
            <v>#Lv80_퀘스트용 4배</v>
          </cell>
        </row>
        <row r="2122">
          <cell r="A2122">
            <v>22910477</v>
          </cell>
          <cell r="B2122" t="str">
            <v>#Lv81_퀘스트용 4배</v>
          </cell>
        </row>
        <row r="2123">
          <cell r="A2123">
            <v>22910478</v>
          </cell>
          <cell r="B2123" t="str">
            <v>#Lv82_퀘스트용 4배</v>
          </cell>
        </row>
        <row r="2124">
          <cell r="A2124">
            <v>22910479</v>
          </cell>
          <cell r="B2124" t="str">
            <v>#Lv83_퀘스트용 4배</v>
          </cell>
        </row>
        <row r="2125">
          <cell r="A2125">
            <v>22910480</v>
          </cell>
          <cell r="B2125" t="str">
            <v>#Lv84_퀘스트용 4배</v>
          </cell>
        </row>
        <row r="2126">
          <cell r="A2126">
            <v>22910481</v>
          </cell>
          <cell r="B2126" t="str">
            <v>#Lv85_퀘스트용 4배</v>
          </cell>
        </row>
        <row r="2127">
          <cell r="A2127">
            <v>22910482</v>
          </cell>
          <cell r="B2127" t="str">
            <v>#Lv86_퀘스트용 4배</v>
          </cell>
        </row>
        <row r="2128">
          <cell r="A2128">
            <v>22910483</v>
          </cell>
          <cell r="B2128" t="str">
            <v>#Lv87_퀘스트용 4배</v>
          </cell>
        </row>
        <row r="2129">
          <cell r="A2129">
            <v>22910484</v>
          </cell>
          <cell r="B2129" t="str">
            <v>#Lv88_퀘스트용 4배</v>
          </cell>
        </row>
        <row r="2130">
          <cell r="A2130">
            <v>22910485</v>
          </cell>
          <cell r="B2130" t="str">
            <v>#Lv89_퀘스트용 4배</v>
          </cell>
        </row>
        <row r="2131">
          <cell r="A2131">
            <v>22910486</v>
          </cell>
          <cell r="B2131" t="str">
            <v>#Lv90_퀘스트용 4배</v>
          </cell>
        </row>
        <row r="2132">
          <cell r="A2132">
            <v>22910487</v>
          </cell>
          <cell r="B2132" t="str">
            <v>#Lv91_퀘스트용 4배</v>
          </cell>
        </row>
        <row r="2133">
          <cell r="A2133">
            <v>22910488</v>
          </cell>
          <cell r="B2133" t="str">
            <v>#Lv92_퀘스트용 4배</v>
          </cell>
        </row>
        <row r="2134">
          <cell r="A2134">
            <v>22910489</v>
          </cell>
          <cell r="B2134" t="str">
            <v>#Lv93_퀘스트용 4배</v>
          </cell>
        </row>
        <row r="2135">
          <cell r="A2135">
            <v>22910490</v>
          </cell>
          <cell r="B2135" t="str">
            <v>#Lv94_퀘스트용 4배</v>
          </cell>
        </row>
        <row r="2136">
          <cell r="A2136">
            <v>22910491</v>
          </cell>
          <cell r="B2136" t="str">
            <v>#Lv95_퀘스트용 4배</v>
          </cell>
        </row>
        <row r="2137">
          <cell r="A2137">
            <v>22910492</v>
          </cell>
          <cell r="B2137" t="str">
            <v>#Lv96_퀘스트용 4배</v>
          </cell>
        </row>
        <row r="2138">
          <cell r="A2138">
            <v>22910493</v>
          </cell>
          <cell r="B2138" t="str">
            <v>#Lv97_퀘스트용 4배</v>
          </cell>
        </row>
        <row r="2139">
          <cell r="A2139">
            <v>22910494</v>
          </cell>
          <cell r="B2139" t="str">
            <v>#Lv98_퀘스트용 4배</v>
          </cell>
        </row>
        <row r="2140">
          <cell r="A2140">
            <v>22910495</v>
          </cell>
          <cell r="B2140" t="str">
            <v>#Lv99_퀘스트용 4배</v>
          </cell>
        </row>
        <row r="2141">
          <cell r="A2141">
            <v>22910496</v>
          </cell>
          <cell r="B2141" t="str">
            <v>#Lv1_퀘스트용 5배</v>
          </cell>
        </row>
        <row r="2142">
          <cell r="A2142">
            <v>22910497</v>
          </cell>
          <cell r="B2142" t="str">
            <v>#Lv2_퀘스트용 5배</v>
          </cell>
        </row>
        <row r="2143">
          <cell r="A2143">
            <v>22910498</v>
          </cell>
          <cell r="B2143" t="str">
            <v>#Lv3_퀘스트용 5배</v>
          </cell>
        </row>
        <row r="2144">
          <cell r="A2144">
            <v>22910499</v>
          </cell>
          <cell r="B2144" t="str">
            <v>#Lv4_퀘스트용 5배</v>
          </cell>
        </row>
        <row r="2145">
          <cell r="A2145">
            <v>22910500</v>
          </cell>
          <cell r="B2145" t="str">
            <v>#Lv5_퀘스트용 5배</v>
          </cell>
        </row>
        <row r="2146">
          <cell r="A2146">
            <v>22910501</v>
          </cell>
          <cell r="B2146" t="str">
            <v>#Lv6_퀘스트용 5배</v>
          </cell>
        </row>
        <row r="2147">
          <cell r="A2147">
            <v>22910502</v>
          </cell>
          <cell r="B2147" t="str">
            <v>#Lv7_퀘스트용 5배</v>
          </cell>
        </row>
        <row r="2148">
          <cell r="A2148">
            <v>22910503</v>
          </cell>
          <cell r="B2148" t="str">
            <v>#Lv8_퀘스트용 5배</v>
          </cell>
        </row>
        <row r="2149">
          <cell r="A2149">
            <v>22910504</v>
          </cell>
          <cell r="B2149" t="str">
            <v>#Lv9_퀘스트용 5배</v>
          </cell>
        </row>
        <row r="2150">
          <cell r="A2150">
            <v>22910505</v>
          </cell>
          <cell r="B2150" t="str">
            <v>#Lv10_퀘스트용 5배</v>
          </cell>
        </row>
        <row r="2151">
          <cell r="A2151">
            <v>22910506</v>
          </cell>
          <cell r="B2151" t="str">
            <v>#Lv11_퀘스트용 5배</v>
          </cell>
        </row>
        <row r="2152">
          <cell r="A2152">
            <v>22910507</v>
          </cell>
          <cell r="B2152" t="str">
            <v>#Lv12_퀘스트용 5배</v>
          </cell>
        </row>
        <row r="2153">
          <cell r="A2153">
            <v>22910508</v>
          </cell>
          <cell r="B2153" t="str">
            <v>#Lv13_퀘스트용 5배</v>
          </cell>
        </row>
        <row r="2154">
          <cell r="A2154">
            <v>22910509</v>
          </cell>
          <cell r="B2154" t="str">
            <v>#Lv14_퀘스트용 5배</v>
          </cell>
        </row>
        <row r="2155">
          <cell r="A2155">
            <v>22910510</v>
          </cell>
          <cell r="B2155" t="str">
            <v>#Lv15_퀘스트용 5배</v>
          </cell>
        </row>
        <row r="2156">
          <cell r="A2156">
            <v>22910511</v>
          </cell>
          <cell r="B2156" t="str">
            <v>#Lv16_퀘스트용 5배</v>
          </cell>
        </row>
        <row r="2157">
          <cell r="A2157">
            <v>22910512</v>
          </cell>
          <cell r="B2157" t="str">
            <v>#Lv17_퀘스트용 5배</v>
          </cell>
        </row>
        <row r="2158">
          <cell r="A2158">
            <v>22910513</v>
          </cell>
          <cell r="B2158" t="str">
            <v>#Lv18_퀘스트용 5배</v>
          </cell>
        </row>
        <row r="2159">
          <cell r="A2159">
            <v>22910514</v>
          </cell>
          <cell r="B2159" t="str">
            <v>#Lv19_퀘스트용 5배</v>
          </cell>
        </row>
        <row r="2160">
          <cell r="A2160">
            <v>22910515</v>
          </cell>
          <cell r="B2160" t="str">
            <v>#Lv20_퀘스트용 5배</v>
          </cell>
        </row>
        <row r="2161">
          <cell r="A2161">
            <v>22910516</v>
          </cell>
          <cell r="B2161" t="str">
            <v>#Lv21_퀘스트용 5배</v>
          </cell>
        </row>
        <row r="2162">
          <cell r="A2162">
            <v>22910517</v>
          </cell>
          <cell r="B2162" t="str">
            <v>#Lv22_퀘스트용 5배</v>
          </cell>
        </row>
        <row r="2163">
          <cell r="A2163">
            <v>22910518</v>
          </cell>
          <cell r="B2163" t="str">
            <v>#Lv23_퀘스트용 5배</v>
          </cell>
        </row>
        <row r="2164">
          <cell r="A2164">
            <v>22910519</v>
          </cell>
          <cell r="B2164" t="str">
            <v>#Lv24_퀘스트용 5배</v>
          </cell>
        </row>
        <row r="2165">
          <cell r="A2165">
            <v>22910520</v>
          </cell>
          <cell r="B2165" t="str">
            <v>#Lv25_퀘스트용 5배</v>
          </cell>
        </row>
        <row r="2166">
          <cell r="A2166">
            <v>22910521</v>
          </cell>
          <cell r="B2166" t="str">
            <v>#Lv26_퀘스트용 5배</v>
          </cell>
        </row>
        <row r="2167">
          <cell r="A2167">
            <v>22910522</v>
          </cell>
          <cell r="B2167" t="str">
            <v>#Lv27_퀘스트용 5배</v>
          </cell>
        </row>
        <row r="2168">
          <cell r="A2168">
            <v>22910523</v>
          </cell>
          <cell r="B2168" t="str">
            <v>#Lv28_퀘스트용 5배</v>
          </cell>
        </row>
        <row r="2169">
          <cell r="A2169">
            <v>22910524</v>
          </cell>
          <cell r="B2169" t="str">
            <v>#Lv29_퀘스트용 5배</v>
          </cell>
        </row>
        <row r="2170">
          <cell r="A2170">
            <v>22910525</v>
          </cell>
          <cell r="B2170" t="str">
            <v>#Lv30_퀘스트용 5배</v>
          </cell>
        </row>
        <row r="2171">
          <cell r="A2171">
            <v>22910526</v>
          </cell>
          <cell r="B2171" t="str">
            <v>#Lv31_퀘스트용 5배</v>
          </cell>
        </row>
        <row r="2172">
          <cell r="A2172">
            <v>22910527</v>
          </cell>
          <cell r="B2172" t="str">
            <v>#Lv32_퀘스트용 5배</v>
          </cell>
        </row>
        <row r="2173">
          <cell r="A2173">
            <v>22910528</v>
          </cell>
          <cell r="B2173" t="str">
            <v>#Lv33_퀘스트용 5배</v>
          </cell>
        </row>
        <row r="2174">
          <cell r="A2174">
            <v>22910529</v>
          </cell>
          <cell r="B2174" t="str">
            <v>#Lv34_퀘스트용 5배</v>
          </cell>
        </row>
        <row r="2175">
          <cell r="A2175">
            <v>22910530</v>
          </cell>
          <cell r="B2175" t="str">
            <v>#Lv35_퀘스트용 5배</v>
          </cell>
        </row>
        <row r="2176">
          <cell r="A2176">
            <v>22910531</v>
          </cell>
          <cell r="B2176" t="str">
            <v>#Lv36_퀘스트용 5배</v>
          </cell>
        </row>
        <row r="2177">
          <cell r="A2177">
            <v>22910532</v>
          </cell>
          <cell r="B2177" t="str">
            <v>#Lv37_퀘스트용 5배</v>
          </cell>
        </row>
        <row r="2178">
          <cell r="A2178">
            <v>22910533</v>
          </cell>
          <cell r="B2178" t="str">
            <v>#Lv38_퀘스트용 5배</v>
          </cell>
        </row>
        <row r="2179">
          <cell r="A2179">
            <v>22910534</v>
          </cell>
          <cell r="B2179" t="str">
            <v>#Lv39_퀘스트용 5배</v>
          </cell>
        </row>
        <row r="2180">
          <cell r="A2180">
            <v>22910535</v>
          </cell>
          <cell r="B2180" t="str">
            <v>#Lv40_퀘스트용 5배</v>
          </cell>
        </row>
        <row r="2181">
          <cell r="A2181">
            <v>22910536</v>
          </cell>
          <cell r="B2181" t="str">
            <v>#Lv41_퀘스트용 5배</v>
          </cell>
        </row>
        <row r="2182">
          <cell r="A2182">
            <v>22910537</v>
          </cell>
          <cell r="B2182" t="str">
            <v>#Lv42_퀘스트용 5배</v>
          </cell>
        </row>
        <row r="2183">
          <cell r="A2183">
            <v>22910538</v>
          </cell>
          <cell r="B2183" t="str">
            <v>#Lv43_퀘스트용 5배</v>
          </cell>
        </row>
        <row r="2184">
          <cell r="A2184">
            <v>22910539</v>
          </cell>
          <cell r="B2184" t="str">
            <v>#Lv44_퀘스트용 5배</v>
          </cell>
        </row>
        <row r="2185">
          <cell r="A2185">
            <v>22910540</v>
          </cell>
          <cell r="B2185" t="str">
            <v>#Lv45_퀘스트용 5배</v>
          </cell>
        </row>
        <row r="2186">
          <cell r="A2186">
            <v>22910541</v>
          </cell>
          <cell r="B2186" t="str">
            <v>#Lv46_퀘스트용 5배</v>
          </cell>
        </row>
        <row r="2187">
          <cell r="A2187">
            <v>22910542</v>
          </cell>
          <cell r="B2187" t="str">
            <v>#Lv47_퀘스트용 5배</v>
          </cell>
        </row>
        <row r="2188">
          <cell r="A2188">
            <v>22910543</v>
          </cell>
          <cell r="B2188" t="str">
            <v>#Lv48_퀘스트용 5배</v>
          </cell>
        </row>
        <row r="2189">
          <cell r="A2189">
            <v>22910544</v>
          </cell>
          <cell r="B2189" t="str">
            <v>#Lv49_퀘스트용 5배</v>
          </cell>
        </row>
        <row r="2190">
          <cell r="A2190">
            <v>22910545</v>
          </cell>
          <cell r="B2190" t="str">
            <v>#Lv50_퀘스트용 5배</v>
          </cell>
        </row>
        <row r="2191">
          <cell r="A2191">
            <v>22910546</v>
          </cell>
          <cell r="B2191" t="str">
            <v>#Lv51_퀘스트용 5배</v>
          </cell>
        </row>
        <row r="2192">
          <cell r="A2192">
            <v>22910547</v>
          </cell>
          <cell r="B2192" t="str">
            <v>#Lv52_퀘스트용 5배</v>
          </cell>
        </row>
        <row r="2193">
          <cell r="A2193">
            <v>22910548</v>
          </cell>
          <cell r="B2193" t="str">
            <v>#Lv53_퀘스트용 5배</v>
          </cell>
        </row>
        <row r="2194">
          <cell r="A2194">
            <v>22910549</v>
          </cell>
          <cell r="B2194" t="str">
            <v>#Lv54_퀘스트용 5배</v>
          </cell>
        </row>
        <row r="2195">
          <cell r="A2195">
            <v>22910550</v>
          </cell>
          <cell r="B2195" t="str">
            <v>#Lv55_퀘스트용 5배</v>
          </cell>
        </row>
        <row r="2196">
          <cell r="A2196">
            <v>22910551</v>
          </cell>
          <cell r="B2196" t="str">
            <v>#Lv56_퀘스트용 5배</v>
          </cell>
        </row>
        <row r="2197">
          <cell r="A2197">
            <v>22910552</v>
          </cell>
          <cell r="B2197" t="str">
            <v>#Lv57_퀘스트용 5배</v>
          </cell>
        </row>
        <row r="2198">
          <cell r="A2198">
            <v>22910553</v>
          </cell>
          <cell r="B2198" t="str">
            <v>#Lv58_퀘스트용 5배</v>
          </cell>
        </row>
        <row r="2199">
          <cell r="A2199">
            <v>22910554</v>
          </cell>
          <cell r="B2199" t="str">
            <v>#Lv59_퀘스트용 5배</v>
          </cell>
        </row>
        <row r="2200">
          <cell r="A2200">
            <v>22910555</v>
          </cell>
          <cell r="B2200" t="str">
            <v>#Lv60_퀘스트용 5배</v>
          </cell>
        </row>
        <row r="2201">
          <cell r="A2201">
            <v>22910556</v>
          </cell>
          <cell r="B2201" t="str">
            <v>#Lv61_퀘스트용 5배</v>
          </cell>
        </row>
        <row r="2202">
          <cell r="A2202">
            <v>22910557</v>
          </cell>
          <cell r="B2202" t="str">
            <v>#Lv62_퀘스트용 5배</v>
          </cell>
        </row>
        <row r="2203">
          <cell r="A2203">
            <v>22910558</v>
          </cell>
          <cell r="B2203" t="str">
            <v>#Lv63_퀘스트용 5배</v>
          </cell>
        </row>
        <row r="2204">
          <cell r="A2204">
            <v>22910559</v>
          </cell>
          <cell r="B2204" t="str">
            <v>#Lv64_퀘스트용 5배</v>
          </cell>
        </row>
        <row r="2205">
          <cell r="A2205">
            <v>22910560</v>
          </cell>
          <cell r="B2205" t="str">
            <v>#Lv65_퀘스트용 5배</v>
          </cell>
        </row>
        <row r="2206">
          <cell r="A2206">
            <v>22910561</v>
          </cell>
          <cell r="B2206" t="str">
            <v>#Lv66_퀘스트용 5배</v>
          </cell>
        </row>
        <row r="2207">
          <cell r="A2207">
            <v>22910562</v>
          </cell>
          <cell r="B2207" t="str">
            <v>#Lv67_퀘스트용 5배</v>
          </cell>
        </row>
        <row r="2208">
          <cell r="A2208">
            <v>22910563</v>
          </cell>
          <cell r="B2208" t="str">
            <v>#Lv68_퀘스트용 5배</v>
          </cell>
        </row>
        <row r="2209">
          <cell r="A2209">
            <v>22910564</v>
          </cell>
          <cell r="B2209" t="str">
            <v>#Lv69_퀘스트용 5배</v>
          </cell>
        </row>
        <row r="2210">
          <cell r="A2210">
            <v>22910565</v>
          </cell>
          <cell r="B2210" t="str">
            <v>#Lv70_퀘스트용 5배</v>
          </cell>
        </row>
        <row r="2211">
          <cell r="A2211">
            <v>22910566</v>
          </cell>
          <cell r="B2211" t="str">
            <v>#Lv71_퀘스트용 5배</v>
          </cell>
        </row>
        <row r="2212">
          <cell r="A2212">
            <v>22910567</v>
          </cell>
          <cell r="B2212" t="str">
            <v>#Lv72_퀘스트용 5배</v>
          </cell>
        </row>
        <row r="2213">
          <cell r="A2213">
            <v>22910568</v>
          </cell>
          <cell r="B2213" t="str">
            <v>#Lv73_퀘스트용 5배</v>
          </cell>
        </row>
        <row r="2214">
          <cell r="A2214">
            <v>22910569</v>
          </cell>
          <cell r="B2214" t="str">
            <v>#Lv74_퀘스트용 5배</v>
          </cell>
        </row>
        <row r="2215">
          <cell r="A2215">
            <v>22910570</v>
          </cell>
          <cell r="B2215" t="str">
            <v>#Lv75_퀘스트용 5배</v>
          </cell>
        </row>
        <row r="2216">
          <cell r="A2216">
            <v>22910571</v>
          </cell>
          <cell r="B2216" t="str">
            <v>#Lv76_퀘스트용 5배</v>
          </cell>
        </row>
        <row r="2217">
          <cell r="A2217">
            <v>22910572</v>
          </cell>
          <cell r="B2217" t="str">
            <v>#Lv77_퀘스트용 5배</v>
          </cell>
        </row>
        <row r="2218">
          <cell r="A2218">
            <v>22910573</v>
          </cell>
          <cell r="B2218" t="str">
            <v>#Lv78_퀘스트용 5배</v>
          </cell>
        </row>
        <row r="2219">
          <cell r="A2219">
            <v>22910574</v>
          </cell>
          <cell r="B2219" t="str">
            <v>#Lv79_퀘스트용 5배</v>
          </cell>
        </row>
        <row r="2220">
          <cell r="A2220">
            <v>22910575</v>
          </cell>
          <cell r="B2220" t="str">
            <v>#Lv80_퀘스트용 5배</v>
          </cell>
        </row>
        <row r="2221">
          <cell r="A2221">
            <v>22910576</v>
          </cell>
          <cell r="B2221" t="str">
            <v>#Lv81_퀘스트용 5배</v>
          </cell>
        </row>
        <row r="2222">
          <cell r="A2222">
            <v>22910577</v>
          </cell>
          <cell r="B2222" t="str">
            <v>#Lv82_퀘스트용 5배</v>
          </cell>
        </row>
        <row r="2223">
          <cell r="A2223">
            <v>22910578</v>
          </cell>
          <cell r="B2223" t="str">
            <v>#Lv83_퀘스트용 5배</v>
          </cell>
        </row>
        <row r="2224">
          <cell r="A2224">
            <v>22910579</v>
          </cell>
          <cell r="B2224" t="str">
            <v>#Lv84_퀘스트용 5배</v>
          </cell>
        </row>
        <row r="2225">
          <cell r="A2225">
            <v>22910580</v>
          </cell>
          <cell r="B2225" t="str">
            <v>#Lv85_퀘스트용 5배</v>
          </cell>
        </row>
        <row r="2226">
          <cell r="A2226">
            <v>22910581</v>
          </cell>
          <cell r="B2226" t="str">
            <v>#Lv86_퀘스트용 5배</v>
          </cell>
        </row>
        <row r="2227">
          <cell r="A2227">
            <v>22910582</v>
          </cell>
          <cell r="B2227" t="str">
            <v>#Lv87_퀘스트용 5배</v>
          </cell>
        </row>
        <row r="2228">
          <cell r="A2228">
            <v>22910583</v>
          </cell>
          <cell r="B2228" t="str">
            <v>#Lv88_퀘스트용 5배</v>
          </cell>
        </row>
        <row r="2229">
          <cell r="A2229">
            <v>22910584</v>
          </cell>
          <cell r="B2229" t="str">
            <v>#Lv89_퀘스트용 5배</v>
          </cell>
        </row>
        <row r="2230">
          <cell r="A2230">
            <v>22910585</v>
          </cell>
          <cell r="B2230" t="str">
            <v>#Lv90_퀘스트용 5배</v>
          </cell>
        </row>
        <row r="2231">
          <cell r="A2231">
            <v>22910586</v>
          </cell>
          <cell r="B2231" t="str">
            <v>#Lv91_퀘스트용 5배</v>
          </cell>
        </row>
        <row r="2232">
          <cell r="A2232">
            <v>22910587</v>
          </cell>
          <cell r="B2232" t="str">
            <v>#Lv92_퀘스트용 5배</v>
          </cell>
        </row>
        <row r="2233">
          <cell r="A2233">
            <v>22910588</v>
          </cell>
          <cell r="B2233" t="str">
            <v>#Lv93_퀘스트용 5배</v>
          </cell>
        </row>
        <row r="2234">
          <cell r="A2234">
            <v>22910589</v>
          </cell>
          <cell r="B2234" t="str">
            <v>#Lv94_퀘스트용 5배</v>
          </cell>
        </row>
        <row r="2235">
          <cell r="A2235">
            <v>22910590</v>
          </cell>
          <cell r="B2235" t="str">
            <v>#Lv95_퀘스트용 5배</v>
          </cell>
        </row>
        <row r="2236">
          <cell r="A2236">
            <v>22910591</v>
          </cell>
          <cell r="B2236" t="str">
            <v>#Lv96_퀘스트용 5배</v>
          </cell>
        </row>
        <row r="2237">
          <cell r="A2237">
            <v>22910592</v>
          </cell>
          <cell r="B2237" t="str">
            <v>#Lv97_퀘스트용 5배</v>
          </cell>
        </row>
        <row r="2238">
          <cell r="A2238">
            <v>22910593</v>
          </cell>
          <cell r="B2238" t="str">
            <v>#Lv98_퀘스트용 5배</v>
          </cell>
        </row>
        <row r="2239">
          <cell r="A2239">
            <v>22910594</v>
          </cell>
          <cell r="B2239" t="str">
            <v>#Lv99_퀘스트용 5배</v>
          </cell>
        </row>
        <row r="2240">
          <cell r="A2240">
            <v>22910595</v>
          </cell>
          <cell r="B2240" t="str">
            <v>#Lv1_퀘스트용 6배</v>
          </cell>
        </row>
        <row r="2241">
          <cell r="A2241">
            <v>22910596</v>
          </cell>
          <cell r="B2241" t="str">
            <v>#Lv2_퀘스트용 6배</v>
          </cell>
        </row>
        <row r="2242">
          <cell r="A2242">
            <v>22910597</v>
          </cell>
          <cell r="B2242" t="str">
            <v>#Lv3_퀘스트용 6배</v>
          </cell>
        </row>
        <row r="2243">
          <cell r="A2243">
            <v>22910598</v>
          </cell>
          <cell r="B2243" t="str">
            <v>#Lv4_퀘스트용 6배</v>
          </cell>
        </row>
        <row r="2244">
          <cell r="A2244">
            <v>22910599</v>
          </cell>
          <cell r="B2244" t="str">
            <v>#Lv5_퀘스트용 6배</v>
          </cell>
        </row>
        <row r="2245">
          <cell r="A2245">
            <v>22910600</v>
          </cell>
          <cell r="B2245" t="str">
            <v>#Lv6_퀘스트용 6배</v>
          </cell>
        </row>
        <row r="2246">
          <cell r="A2246">
            <v>22910601</v>
          </cell>
          <cell r="B2246" t="str">
            <v>#Lv7_퀘스트용 6배</v>
          </cell>
        </row>
        <row r="2247">
          <cell r="A2247">
            <v>22910602</v>
          </cell>
          <cell r="B2247" t="str">
            <v>#Lv8_퀘스트용 6배</v>
          </cell>
        </row>
        <row r="2248">
          <cell r="A2248">
            <v>22910603</v>
          </cell>
          <cell r="B2248" t="str">
            <v>#Lv9_퀘스트용 6배</v>
          </cell>
        </row>
        <row r="2249">
          <cell r="A2249">
            <v>22910604</v>
          </cell>
          <cell r="B2249" t="str">
            <v>#Lv10_퀘스트용 6배</v>
          </cell>
        </row>
        <row r="2250">
          <cell r="A2250">
            <v>22910605</v>
          </cell>
          <cell r="B2250" t="str">
            <v>#Lv11_퀘스트용 6배</v>
          </cell>
        </row>
        <row r="2251">
          <cell r="A2251">
            <v>22910606</v>
          </cell>
          <cell r="B2251" t="str">
            <v>#Lv12_퀘스트용 6배</v>
          </cell>
        </row>
        <row r="2252">
          <cell r="A2252">
            <v>22910607</v>
          </cell>
          <cell r="B2252" t="str">
            <v>#Lv13_퀘스트용 6배</v>
          </cell>
        </row>
        <row r="2253">
          <cell r="A2253">
            <v>22910608</v>
          </cell>
          <cell r="B2253" t="str">
            <v>#Lv14_퀘스트용 6배</v>
          </cell>
        </row>
        <row r="2254">
          <cell r="A2254">
            <v>22910609</v>
          </cell>
          <cell r="B2254" t="str">
            <v>#Lv15_퀘스트용 6배</v>
          </cell>
        </row>
        <row r="2255">
          <cell r="A2255">
            <v>22910610</v>
          </cell>
          <cell r="B2255" t="str">
            <v>#Lv16_퀘스트용 6배</v>
          </cell>
        </row>
        <row r="2256">
          <cell r="A2256">
            <v>22910611</v>
          </cell>
          <cell r="B2256" t="str">
            <v>#Lv17_퀘스트용 6배</v>
          </cell>
        </row>
        <row r="2257">
          <cell r="A2257">
            <v>22910612</v>
          </cell>
          <cell r="B2257" t="str">
            <v>#Lv18_퀘스트용 6배</v>
          </cell>
        </row>
        <row r="2258">
          <cell r="A2258">
            <v>22910613</v>
          </cell>
          <cell r="B2258" t="str">
            <v>#Lv19_퀘스트용 6배</v>
          </cell>
        </row>
        <row r="2259">
          <cell r="A2259">
            <v>22910614</v>
          </cell>
          <cell r="B2259" t="str">
            <v>#Lv20_퀘스트용 6배</v>
          </cell>
        </row>
        <row r="2260">
          <cell r="A2260">
            <v>22910615</v>
          </cell>
          <cell r="B2260" t="str">
            <v>#Lv21_퀘스트용 6배</v>
          </cell>
        </row>
        <row r="2261">
          <cell r="A2261">
            <v>22910616</v>
          </cell>
          <cell r="B2261" t="str">
            <v>#Lv22_퀘스트용 6배</v>
          </cell>
        </row>
        <row r="2262">
          <cell r="A2262">
            <v>22910617</v>
          </cell>
          <cell r="B2262" t="str">
            <v>#Lv23_퀘스트용 6배</v>
          </cell>
        </row>
        <row r="2263">
          <cell r="A2263">
            <v>22910618</v>
          </cell>
          <cell r="B2263" t="str">
            <v>#Lv24_퀘스트용 6배</v>
          </cell>
        </row>
        <row r="2264">
          <cell r="A2264">
            <v>22910619</v>
          </cell>
          <cell r="B2264" t="str">
            <v>#Lv25_퀘스트용 6배</v>
          </cell>
        </row>
        <row r="2265">
          <cell r="A2265">
            <v>22910620</v>
          </cell>
          <cell r="B2265" t="str">
            <v>#Lv26_퀘스트용 6배</v>
          </cell>
        </row>
        <row r="2266">
          <cell r="A2266">
            <v>22910621</v>
          </cell>
          <cell r="B2266" t="str">
            <v>#Lv27_퀘스트용 6배</v>
          </cell>
        </row>
        <row r="2267">
          <cell r="A2267">
            <v>22910622</v>
          </cell>
          <cell r="B2267" t="str">
            <v>#Lv28_퀘스트용 6배</v>
          </cell>
        </row>
        <row r="2268">
          <cell r="A2268">
            <v>22910623</v>
          </cell>
          <cell r="B2268" t="str">
            <v>#Lv29_퀘스트용 6배</v>
          </cell>
        </row>
        <row r="2269">
          <cell r="A2269">
            <v>22910624</v>
          </cell>
          <cell r="B2269" t="str">
            <v>#Lv30_퀘스트용 6배</v>
          </cell>
        </row>
        <row r="2270">
          <cell r="A2270">
            <v>22910625</v>
          </cell>
          <cell r="B2270" t="str">
            <v>#Lv31_퀘스트용 6배</v>
          </cell>
        </row>
        <row r="2271">
          <cell r="A2271">
            <v>22910626</v>
          </cell>
          <cell r="B2271" t="str">
            <v>#Lv32_퀘스트용 6배</v>
          </cell>
        </row>
        <row r="2272">
          <cell r="A2272">
            <v>22910627</v>
          </cell>
          <cell r="B2272" t="str">
            <v>#Lv33_퀘스트용 6배</v>
          </cell>
        </row>
        <row r="2273">
          <cell r="A2273">
            <v>22910628</v>
          </cell>
          <cell r="B2273" t="str">
            <v>#Lv34_퀘스트용 6배</v>
          </cell>
        </row>
        <row r="2274">
          <cell r="A2274">
            <v>22910629</v>
          </cell>
          <cell r="B2274" t="str">
            <v>#Lv35_퀘스트용 6배</v>
          </cell>
        </row>
        <row r="2275">
          <cell r="A2275">
            <v>22910630</v>
          </cell>
          <cell r="B2275" t="str">
            <v>#Lv36_퀘스트용 6배</v>
          </cell>
        </row>
        <row r="2276">
          <cell r="A2276">
            <v>22910631</v>
          </cell>
          <cell r="B2276" t="str">
            <v>#Lv37_퀘스트용 6배</v>
          </cell>
        </row>
        <row r="2277">
          <cell r="A2277">
            <v>22910632</v>
          </cell>
          <cell r="B2277" t="str">
            <v>#Lv38_퀘스트용 6배</v>
          </cell>
        </row>
        <row r="2278">
          <cell r="A2278">
            <v>22910633</v>
          </cell>
          <cell r="B2278" t="str">
            <v>#Lv39_퀘스트용 6배</v>
          </cell>
        </row>
        <row r="2279">
          <cell r="A2279">
            <v>22910634</v>
          </cell>
          <cell r="B2279" t="str">
            <v>#Lv40_퀘스트용 6배</v>
          </cell>
        </row>
        <row r="2280">
          <cell r="A2280">
            <v>22910635</v>
          </cell>
          <cell r="B2280" t="str">
            <v>#Lv41_퀘스트용 6배</v>
          </cell>
        </row>
        <row r="2281">
          <cell r="A2281">
            <v>22910636</v>
          </cell>
          <cell r="B2281" t="str">
            <v>#Lv42_퀘스트용 6배</v>
          </cell>
        </row>
        <row r="2282">
          <cell r="A2282">
            <v>22910637</v>
          </cell>
          <cell r="B2282" t="str">
            <v>#Lv43_퀘스트용 6배</v>
          </cell>
        </row>
        <row r="2283">
          <cell r="A2283">
            <v>22910638</v>
          </cell>
          <cell r="B2283" t="str">
            <v>#Lv44_퀘스트용 6배</v>
          </cell>
        </row>
        <row r="2284">
          <cell r="A2284">
            <v>22910639</v>
          </cell>
          <cell r="B2284" t="str">
            <v>#Lv45_퀘스트용 6배</v>
          </cell>
        </row>
        <row r="2285">
          <cell r="A2285">
            <v>22910640</v>
          </cell>
          <cell r="B2285" t="str">
            <v>#Lv46_퀘스트용 6배</v>
          </cell>
        </row>
        <row r="2286">
          <cell r="A2286">
            <v>22910641</v>
          </cell>
          <cell r="B2286" t="str">
            <v>#Lv47_퀘스트용 6배</v>
          </cell>
        </row>
        <row r="2287">
          <cell r="A2287">
            <v>22910642</v>
          </cell>
          <cell r="B2287" t="str">
            <v>#Lv48_퀘스트용 6배</v>
          </cell>
        </row>
        <row r="2288">
          <cell r="A2288">
            <v>22910643</v>
          </cell>
          <cell r="B2288" t="str">
            <v>#Lv49_퀘스트용 6배</v>
          </cell>
        </row>
        <row r="2289">
          <cell r="A2289">
            <v>22910644</v>
          </cell>
          <cell r="B2289" t="str">
            <v>#Lv50_퀘스트용 6배</v>
          </cell>
        </row>
        <row r="2290">
          <cell r="A2290">
            <v>22910645</v>
          </cell>
          <cell r="B2290" t="str">
            <v>#Lv51_퀘스트용 6배</v>
          </cell>
        </row>
        <row r="2291">
          <cell r="A2291">
            <v>22910646</v>
          </cell>
          <cell r="B2291" t="str">
            <v>#Lv52_퀘스트용 6배</v>
          </cell>
        </row>
        <row r="2292">
          <cell r="A2292">
            <v>22910647</v>
          </cell>
          <cell r="B2292" t="str">
            <v>#Lv53_퀘스트용 6배</v>
          </cell>
        </row>
        <row r="2293">
          <cell r="A2293">
            <v>22910648</v>
          </cell>
          <cell r="B2293" t="str">
            <v>#Lv54_퀘스트용 6배</v>
          </cell>
        </row>
        <row r="2294">
          <cell r="A2294">
            <v>22910649</v>
          </cell>
          <cell r="B2294" t="str">
            <v>#Lv55_퀘스트용 6배</v>
          </cell>
        </row>
        <row r="2295">
          <cell r="A2295">
            <v>22910650</v>
          </cell>
          <cell r="B2295" t="str">
            <v>#Lv56_퀘스트용 6배</v>
          </cell>
        </row>
        <row r="2296">
          <cell r="A2296">
            <v>22910651</v>
          </cell>
          <cell r="B2296" t="str">
            <v>#Lv57_퀘스트용 6배</v>
          </cell>
        </row>
        <row r="2297">
          <cell r="A2297">
            <v>22910652</v>
          </cell>
          <cell r="B2297" t="str">
            <v>#Lv58_퀘스트용 6배</v>
          </cell>
        </row>
        <row r="2298">
          <cell r="A2298">
            <v>22910653</v>
          </cell>
          <cell r="B2298" t="str">
            <v>#Lv59_퀘스트용 6배</v>
          </cell>
        </row>
        <row r="2299">
          <cell r="A2299">
            <v>22910654</v>
          </cell>
          <cell r="B2299" t="str">
            <v>#Lv60_퀘스트용 6배</v>
          </cell>
        </row>
        <row r="2300">
          <cell r="A2300">
            <v>22910655</v>
          </cell>
          <cell r="B2300" t="str">
            <v>#Lv61_퀘스트용 6배</v>
          </cell>
        </row>
        <row r="2301">
          <cell r="A2301">
            <v>22910656</v>
          </cell>
          <cell r="B2301" t="str">
            <v>#Lv62_퀘스트용 6배</v>
          </cell>
        </row>
        <row r="2302">
          <cell r="A2302">
            <v>22910657</v>
          </cell>
          <cell r="B2302" t="str">
            <v>#Lv63_퀘스트용 6배</v>
          </cell>
        </row>
        <row r="2303">
          <cell r="A2303">
            <v>22910658</v>
          </cell>
          <cell r="B2303" t="str">
            <v>#Lv64_퀘스트용 6배</v>
          </cell>
        </row>
        <row r="2304">
          <cell r="A2304">
            <v>22910659</v>
          </cell>
          <cell r="B2304" t="str">
            <v>#Lv65_퀘스트용 6배</v>
          </cell>
        </row>
        <row r="2305">
          <cell r="A2305">
            <v>22910660</v>
          </cell>
          <cell r="B2305" t="str">
            <v>#Lv66_퀘스트용 6배</v>
          </cell>
        </row>
        <row r="2306">
          <cell r="A2306">
            <v>22910661</v>
          </cell>
          <cell r="B2306" t="str">
            <v>#Lv67_퀘스트용 6배</v>
          </cell>
        </row>
        <row r="2307">
          <cell r="A2307">
            <v>22910662</v>
          </cell>
          <cell r="B2307" t="str">
            <v>#Lv68_퀘스트용 6배</v>
          </cell>
        </row>
        <row r="2308">
          <cell r="A2308">
            <v>22910663</v>
          </cell>
          <cell r="B2308" t="str">
            <v>#Lv69_퀘스트용 6배</v>
          </cell>
        </row>
        <row r="2309">
          <cell r="A2309">
            <v>22910664</v>
          </cell>
          <cell r="B2309" t="str">
            <v>#Lv70_퀘스트용 6배</v>
          </cell>
        </row>
        <row r="2310">
          <cell r="A2310">
            <v>22910665</v>
          </cell>
          <cell r="B2310" t="str">
            <v>#Lv71_퀘스트용 6배</v>
          </cell>
        </row>
        <row r="2311">
          <cell r="A2311">
            <v>22910666</v>
          </cell>
          <cell r="B2311" t="str">
            <v>#Lv72_퀘스트용 6배</v>
          </cell>
        </row>
        <row r="2312">
          <cell r="A2312">
            <v>22910667</v>
          </cell>
          <cell r="B2312" t="str">
            <v>#Lv73_퀘스트용 6배</v>
          </cell>
        </row>
        <row r="2313">
          <cell r="A2313">
            <v>22910668</v>
          </cell>
          <cell r="B2313" t="str">
            <v>#Lv74_퀘스트용 6배</v>
          </cell>
        </row>
        <row r="2314">
          <cell r="A2314">
            <v>22910669</v>
          </cell>
          <cell r="B2314" t="str">
            <v>#Lv75_퀘스트용 6배</v>
          </cell>
        </row>
        <row r="2315">
          <cell r="A2315">
            <v>22910670</v>
          </cell>
          <cell r="B2315" t="str">
            <v>#Lv76_퀘스트용 6배</v>
          </cell>
        </row>
        <row r="2316">
          <cell r="A2316">
            <v>22910671</v>
          </cell>
          <cell r="B2316" t="str">
            <v>#Lv77_퀘스트용 6배</v>
          </cell>
        </row>
        <row r="2317">
          <cell r="A2317">
            <v>22910672</v>
          </cell>
          <cell r="B2317" t="str">
            <v>#Lv78_퀘스트용 6배</v>
          </cell>
        </row>
        <row r="2318">
          <cell r="A2318">
            <v>22910673</v>
          </cell>
          <cell r="B2318" t="str">
            <v>#Lv79_퀘스트용 6배</v>
          </cell>
        </row>
        <row r="2319">
          <cell r="A2319">
            <v>22910674</v>
          </cell>
          <cell r="B2319" t="str">
            <v>#Lv80_퀘스트용 6배</v>
          </cell>
        </row>
        <row r="2320">
          <cell r="A2320">
            <v>22910675</v>
          </cell>
          <cell r="B2320" t="str">
            <v>#Lv81_퀘스트용 6배</v>
          </cell>
        </row>
        <row r="2321">
          <cell r="A2321">
            <v>22910676</v>
          </cell>
          <cell r="B2321" t="str">
            <v>#Lv82_퀘스트용 6배</v>
          </cell>
        </row>
        <row r="2322">
          <cell r="A2322">
            <v>22910677</v>
          </cell>
          <cell r="B2322" t="str">
            <v>#Lv83_퀘스트용 6배</v>
          </cell>
        </row>
        <row r="2323">
          <cell r="A2323">
            <v>22910678</v>
          </cell>
          <cell r="B2323" t="str">
            <v>#Lv84_퀘스트용 6배</v>
          </cell>
        </row>
        <row r="2324">
          <cell r="A2324">
            <v>22910679</v>
          </cell>
          <cell r="B2324" t="str">
            <v>#Lv85_퀘스트용 6배</v>
          </cell>
        </row>
        <row r="2325">
          <cell r="A2325">
            <v>22910680</v>
          </cell>
          <cell r="B2325" t="str">
            <v>#Lv86_퀘스트용 6배</v>
          </cell>
        </row>
        <row r="2326">
          <cell r="A2326">
            <v>22910681</v>
          </cell>
          <cell r="B2326" t="str">
            <v>#Lv87_퀘스트용 6배</v>
          </cell>
        </row>
        <row r="2327">
          <cell r="A2327">
            <v>22910682</v>
          </cell>
          <cell r="B2327" t="str">
            <v>#Lv88_퀘스트용 6배</v>
          </cell>
        </row>
        <row r="2328">
          <cell r="A2328">
            <v>22910683</v>
          </cell>
          <cell r="B2328" t="str">
            <v>#Lv89_퀘스트용 6배</v>
          </cell>
        </row>
        <row r="2329">
          <cell r="A2329">
            <v>22910684</v>
          </cell>
          <cell r="B2329" t="str">
            <v>#Lv90_퀘스트용 6배</v>
          </cell>
        </row>
        <row r="2330">
          <cell r="A2330">
            <v>22910685</v>
          </cell>
          <cell r="B2330" t="str">
            <v>#Lv91_퀘스트용 6배</v>
          </cell>
        </row>
        <row r="2331">
          <cell r="A2331">
            <v>22910686</v>
          </cell>
          <cell r="B2331" t="str">
            <v>#Lv92_퀘스트용 6배</v>
          </cell>
        </row>
        <row r="2332">
          <cell r="A2332">
            <v>22910687</v>
          </cell>
          <cell r="B2332" t="str">
            <v>#Lv93_퀘스트용 6배</v>
          </cell>
        </row>
        <row r="2333">
          <cell r="A2333">
            <v>22910688</v>
          </cell>
          <cell r="B2333" t="str">
            <v>#Lv94_퀘스트용 6배</v>
          </cell>
        </row>
        <row r="2334">
          <cell r="A2334">
            <v>22910689</v>
          </cell>
          <cell r="B2334" t="str">
            <v>#Lv95_퀘스트용 6배</v>
          </cell>
        </row>
        <row r="2335">
          <cell r="A2335">
            <v>22910690</v>
          </cell>
          <cell r="B2335" t="str">
            <v>#Lv96_퀘스트용 6배</v>
          </cell>
        </row>
        <row r="2336">
          <cell r="A2336">
            <v>22910691</v>
          </cell>
          <cell r="B2336" t="str">
            <v>#Lv97_퀘스트용 6배</v>
          </cell>
        </row>
        <row r="2337">
          <cell r="A2337">
            <v>22910692</v>
          </cell>
          <cell r="B2337" t="str">
            <v>#Lv98_퀘스트용 6배</v>
          </cell>
        </row>
        <row r="2338">
          <cell r="A2338">
            <v>22910693</v>
          </cell>
          <cell r="B2338" t="str">
            <v>#Lv99_퀘스트용 6배</v>
          </cell>
        </row>
        <row r="2339">
          <cell r="A2339">
            <v>22910694</v>
          </cell>
          <cell r="B2339" t="str">
            <v>#Lv1_퀘스트용 7배</v>
          </cell>
        </row>
        <row r="2340">
          <cell r="A2340">
            <v>22910695</v>
          </cell>
          <cell r="B2340" t="str">
            <v>#Lv2_퀘스트용 7배</v>
          </cell>
        </row>
        <row r="2341">
          <cell r="A2341">
            <v>22910696</v>
          </cell>
          <cell r="B2341" t="str">
            <v>#Lv3_퀘스트용 7배</v>
          </cell>
        </row>
        <row r="2342">
          <cell r="A2342">
            <v>22910697</v>
          </cell>
          <cell r="B2342" t="str">
            <v>#Lv4_퀘스트용 7배</v>
          </cell>
        </row>
        <row r="2343">
          <cell r="A2343">
            <v>22910698</v>
          </cell>
          <cell r="B2343" t="str">
            <v>#Lv5_퀘스트용 7배</v>
          </cell>
        </row>
        <row r="2344">
          <cell r="A2344">
            <v>22910699</v>
          </cell>
          <cell r="B2344" t="str">
            <v>#Lv6_퀘스트용 7배</v>
          </cell>
        </row>
        <row r="2345">
          <cell r="A2345">
            <v>22910700</v>
          </cell>
          <cell r="B2345" t="str">
            <v>#Lv7_퀘스트용 7배</v>
          </cell>
        </row>
        <row r="2346">
          <cell r="A2346">
            <v>22910701</v>
          </cell>
          <cell r="B2346" t="str">
            <v>#Lv8_퀘스트용 7배</v>
          </cell>
        </row>
        <row r="2347">
          <cell r="A2347">
            <v>22910702</v>
          </cell>
          <cell r="B2347" t="str">
            <v>#Lv9_퀘스트용 7배</v>
          </cell>
        </row>
        <row r="2348">
          <cell r="A2348">
            <v>22910703</v>
          </cell>
          <cell r="B2348" t="str">
            <v>#Lv10_퀘스트용 7배</v>
          </cell>
        </row>
        <row r="2349">
          <cell r="A2349">
            <v>22910704</v>
          </cell>
          <cell r="B2349" t="str">
            <v>#Lv11_퀘스트용 7배</v>
          </cell>
        </row>
        <row r="2350">
          <cell r="A2350">
            <v>22910705</v>
          </cell>
          <cell r="B2350" t="str">
            <v>#Lv12_퀘스트용 7배</v>
          </cell>
        </row>
        <row r="2351">
          <cell r="A2351">
            <v>22910706</v>
          </cell>
          <cell r="B2351" t="str">
            <v>#Lv13_퀘스트용 7배</v>
          </cell>
        </row>
        <row r="2352">
          <cell r="A2352">
            <v>22910707</v>
          </cell>
          <cell r="B2352" t="str">
            <v>#Lv14_퀘스트용 7배</v>
          </cell>
        </row>
        <row r="2353">
          <cell r="A2353">
            <v>22910708</v>
          </cell>
          <cell r="B2353" t="str">
            <v>#Lv15_퀘스트용 7배</v>
          </cell>
        </row>
        <row r="2354">
          <cell r="A2354">
            <v>22910709</v>
          </cell>
          <cell r="B2354" t="str">
            <v>#Lv16_퀘스트용 7배</v>
          </cell>
        </row>
        <row r="2355">
          <cell r="A2355">
            <v>22910710</v>
          </cell>
          <cell r="B2355" t="str">
            <v>#Lv17_퀘스트용 7배</v>
          </cell>
        </row>
        <row r="2356">
          <cell r="A2356">
            <v>22910711</v>
          </cell>
          <cell r="B2356" t="str">
            <v>#Lv18_퀘스트용 7배</v>
          </cell>
        </row>
        <row r="2357">
          <cell r="A2357">
            <v>22910712</v>
          </cell>
          <cell r="B2357" t="str">
            <v>#Lv19_퀘스트용 7배</v>
          </cell>
        </row>
        <row r="2358">
          <cell r="A2358">
            <v>22910713</v>
          </cell>
          <cell r="B2358" t="str">
            <v>#Lv20_퀘스트용 7배</v>
          </cell>
        </row>
        <row r="2359">
          <cell r="A2359">
            <v>22910714</v>
          </cell>
          <cell r="B2359" t="str">
            <v>#Lv21_퀘스트용 7배</v>
          </cell>
        </row>
        <row r="2360">
          <cell r="A2360">
            <v>22910715</v>
          </cell>
          <cell r="B2360" t="str">
            <v>#Lv22_퀘스트용 7배</v>
          </cell>
        </row>
        <row r="2361">
          <cell r="A2361">
            <v>22910716</v>
          </cell>
          <cell r="B2361" t="str">
            <v>#Lv23_퀘스트용 7배</v>
          </cell>
        </row>
        <row r="2362">
          <cell r="A2362">
            <v>22910717</v>
          </cell>
          <cell r="B2362" t="str">
            <v>#Lv24_퀘스트용 7배</v>
          </cell>
        </row>
        <row r="2363">
          <cell r="A2363">
            <v>22910718</v>
          </cell>
          <cell r="B2363" t="str">
            <v>#Lv25_퀘스트용 7배</v>
          </cell>
        </row>
        <row r="2364">
          <cell r="A2364">
            <v>22910719</v>
          </cell>
          <cell r="B2364" t="str">
            <v>#Lv26_퀘스트용 7배</v>
          </cell>
        </row>
        <row r="2365">
          <cell r="A2365">
            <v>22910720</v>
          </cell>
          <cell r="B2365" t="str">
            <v>#Lv27_퀘스트용 7배</v>
          </cell>
        </row>
        <row r="2366">
          <cell r="A2366">
            <v>22910721</v>
          </cell>
          <cell r="B2366" t="str">
            <v>#Lv28_퀘스트용 7배</v>
          </cell>
        </row>
        <row r="2367">
          <cell r="A2367">
            <v>22910722</v>
          </cell>
          <cell r="B2367" t="str">
            <v>#Lv29_퀘스트용 7배</v>
          </cell>
        </row>
        <row r="2368">
          <cell r="A2368">
            <v>22910723</v>
          </cell>
          <cell r="B2368" t="str">
            <v>#Lv30_퀘스트용 7배</v>
          </cell>
        </row>
        <row r="2369">
          <cell r="A2369">
            <v>22910724</v>
          </cell>
          <cell r="B2369" t="str">
            <v>#Lv31_퀘스트용 7배</v>
          </cell>
        </row>
        <row r="2370">
          <cell r="A2370">
            <v>22910725</v>
          </cell>
          <cell r="B2370" t="str">
            <v>#Lv32_퀘스트용 7배</v>
          </cell>
        </row>
        <row r="2371">
          <cell r="A2371">
            <v>22910726</v>
          </cell>
          <cell r="B2371" t="str">
            <v>#Lv33_퀘스트용 7배</v>
          </cell>
        </row>
        <row r="2372">
          <cell r="A2372">
            <v>22910727</v>
          </cell>
          <cell r="B2372" t="str">
            <v>#Lv34_퀘스트용 7배</v>
          </cell>
        </row>
        <row r="2373">
          <cell r="A2373">
            <v>22910728</v>
          </cell>
          <cell r="B2373" t="str">
            <v>#Lv35_퀘스트용 7배</v>
          </cell>
        </row>
        <row r="2374">
          <cell r="A2374">
            <v>22910729</v>
          </cell>
          <cell r="B2374" t="str">
            <v>#Lv36_퀘스트용 7배</v>
          </cell>
        </row>
        <row r="2375">
          <cell r="A2375">
            <v>22910730</v>
          </cell>
          <cell r="B2375" t="str">
            <v>#Lv37_퀘스트용 7배</v>
          </cell>
        </row>
        <row r="2376">
          <cell r="A2376">
            <v>22910731</v>
          </cell>
          <cell r="B2376" t="str">
            <v>#Lv38_퀘스트용 7배</v>
          </cell>
        </row>
        <row r="2377">
          <cell r="A2377">
            <v>22910732</v>
          </cell>
          <cell r="B2377" t="str">
            <v>#Lv39_퀘스트용 7배</v>
          </cell>
        </row>
        <row r="2378">
          <cell r="A2378">
            <v>22910733</v>
          </cell>
          <cell r="B2378" t="str">
            <v>#Lv40_퀘스트용 7배</v>
          </cell>
        </row>
        <row r="2379">
          <cell r="A2379">
            <v>22910734</v>
          </cell>
          <cell r="B2379" t="str">
            <v>#Lv41_퀘스트용 7배</v>
          </cell>
        </row>
        <row r="2380">
          <cell r="A2380">
            <v>22910735</v>
          </cell>
          <cell r="B2380" t="str">
            <v>#Lv42_퀘스트용 7배</v>
          </cell>
        </row>
        <row r="2381">
          <cell r="A2381">
            <v>22910736</v>
          </cell>
          <cell r="B2381" t="str">
            <v>#Lv43_퀘스트용 7배</v>
          </cell>
        </row>
        <row r="2382">
          <cell r="A2382">
            <v>22910737</v>
          </cell>
          <cell r="B2382" t="str">
            <v>#Lv44_퀘스트용 7배</v>
          </cell>
        </row>
        <row r="2383">
          <cell r="A2383">
            <v>22910738</v>
          </cell>
          <cell r="B2383" t="str">
            <v>#Lv45_퀘스트용 7배</v>
          </cell>
        </row>
        <row r="2384">
          <cell r="A2384">
            <v>22910739</v>
          </cell>
          <cell r="B2384" t="str">
            <v>#Lv46_퀘스트용 7배</v>
          </cell>
        </row>
        <row r="2385">
          <cell r="A2385">
            <v>22910740</v>
          </cell>
          <cell r="B2385" t="str">
            <v>#Lv47_퀘스트용 7배</v>
          </cell>
        </row>
        <row r="2386">
          <cell r="A2386">
            <v>22910741</v>
          </cell>
          <cell r="B2386" t="str">
            <v>#Lv48_퀘스트용 7배</v>
          </cell>
        </row>
        <row r="2387">
          <cell r="A2387">
            <v>22910742</v>
          </cell>
          <cell r="B2387" t="str">
            <v>#Lv49_퀘스트용 7배</v>
          </cell>
        </row>
        <row r="2388">
          <cell r="A2388">
            <v>22910743</v>
          </cell>
          <cell r="B2388" t="str">
            <v>#Lv50_퀘스트용 7배</v>
          </cell>
        </row>
        <row r="2389">
          <cell r="A2389">
            <v>22910744</v>
          </cell>
          <cell r="B2389" t="str">
            <v>#Lv51_퀘스트용 7배</v>
          </cell>
        </row>
        <row r="2390">
          <cell r="A2390">
            <v>22910745</v>
          </cell>
          <cell r="B2390" t="str">
            <v>#Lv52_퀘스트용 7배</v>
          </cell>
        </row>
        <row r="2391">
          <cell r="A2391">
            <v>22910746</v>
          </cell>
          <cell r="B2391" t="str">
            <v>#Lv53_퀘스트용 7배</v>
          </cell>
        </row>
        <row r="2392">
          <cell r="A2392">
            <v>22910747</v>
          </cell>
          <cell r="B2392" t="str">
            <v>#Lv54_퀘스트용 7배</v>
          </cell>
        </row>
        <row r="2393">
          <cell r="A2393">
            <v>22910748</v>
          </cell>
          <cell r="B2393" t="str">
            <v>#Lv55_퀘스트용 7배</v>
          </cell>
        </row>
        <row r="2394">
          <cell r="A2394">
            <v>22910749</v>
          </cell>
          <cell r="B2394" t="str">
            <v>#Lv56_퀘스트용 7배</v>
          </cell>
        </row>
        <row r="2395">
          <cell r="A2395">
            <v>22910750</v>
          </cell>
          <cell r="B2395" t="str">
            <v>#Lv57_퀘스트용 7배</v>
          </cell>
        </row>
        <row r="2396">
          <cell r="A2396">
            <v>22910751</v>
          </cell>
          <cell r="B2396" t="str">
            <v>#Lv58_퀘스트용 7배</v>
          </cell>
        </row>
        <row r="2397">
          <cell r="A2397">
            <v>22910752</v>
          </cell>
          <cell r="B2397" t="str">
            <v>#Lv59_퀘스트용 7배</v>
          </cell>
        </row>
        <row r="2398">
          <cell r="A2398">
            <v>22910753</v>
          </cell>
          <cell r="B2398" t="str">
            <v>#Lv60_퀘스트용 7배</v>
          </cell>
        </row>
        <row r="2399">
          <cell r="A2399">
            <v>22910754</v>
          </cell>
          <cell r="B2399" t="str">
            <v>#Lv61_퀘스트용 7배</v>
          </cell>
        </row>
        <row r="2400">
          <cell r="A2400">
            <v>22910755</v>
          </cell>
          <cell r="B2400" t="str">
            <v>#Lv62_퀘스트용 7배</v>
          </cell>
        </row>
        <row r="2401">
          <cell r="A2401">
            <v>22910756</v>
          </cell>
          <cell r="B2401" t="str">
            <v>#Lv63_퀘스트용 7배</v>
          </cell>
        </row>
        <row r="2402">
          <cell r="A2402">
            <v>22910757</v>
          </cell>
          <cell r="B2402" t="str">
            <v>#Lv64_퀘스트용 7배</v>
          </cell>
        </row>
        <row r="2403">
          <cell r="A2403">
            <v>22910758</v>
          </cell>
          <cell r="B2403" t="str">
            <v>#Lv65_퀘스트용 7배</v>
          </cell>
        </row>
        <row r="2404">
          <cell r="A2404">
            <v>22910759</v>
          </cell>
          <cell r="B2404" t="str">
            <v>#Lv66_퀘스트용 7배</v>
          </cell>
        </row>
        <row r="2405">
          <cell r="A2405">
            <v>22910760</v>
          </cell>
          <cell r="B2405" t="str">
            <v>#Lv67_퀘스트용 7배</v>
          </cell>
        </row>
        <row r="2406">
          <cell r="A2406">
            <v>22910761</v>
          </cell>
          <cell r="B2406" t="str">
            <v>#Lv68_퀘스트용 7배</v>
          </cell>
        </row>
        <row r="2407">
          <cell r="A2407">
            <v>22910762</v>
          </cell>
          <cell r="B2407" t="str">
            <v>#Lv69_퀘스트용 7배</v>
          </cell>
        </row>
        <row r="2408">
          <cell r="A2408">
            <v>22910763</v>
          </cell>
          <cell r="B2408" t="str">
            <v>#Lv70_퀘스트용 7배</v>
          </cell>
        </row>
        <row r="2409">
          <cell r="A2409">
            <v>22910764</v>
          </cell>
          <cell r="B2409" t="str">
            <v>#Lv71_퀘스트용 7배</v>
          </cell>
        </row>
        <row r="2410">
          <cell r="A2410">
            <v>22910765</v>
          </cell>
          <cell r="B2410" t="str">
            <v>#Lv72_퀘스트용 7배</v>
          </cell>
        </row>
        <row r="2411">
          <cell r="A2411">
            <v>22910766</v>
          </cell>
          <cell r="B2411" t="str">
            <v>#Lv73_퀘스트용 7배</v>
          </cell>
        </row>
        <row r="2412">
          <cell r="A2412">
            <v>22910767</v>
          </cell>
          <cell r="B2412" t="str">
            <v>#Lv74_퀘스트용 7배</v>
          </cell>
        </row>
        <row r="2413">
          <cell r="A2413">
            <v>22910768</v>
          </cell>
          <cell r="B2413" t="str">
            <v>#Lv75_퀘스트용 7배</v>
          </cell>
        </row>
        <row r="2414">
          <cell r="A2414">
            <v>22910769</v>
          </cell>
          <cell r="B2414" t="str">
            <v>#Lv76_퀘스트용 7배</v>
          </cell>
        </row>
        <row r="2415">
          <cell r="A2415">
            <v>22910770</v>
          </cell>
          <cell r="B2415" t="str">
            <v>#Lv77_퀘스트용 7배</v>
          </cell>
        </row>
        <row r="2416">
          <cell r="A2416">
            <v>22910771</v>
          </cell>
          <cell r="B2416" t="str">
            <v>#Lv78_퀘스트용 7배</v>
          </cell>
        </row>
        <row r="2417">
          <cell r="A2417">
            <v>22910772</v>
          </cell>
          <cell r="B2417" t="str">
            <v>#Lv79_퀘스트용 7배</v>
          </cell>
        </row>
        <row r="2418">
          <cell r="A2418">
            <v>22910773</v>
          </cell>
          <cell r="B2418" t="str">
            <v>#Lv80_퀘스트용 7배</v>
          </cell>
        </row>
        <row r="2419">
          <cell r="A2419">
            <v>22910774</v>
          </cell>
          <cell r="B2419" t="str">
            <v>#Lv81_퀘스트용 7배</v>
          </cell>
        </row>
        <row r="2420">
          <cell r="A2420">
            <v>22910775</v>
          </cell>
          <cell r="B2420" t="str">
            <v>#Lv82_퀘스트용 7배</v>
          </cell>
        </row>
        <row r="2421">
          <cell r="A2421">
            <v>22910776</v>
          </cell>
          <cell r="B2421" t="str">
            <v>#Lv83_퀘스트용 7배</v>
          </cell>
        </row>
        <row r="2422">
          <cell r="A2422">
            <v>22910777</v>
          </cell>
          <cell r="B2422" t="str">
            <v>#Lv84_퀘스트용 7배</v>
          </cell>
        </row>
        <row r="2423">
          <cell r="A2423">
            <v>22910778</v>
          </cell>
          <cell r="B2423" t="str">
            <v>#Lv85_퀘스트용 7배</v>
          </cell>
        </row>
        <row r="2424">
          <cell r="A2424">
            <v>22910779</v>
          </cell>
          <cell r="B2424" t="str">
            <v>#Lv86_퀘스트용 7배</v>
          </cell>
        </row>
        <row r="2425">
          <cell r="A2425">
            <v>22910780</v>
          </cell>
          <cell r="B2425" t="str">
            <v>#Lv87_퀘스트용 7배</v>
          </cell>
        </row>
        <row r="2426">
          <cell r="A2426">
            <v>22910781</v>
          </cell>
          <cell r="B2426" t="str">
            <v>#Lv88_퀘스트용 7배</v>
          </cell>
        </row>
        <row r="2427">
          <cell r="A2427">
            <v>22910782</v>
          </cell>
          <cell r="B2427" t="str">
            <v>#Lv89_퀘스트용 7배</v>
          </cell>
        </row>
        <row r="2428">
          <cell r="A2428">
            <v>22910783</v>
          </cell>
          <cell r="B2428" t="str">
            <v>#Lv90_퀘스트용 7배</v>
          </cell>
        </row>
        <row r="2429">
          <cell r="A2429">
            <v>22910784</v>
          </cell>
          <cell r="B2429" t="str">
            <v>#Lv91_퀘스트용 7배</v>
          </cell>
        </row>
        <row r="2430">
          <cell r="A2430">
            <v>22910785</v>
          </cell>
          <cell r="B2430" t="str">
            <v>#Lv92_퀘스트용 7배</v>
          </cell>
        </row>
        <row r="2431">
          <cell r="A2431">
            <v>22910786</v>
          </cell>
          <cell r="B2431" t="str">
            <v>#Lv93_퀘스트용 7배</v>
          </cell>
        </row>
        <row r="2432">
          <cell r="A2432">
            <v>22910787</v>
          </cell>
          <cell r="B2432" t="str">
            <v>#Lv94_퀘스트용 7배</v>
          </cell>
        </row>
        <row r="2433">
          <cell r="A2433">
            <v>22910788</v>
          </cell>
          <cell r="B2433" t="str">
            <v>#Lv95_퀘스트용 7배</v>
          </cell>
        </row>
        <row r="2434">
          <cell r="A2434">
            <v>22910789</v>
          </cell>
          <cell r="B2434" t="str">
            <v>#Lv96_퀘스트용 7배</v>
          </cell>
        </row>
        <row r="2435">
          <cell r="A2435">
            <v>22910790</v>
          </cell>
          <cell r="B2435" t="str">
            <v>#Lv97_퀘스트용 7배</v>
          </cell>
        </row>
        <row r="2436">
          <cell r="A2436">
            <v>22910791</v>
          </cell>
          <cell r="B2436" t="str">
            <v>#Lv98_퀘스트용 7배</v>
          </cell>
        </row>
        <row r="2437">
          <cell r="A2437">
            <v>22910792</v>
          </cell>
          <cell r="B2437" t="str">
            <v>#Lv99_퀘스트용 7배</v>
          </cell>
        </row>
        <row r="2438">
          <cell r="A2438">
            <v>22910793</v>
          </cell>
          <cell r="B2438" t="str">
            <v>#Lv1_퀘스트용 8배</v>
          </cell>
        </row>
        <row r="2439">
          <cell r="A2439">
            <v>22910794</v>
          </cell>
          <cell r="B2439" t="str">
            <v>#Lv2_퀘스트용 8배</v>
          </cell>
        </row>
        <row r="2440">
          <cell r="A2440">
            <v>22910795</v>
          </cell>
          <cell r="B2440" t="str">
            <v>#Lv3_퀘스트용 8배</v>
          </cell>
        </row>
        <row r="2441">
          <cell r="A2441">
            <v>22910796</v>
          </cell>
          <cell r="B2441" t="str">
            <v>#Lv4_퀘스트용 8배</v>
          </cell>
        </row>
        <row r="2442">
          <cell r="A2442">
            <v>22910797</v>
          </cell>
          <cell r="B2442" t="str">
            <v>#Lv5_퀘스트용 8배</v>
          </cell>
        </row>
        <row r="2443">
          <cell r="A2443">
            <v>22910798</v>
          </cell>
          <cell r="B2443" t="str">
            <v>#Lv6_퀘스트용 8배</v>
          </cell>
        </row>
        <row r="2444">
          <cell r="A2444">
            <v>22910799</v>
          </cell>
          <cell r="B2444" t="str">
            <v>#Lv7_퀘스트용 8배</v>
          </cell>
        </row>
        <row r="2445">
          <cell r="A2445">
            <v>22910800</v>
          </cell>
          <cell r="B2445" t="str">
            <v>#Lv8_퀘스트용 8배</v>
          </cell>
        </row>
        <row r="2446">
          <cell r="A2446">
            <v>22910801</v>
          </cell>
          <cell r="B2446" t="str">
            <v>#Lv9_퀘스트용 8배</v>
          </cell>
        </row>
        <row r="2447">
          <cell r="A2447">
            <v>22910802</v>
          </cell>
          <cell r="B2447" t="str">
            <v>#Lv10_퀘스트용 8배</v>
          </cell>
        </row>
        <row r="2448">
          <cell r="A2448">
            <v>22910803</v>
          </cell>
          <cell r="B2448" t="str">
            <v>#Lv11_퀘스트용 8배</v>
          </cell>
        </row>
        <row r="2449">
          <cell r="A2449">
            <v>22910804</v>
          </cell>
          <cell r="B2449" t="str">
            <v>#Lv12_퀘스트용 8배</v>
          </cell>
        </row>
        <row r="2450">
          <cell r="A2450">
            <v>22910805</v>
          </cell>
          <cell r="B2450" t="str">
            <v>#Lv13_퀘스트용 8배</v>
          </cell>
        </row>
        <row r="2451">
          <cell r="A2451">
            <v>22910806</v>
          </cell>
          <cell r="B2451" t="str">
            <v>#Lv14_퀘스트용 8배</v>
          </cell>
        </row>
        <row r="2452">
          <cell r="A2452">
            <v>22910807</v>
          </cell>
          <cell r="B2452" t="str">
            <v>#Lv15_퀘스트용 8배</v>
          </cell>
        </row>
        <row r="2453">
          <cell r="A2453">
            <v>22910808</v>
          </cell>
          <cell r="B2453" t="str">
            <v>#Lv16_퀘스트용 8배</v>
          </cell>
        </row>
        <row r="2454">
          <cell r="A2454">
            <v>22910809</v>
          </cell>
          <cell r="B2454" t="str">
            <v>#Lv17_퀘스트용 8배</v>
          </cell>
        </row>
        <row r="2455">
          <cell r="A2455">
            <v>22910810</v>
          </cell>
          <cell r="B2455" t="str">
            <v>#Lv18_퀘스트용 8배</v>
          </cell>
        </row>
        <row r="2456">
          <cell r="A2456">
            <v>22910811</v>
          </cell>
          <cell r="B2456" t="str">
            <v>#Lv19_퀘스트용 8배</v>
          </cell>
        </row>
        <row r="2457">
          <cell r="A2457">
            <v>22910812</v>
          </cell>
          <cell r="B2457" t="str">
            <v>#Lv20_퀘스트용 8배</v>
          </cell>
        </row>
        <row r="2458">
          <cell r="A2458">
            <v>22910813</v>
          </cell>
          <cell r="B2458" t="str">
            <v>#Lv21_퀘스트용 8배</v>
          </cell>
        </row>
        <row r="2459">
          <cell r="A2459">
            <v>22910814</v>
          </cell>
          <cell r="B2459" t="str">
            <v>#Lv22_퀘스트용 8배</v>
          </cell>
        </row>
        <row r="2460">
          <cell r="A2460">
            <v>22910815</v>
          </cell>
          <cell r="B2460" t="str">
            <v>#Lv23_퀘스트용 8배</v>
          </cell>
        </row>
        <row r="2461">
          <cell r="A2461">
            <v>22910816</v>
          </cell>
          <cell r="B2461" t="str">
            <v>#Lv24_퀘스트용 8배</v>
          </cell>
        </row>
        <row r="2462">
          <cell r="A2462">
            <v>22910817</v>
          </cell>
          <cell r="B2462" t="str">
            <v>#Lv25_퀘스트용 8배</v>
          </cell>
        </row>
        <row r="2463">
          <cell r="A2463">
            <v>22910818</v>
          </cell>
          <cell r="B2463" t="str">
            <v>#Lv26_퀘스트용 8배</v>
          </cell>
        </row>
        <row r="2464">
          <cell r="A2464">
            <v>22910819</v>
          </cell>
          <cell r="B2464" t="str">
            <v>#Lv27_퀘스트용 8배</v>
          </cell>
        </row>
        <row r="2465">
          <cell r="A2465">
            <v>22910820</v>
          </cell>
          <cell r="B2465" t="str">
            <v>#Lv28_퀘스트용 8배</v>
          </cell>
        </row>
        <row r="2466">
          <cell r="A2466">
            <v>22910821</v>
          </cell>
          <cell r="B2466" t="str">
            <v>#Lv29_퀘스트용 8배</v>
          </cell>
        </row>
        <row r="2467">
          <cell r="A2467">
            <v>22910822</v>
          </cell>
          <cell r="B2467" t="str">
            <v>#Lv30_퀘스트용 8배</v>
          </cell>
        </row>
        <row r="2468">
          <cell r="A2468">
            <v>22910823</v>
          </cell>
          <cell r="B2468" t="str">
            <v>#Lv31_퀘스트용 8배</v>
          </cell>
        </row>
        <row r="2469">
          <cell r="A2469">
            <v>22910824</v>
          </cell>
          <cell r="B2469" t="str">
            <v>#Lv32_퀘스트용 8배</v>
          </cell>
        </row>
        <row r="2470">
          <cell r="A2470">
            <v>22910825</v>
          </cell>
          <cell r="B2470" t="str">
            <v>#Lv33_퀘스트용 8배</v>
          </cell>
        </row>
        <row r="2471">
          <cell r="A2471">
            <v>22910826</v>
          </cell>
          <cell r="B2471" t="str">
            <v>#Lv34_퀘스트용 8배</v>
          </cell>
        </row>
        <row r="2472">
          <cell r="A2472">
            <v>22910827</v>
          </cell>
          <cell r="B2472" t="str">
            <v>#Lv35_퀘스트용 8배</v>
          </cell>
        </row>
        <row r="2473">
          <cell r="A2473">
            <v>22910828</v>
          </cell>
          <cell r="B2473" t="str">
            <v>#Lv36_퀘스트용 8배</v>
          </cell>
        </row>
        <row r="2474">
          <cell r="A2474">
            <v>22910829</v>
          </cell>
          <cell r="B2474" t="str">
            <v>#Lv37_퀘스트용 8배</v>
          </cell>
        </row>
        <row r="2475">
          <cell r="A2475">
            <v>22910830</v>
          </cell>
          <cell r="B2475" t="str">
            <v>#Lv38_퀘스트용 8배</v>
          </cell>
        </row>
        <row r="2476">
          <cell r="A2476">
            <v>22910831</v>
          </cell>
          <cell r="B2476" t="str">
            <v>#Lv39_퀘스트용 8배</v>
          </cell>
        </row>
        <row r="2477">
          <cell r="A2477">
            <v>22910832</v>
          </cell>
          <cell r="B2477" t="str">
            <v>#Lv40_퀘스트용 8배</v>
          </cell>
        </row>
        <row r="2478">
          <cell r="A2478">
            <v>22910833</v>
          </cell>
          <cell r="B2478" t="str">
            <v>#Lv41_퀘스트용 8배</v>
          </cell>
        </row>
        <row r="2479">
          <cell r="A2479">
            <v>22910834</v>
          </cell>
          <cell r="B2479" t="str">
            <v>#Lv42_퀘스트용 8배</v>
          </cell>
        </row>
        <row r="2480">
          <cell r="A2480">
            <v>22910835</v>
          </cell>
          <cell r="B2480" t="str">
            <v>#Lv43_퀘스트용 8배</v>
          </cell>
        </row>
        <row r="2481">
          <cell r="A2481">
            <v>22910836</v>
          </cell>
          <cell r="B2481" t="str">
            <v>#Lv44_퀘스트용 8배</v>
          </cell>
        </row>
        <row r="2482">
          <cell r="A2482">
            <v>22910837</v>
          </cell>
          <cell r="B2482" t="str">
            <v>#Lv45_퀘스트용 8배</v>
          </cell>
        </row>
        <row r="2483">
          <cell r="A2483">
            <v>22910838</v>
          </cell>
          <cell r="B2483" t="str">
            <v>#Lv46_퀘스트용 8배</v>
          </cell>
        </row>
        <row r="2484">
          <cell r="A2484">
            <v>22910839</v>
          </cell>
          <cell r="B2484" t="str">
            <v>#Lv47_퀘스트용 8배</v>
          </cell>
        </row>
        <row r="2485">
          <cell r="A2485">
            <v>22910840</v>
          </cell>
          <cell r="B2485" t="str">
            <v>#Lv48_퀘스트용 8배</v>
          </cell>
        </row>
        <row r="2486">
          <cell r="A2486">
            <v>22910841</v>
          </cell>
          <cell r="B2486" t="str">
            <v>#Lv49_퀘스트용 8배</v>
          </cell>
        </row>
        <row r="2487">
          <cell r="A2487">
            <v>22910842</v>
          </cell>
          <cell r="B2487" t="str">
            <v>#Lv50_퀘스트용 8배</v>
          </cell>
        </row>
        <row r="2488">
          <cell r="A2488">
            <v>22910843</v>
          </cell>
          <cell r="B2488" t="str">
            <v>#Lv51_퀘스트용 8배</v>
          </cell>
        </row>
        <row r="2489">
          <cell r="A2489">
            <v>22910844</v>
          </cell>
          <cell r="B2489" t="str">
            <v>#Lv52_퀘스트용 8배</v>
          </cell>
        </row>
        <row r="2490">
          <cell r="A2490">
            <v>22910845</v>
          </cell>
          <cell r="B2490" t="str">
            <v>#Lv53_퀘스트용 8배</v>
          </cell>
        </row>
        <row r="2491">
          <cell r="A2491">
            <v>22910846</v>
          </cell>
          <cell r="B2491" t="str">
            <v>#Lv54_퀘스트용 8배</v>
          </cell>
        </row>
        <row r="2492">
          <cell r="A2492">
            <v>22910847</v>
          </cell>
          <cell r="B2492" t="str">
            <v>#Lv55_퀘스트용 8배</v>
          </cell>
        </row>
        <row r="2493">
          <cell r="A2493">
            <v>22910848</v>
          </cell>
          <cell r="B2493" t="str">
            <v>#Lv56_퀘스트용 8배</v>
          </cell>
        </row>
        <row r="2494">
          <cell r="A2494">
            <v>22910849</v>
          </cell>
          <cell r="B2494" t="str">
            <v>#Lv57_퀘스트용 8배</v>
          </cell>
        </row>
        <row r="2495">
          <cell r="A2495">
            <v>22910850</v>
          </cell>
          <cell r="B2495" t="str">
            <v>#Lv58_퀘스트용 8배</v>
          </cell>
        </row>
        <row r="2496">
          <cell r="A2496">
            <v>22910851</v>
          </cell>
          <cell r="B2496" t="str">
            <v>#Lv59_퀘스트용 8배</v>
          </cell>
        </row>
        <row r="2497">
          <cell r="A2497">
            <v>22910852</v>
          </cell>
          <cell r="B2497" t="str">
            <v>#Lv60_퀘스트용 8배</v>
          </cell>
        </row>
        <row r="2498">
          <cell r="A2498">
            <v>22910853</v>
          </cell>
          <cell r="B2498" t="str">
            <v>#Lv61_퀘스트용 8배</v>
          </cell>
        </row>
        <row r="2499">
          <cell r="A2499">
            <v>22910854</v>
          </cell>
          <cell r="B2499" t="str">
            <v>#Lv62_퀘스트용 8배</v>
          </cell>
        </row>
        <row r="2500">
          <cell r="A2500">
            <v>22910855</v>
          </cell>
          <cell r="B2500" t="str">
            <v>#Lv63_퀘스트용 8배</v>
          </cell>
        </row>
        <row r="2501">
          <cell r="A2501">
            <v>22910856</v>
          </cell>
          <cell r="B2501" t="str">
            <v>#Lv64_퀘스트용 8배</v>
          </cell>
        </row>
        <row r="2502">
          <cell r="A2502">
            <v>22910857</v>
          </cell>
          <cell r="B2502" t="str">
            <v>#Lv65_퀘스트용 8배</v>
          </cell>
        </row>
        <row r="2503">
          <cell r="A2503">
            <v>22910858</v>
          </cell>
          <cell r="B2503" t="str">
            <v>#Lv66_퀘스트용 8배</v>
          </cell>
        </row>
        <row r="2504">
          <cell r="A2504">
            <v>22910859</v>
          </cell>
          <cell r="B2504" t="str">
            <v>#Lv67_퀘스트용 8배</v>
          </cell>
        </row>
        <row r="2505">
          <cell r="A2505">
            <v>22910860</v>
          </cell>
          <cell r="B2505" t="str">
            <v>#Lv68_퀘스트용 8배</v>
          </cell>
        </row>
        <row r="2506">
          <cell r="A2506">
            <v>22910861</v>
          </cell>
          <cell r="B2506" t="str">
            <v>#Lv69_퀘스트용 8배</v>
          </cell>
        </row>
        <row r="2507">
          <cell r="A2507">
            <v>22910862</v>
          </cell>
          <cell r="B2507" t="str">
            <v>#Lv70_퀘스트용 8배</v>
          </cell>
        </row>
        <row r="2508">
          <cell r="A2508">
            <v>22910863</v>
          </cell>
          <cell r="B2508" t="str">
            <v>#Lv71_퀘스트용 8배</v>
          </cell>
        </row>
        <row r="2509">
          <cell r="A2509">
            <v>22910864</v>
          </cell>
          <cell r="B2509" t="str">
            <v>#Lv72_퀘스트용 8배</v>
          </cell>
        </row>
        <row r="2510">
          <cell r="A2510">
            <v>22910865</v>
          </cell>
          <cell r="B2510" t="str">
            <v>#Lv73_퀘스트용 8배</v>
          </cell>
        </row>
        <row r="2511">
          <cell r="A2511">
            <v>22910866</v>
          </cell>
          <cell r="B2511" t="str">
            <v>#Lv74_퀘스트용 8배</v>
          </cell>
        </row>
        <row r="2512">
          <cell r="A2512">
            <v>22910867</v>
          </cell>
          <cell r="B2512" t="str">
            <v>#Lv75_퀘스트용 8배</v>
          </cell>
        </row>
        <row r="2513">
          <cell r="A2513">
            <v>22910868</v>
          </cell>
          <cell r="B2513" t="str">
            <v>#Lv76_퀘스트용 8배</v>
          </cell>
        </row>
        <row r="2514">
          <cell r="A2514">
            <v>22910869</v>
          </cell>
          <cell r="B2514" t="str">
            <v>#Lv77_퀘스트용 8배</v>
          </cell>
        </row>
        <row r="2515">
          <cell r="A2515">
            <v>22910870</v>
          </cell>
          <cell r="B2515" t="str">
            <v>#Lv78_퀘스트용 8배</v>
          </cell>
        </row>
        <row r="2516">
          <cell r="A2516">
            <v>22910871</v>
          </cell>
          <cell r="B2516" t="str">
            <v>#Lv79_퀘스트용 8배</v>
          </cell>
        </row>
        <row r="2517">
          <cell r="A2517">
            <v>22910872</v>
          </cell>
          <cell r="B2517" t="str">
            <v>#Lv80_퀘스트용 8배</v>
          </cell>
        </row>
        <row r="2518">
          <cell r="A2518">
            <v>22910873</v>
          </cell>
          <cell r="B2518" t="str">
            <v>#Lv81_퀘스트용 8배</v>
          </cell>
        </row>
        <row r="2519">
          <cell r="A2519">
            <v>22910874</v>
          </cell>
          <cell r="B2519" t="str">
            <v>#Lv82_퀘스트용 8배</v>
          </cell>
        </row>
        <row r="2520">
          <cell r="A2520">
            <v>22910875</v>
          </cell>
          <cell r="B2520" t="str">
            <v>#Lv83_퀘스트용 8배</v>
          </cell>
        </row>
        <row r="2521">
          <cell r="A2521">
            <v>22910876</v>
          </cell>
          <cell r="B2521" t="str">
            <v>#Lv84_퀘스트용 8배</v>
          </cell>
        </row>
        <row r="2522">
          <cell r="A2522">
            <v>22910877</v>
          </cell>
          <cell r="B2522" t="str">
            <v>#Lv85_퀘스트용 8배</v>
          </cell>
        </row>
        <row r="2523">
          <cell r="A2523">
            <v>22910878</v>
          </cell>
          <cell r="B2523" t="str">
            <v>#Lv86_퀘스트용 8배</v>
          </cell>
        </row>
        <row r="2524">
          <cell r="A2524">
            <v>22910879</v>
          </cell>
          <cell r="B2524" t="str">
            <v>#Lv87_퀘스트용 8배</v>
          </cell>
        </row>
        <row r="2525">
          <cell r="A2525">
            <v>22910880</v>
          </cell>
          <cell r="B2525" t="str">
            <v>#Lv88_퀘스트용 8배</v>
          </cell>
        </row>
        <row r="2526">
          <cell r="A2526">
            <v>22910881</v>
          </cell>
          <cell r="B2526" t="str">
            <v>#Lv89_퀘스트용 8배</v>
          </cell>
        </row>
        <row r="2527">
          <cell r="A2527">
            <v>22910882</v>
          </cell>
          <cell r="B2527" t="str">
            <v>#Lv90_퀘스트용 8배</v>
          </cell>
        </row>
        <row r="2528">
          <cell r="A2528">
            <v>22910883</v>
          </cell>
          <cell r="B2528" t="str">
            <v>#Lv91_퀘스트용 8배</v>
          </cell>
        </row>
        <row r="2529">
          <cell r="A2529">
            <v>22910884</v>
          </cell>
          <cell r="B2529" t="str">
            <v>#Lv92_퀘스트용 8배</v>
          </cell>
        </row>
        <row r="2530">
          <cell r="A2530">
            <v>22910885</v>
          </cell>
          <cell r="B2530" t="str">
            <v>#Lv93_퀘스트용 8배</v>
          </cell>
        </row>
        <row r="2531">
          <cell r="A2531">
            <v>22910886</v>
          </cell>
          <cell r="B2531" t="str">
            <v>#Lv94_퀘스트용 8배</v>
          </cell>
        </row>
        <row r="2532">
          <cell r="A2532">
            <v>22910887</v>
          </cell>
          <cell r="B2532" t="str">
            <v>#Lv95_퀘스트용 8배</v>
          </cell>
        </row>
        <row r="2533">
          <cell r="A2533">
            <v>22910888</v>
          </cell>
          <cell r="B2533" t="str">
            <v>#Lv96_퀘스트용 8배</v>
          </cell>
        </row>
        <row r="2534">
          <cell r="A2534">
            <v>22910889</v>
          </cell>
          <cell r="B2534" t="str">
            <v>#Lv97_퀘스트용 8배</v>
          </cell>
        </row>
        <row r="2535">
          <cell r="A2535">
            <v>22910890</v>
          </cell>
          <cell r="B2535" t="str">
            <v>#Lv98_퀘스트용 8배</v>
          </cell>
        </row>
        <row r="2536">
          <cell r="A2536">
            <v>22910891</v>
          </cell>
          <cell r="B2536" t="str">
            <v>#Lv99_퀘스트용 8배</v>
          </cell>
        </row>
        <row r="2537">
          <cell r="A2537">
            <v>22910892</v>
          </cell>
          <cell r="B2537" t="str">
            <v>#Lv1_퀘스트용 9배</v>
          </cell>
        </row>
        <row r="2538">
          <cell r="A2538">
            <v>22910893</v>
          </cell>
          <cell r="B2538" t="str">
            <v>#Lv2_퀘스트용 9배</v>
          </cell>
        </row>
        <row r="2539">
          <cell r="A2539">
            <v>22910894</v>
          </cell>
          <cell r="B2539" t="str">
            <v>#Lv3_퀘스트용 9배</v>
          </cell>
        </row>
        <row r="2540">
          <cell r="A2540">
            <v>22910895</v>
          </cell>
          <cell r="B2540" t="str">
            <v>#Lv4_퀘스트용 9배</v>
          </cell>
        </row>
        <row r="2541">
          <cell r="A2541">
            <v>22910896</v>
          </cell>
          <cell r="B2541" t="str">
            <v>#Lv5_퀘스트용 9배</v>
          </cell>
        </row>
        <row r="2542">
          <cell r="A2542">
            <v>22910897</v>
          </cell>
          <cell r="B2542" t="str">
            <v>#Lv6_퀘스트용 9배</v>
          </cell>
        </row>
        <row r="2543">
          <cell r="A2543">
            <v>22910898</v>
          </cell>
          <cell r="B2543" t="str">
            <v>#Lv7_퀘스트용 9배</v>
          </cell>
        </row>
        <row r="2544">
          <cell r="A2544">
            <v>22910899</v>
          </cell>
          <cell r="B2544" t="str">
            <v>#Lv8_퀘스트용 9배</v>
          </cell>
        </row>
        <row r="2545">
          <cell r="A2545">
            <v>22910900</v>
          </cell>
          <cell r="B2545" t="str">
            <v>#Lv9_퀘스트용 9배</v>
          </cell>
        </row>
        <row r="2546">
          <cell r="A2546">
            <v>22910901</v>
          </cell>
          <cell r="B2546" t="str">
            <v>#Lv10_퀘스트용 9배</v>
          </cell>
        </row>
        <row r="2547">
          <cell r="A2547">
            <v>22910902</v>
          </cell>
          <cell r="B2547" t="str">
            <v>#Lv11_퀘스트용 9배</v>
          </cell>
        </row>
        <row r="2548">
          <cell r="A2548">
            <v>22910903</v>
          </cell>
          <cell r="B2548" t="str">
            <v>#Lv12_퀘스트용 9배</v>
          </cell>
        </row>
        <row r="2549">
          <cell r="A2549">
            <v>22910904</v>
          </cell>
          <cell r="B2549" t="str">
            <v>#Lv13_퀘스트용 9배</v>
          </cell>
        </row>
        <row r="2550">
          <cell r="A2550">
            <v>22910905</v>
          </cell>
          <cell r="B2550" t="str">
            <v>#Lv14_퀘스트용 9배</v>
          </cell>
        </row>
        <row r="2551">
          <cell r="A2551">
            <v>22910906</v>
          </cell>
          <cell r="B2551" t="str">
            <v>#Lv15_퀘스트용 9배</v>
          </cell>
        </row>
        <row r="2552">
          <cell r="A2552">
            <v>22910907</v>
          </cell>
          <cell r="B2552" t="str">
            <v>#Lv16_퀘스트용 9배</v>
          </cell>
        </row>
        <row r="2553">
          <cell r="A2553">
            <v>22910908</v>
          </cell>
          <cell r="B2553" t="str">
            <v>#Lv17_퀘스트용 9배</v>
          </cell>
        </row>
        <row r="2554">
          <cell r="A2554">
            <v>22910909</v>
          </cell>
          <cell r="B2554" t="str">
            <v>#Lv18_퀘스트용 9배</v>
          </cell>
        </row>
        <row r="2555">
          <cell r="A2555">
            <v>22910910</v>
          </cell>
          <cell r="B2555" t="str">
            <v>#Lv19_퀘스트용 9배</v>
          </cell>
        </row>
        <row r="2556">
          <cell r="A2556">
            <v>22910911</v>
          </cell>
          <cell r="B2556" t="str">
            <v>#Lv20_퀘스트용 9배</v>
          </cell>
        </row>
        <row r="2557">
          <cell r="A2557">
            <v>22910912</v>
          </cell>
          <cell r="B2557" t="str">
            <v>#Lv21_퀘스트용 9배</v>
          </cell>
        </row>
        <row r="2558">
          <cell r="A2558">
            <v>22910913</v>
          </cell>
          <cell r="B2558" t="str">
            <v>#Lv22_퀘스트용 9배</v>
          </cell>
        </row>
        <row r="2559">
          <cell r="A2559">
            <v>22910914</v>
          </cell>
          <cell r="B2559" t="str">
            <v>#Lv23_퀘스트용 9배</v>
          </cell>
        </row>
        <row r="2560">
          <cell r="A2560">
            <v>22910915</v>
          </cell>
          <cell r="B2560" t="str">
            <v>#Lv24_퀘스트용 9배</v>
          </cell>
        </row>
        <row r="2561">
          <cell r="A2561">
            <v>22910916</v>
          </cell>
          <cell r="B2561" t="str">
            <v>#Lv25_퀘스트용 9배</v>
          </cell>
        </row>
        <row r="2562">
          <cell r="A2562">
            <v>22910917</v>
          </cell>
          <cell r="B2562" t="str">
            <v>#Lv26_퀘스트용 9배</v>
          </cell>
        </row>
        <row r="2563">
          <cell r="A2563">
            <v>22910918</v>
          </cell>
          <cell r="B2563" t="str">
            <v>#Lv27_퀘스트용 9배</v>
          </cell>
        </row>
        <row r="2564">
          <cell r="A2564">
            <v>22910919</v>
          </cell>
          <cell r="B2564" t="str">
            <v>#Lv28_퀘스트용 9배</v>
          </cell>
        </row>
        <row r="2565">
          <cell r="A2565">
            <v>22910920</v>
          </cell>
          <cell r="B2565" t="str">
            <v>#Lv29_퀘스트용 9배</v>
          </cell>
        </row>
        <row r="2566">
          <cell r="A2566">
            <v>22910921</v>
          </cell>
          <cell r="B2566" t="str">
            <v>#Lv30_퀘스트용 9배</v>
          </cell>
        </row>
        <row r="2567">
          <cell r="A2567">
            <v>22910922</v>
          </cell>
          <cell r="B2567" t="str">
            <v>#Lv31_퀘스트용 9배</v>
          </cell>
        </row>
        <row r="2568">
          <cell r="A2568">
            <v>22910923</v>
          </cell>
          <cell r="B2568" t="str">
            <v>#Lv32_퀘스트용 9배</v>
          </cell>
        </row>
        <row r="2569">
          <cell r="A2569">
            <v>22910924</v>
          </cell>
          <cell r="B2569" t="str">
            <v>#Lv33_퀘스트용 9배</v>
          </cell>
        </row>
        <row r="2570">
          <cell r="A2570">
            <v>22910925</v>
          </cell>
          <cell r="B2570" t="str">
            <v>#Lv34_퀘스트용 9배</v>
          </cell>
        </row>
        <row r="2571">
          <cell r="A2571">
            <v>22910926</v>
          </cell>
          <cell r="B2571" t="str">
            <v>#Lv35_퀘스트용 9배</v>
          </cell>
        </row>
        <row r="2572">
          <cell r="A2572">
            <v>22910927</v>
          </cell>
          <cell r="B2572" t="str">
            <v>#Lv36_퀘스트용 9배</v>
          </cell>
        </row>
        <row r="2573">
          <cell r="A2573">
            <v>22910928</v>
          </cell>
          <cell r="B2573" t="str">
            <v>#Lv37_퀘스트용 9배</v>
          </cell>
        </row>
        <row r="2574">
          <cell r="A2574">
            <v>22910929</v>
          </cell>
          <cell r="B2574" t="str">
            <v>#Lv38_퀘스트용 9배</v>
          </cell>
        </row>
        <row r="2575">
          <cell r="A2575">
            <v>22910930</v>
          </cell>
          <cell r="B2575" t="str">
            <v>#Lv39_퀘스트용 9배</v>
          </cell>
        </row>
        <row r="2576">
          <cell r="A2576">
            <v>22910931</v>
          </cell>
          <cell r="B2576" t="str">
            <v>#Lv40_퀘스트용 9배</v>
          </cell>
        </row>
        <row r="2577">
          <cell r="A2577">
            <v>22910932</v>
          </cell>
          <cell r="B2577" t="str">
            <v>#Lv41_퀘스트용 9배</v>
          </cell>
        </row>
        <row r="2578">
          <cell r="A2578">
            <v>22910933</v>
          </cell>
          <cell r="B2578" t="str">
            <v>#Lv42_퀘스트용 9배</v>
          </cell>
        </row>
        <row r="2579">
          <cell r="A2579">
            <v>22910934</v>
          </cell>
          <cell r="B2579" t="str">
            <v>#Lv43_퀘스트용 9배</v>
          </cell>
        </row>
        <row r="2580">
          <cell r="A2580">
            <v>22910935</v>
          </cell>
          <cell r="B2580" t="str">
            <v>#Lv44_퀘스트용 9배</v>
          </cell>
        </row>
        <row r="2581">
          <cell r="A2581">
            <v>22910936</v>
          </cell>
          <cell r="B2581" t="str">
            <v>#Lv45_퀘스트용 9배</v>
          </cell>
        </row>
        <row r="2582">
          <cell r="A2582">
            <v>22910937</v>
          </cell>
          <cell r="B2582" t="str">
            <v>#Lv46_퀘스트용 9배</v>
          </cell>
        </row>
        <row r="2583">
          <cell r="A2583">
            <v>22910938</v>
          </cell>
          <cell r="B2583" t="str">
            <v>#Lv47_퀘스트용 9배</v>
          </cell>
        </row>
        <row r="2584">
          <cell r="A2584">
            <v>22910939</v>
          </cell>
          <cell r="B2584" t="str">
            <v>#Lv48_퀘스트용 9배</v>
          </cell>
        </row>
        <row r="2585">
          <cell r="A2585">
            <v>22910940</v>
          </cell>
          <cell r="B2585" t="str">
            <v>#Lv49_퀘스트용 9배</v>
          </cell>
        </row>
        <row r="2586">
          <cell r="A2586">
            <v>22910941</v>
          </cell>
          <cell r="B2586" t="str">
            <v>#Lv50_퀘스트용 9배</v>
          </cell>
        </row>
        <row r="2587">
          <cell r="A2587">
            <v>22910942</v>
          </cell>
          <cell r="B2587" t="str">
            <v>#Lv51_퀘스트용 9배</v>
          </cell>
        </row>
        <row r="2588">
          <cell r="A2588">
            <v>22910943</v>
          </cell>
          <cell r="B2588" t="str">
            <v>#Lv52_퀘스트용 9배</v>
          </cell>
        </row>
        <row r="2589">
          <cell r="A2589">
            <v>22910944</v>
          </cell>
          <cell r="B2589" t="str">
            <v>#Lv53_퀘스트용 9배</v>
          </cell>
        </row>
        <row r="2590">
          <cell r="A2590">
            <v>22910945</v>
          </cell>
          <cell r="B2590" t="str">
            <v>#Lv54_퀘스트용 9배</v>
          </cell>
        </row>
        <row r="2591">
          <cell r="A2591">
            <v>22910946</v>
          </cell>
          <cell r="B2591" t="str">
            <v>#Lv55_퀘스트용 9배</v>
          </cell>
        </row>
        <row r="2592">
          <cell r="A2592">
            <v>22910947</v>
          </cell>
          <cell r="B2592" t="str">
            <v>#Lv56_퀘스트용 9배</v>
          </cell>
        </row>
        <row r="2593">
          <cell r="A2593">
            <v>22910948</v>
          </cell>
          <cell r="B2593" t="str">
            <v>#Lv57_퀘스트용 9배</v>
          </cell>
        </row>
        <row r="2594">
          <cell r="A2594">
            <v>22910949</v>
          </cell>
          <cell r="B2594" t="str">
            <v>#Lv58_퀘스트용 9배</v>
          </cell>
        </row>
        <row r="2595">
          <cell r="A2595">
            <v>22910950</v>
          </cell>
          <cell r="B2595" t="str">
            <v>#Lv59_퀘스트용 9배</v>
          </cell>
        </row>
        <row r="2596">
          <cell r="A2596">
            <v>22910951</v>
          </cell>
          <cell r="B2596" t="str">
            <v>#Lv60_퀘스트용 9배</v>
          </cell>
        </row>
        <row r="2597">
          <cell r="A2597">
            <v>22910952</v>
          </cell>
          <cell r="B2597" t="str">
            <v>#Lv61_퀘스트용 9배</v>
          </cell>
        </row>
        <row r="2598">
          <cell r="A2598">
            <v>22910953</v>
          </cell>
          <cell r="B2598" t="str">
            <v>#Lv62_퀘스트용 9배</v>
          </cell>
        </row>
        <row r="2599">
          <cell r="A2599">
            <v>22910954</v>
          </cell>
          <cell r="B2599" t="str">
            <v>#Lv63_퀘스트용 9배</v>
          </cell>
        </row>
        <row r="2600">
          <cell r="A2600">
            <v>22910955</v>
          </cell>
          <cell r="B2600" t="str">
            <v>#Lv64_퀘스트용 9배</v>
          </cell>
        </row>
        <row r="2601">
          <cell r="A2601">
            <v>22910956</v>
          </cell>
          <cell r="B2601" t="str">
            <v>#Lv65_퀘스트용 9배</v>
          </cell>
        </row>
        <row r="2602">
          <cell r="A2602">
            <v>22910957</v>
          </cell>
          <cell r="B2602" t="str">
            <v>#Lv66_퀘스트용 9배</v>
          </cell>
        </row>
        <row r="2603">
          <cell r="A2603">
            <v>22910958</v>
          </cell>
          <cell r="B2603" t="str">
            <v>#Lv67_퀘스트용 9배</v>
          </cell>
        </row>
        <row r="2604">
          <cell r="A2604">
            <v>22910959</v>
          </cell>
          <cell r="B2604" t="str">
            <v>#Lv68_퀘스트용 9배</v>
          </cell>
        </row>
        <row r="2605">
          <cell r="A2605">
            <v>22910960</v>
          </cell>
          <cell r="B2605" t="str">
            <v>#Lv69_퀘스트용 9배</v>
          </cell>
        </row>
        <row r="2606">
          <cell r="A2606">
            <v>22910961</v>
          </cell>
          <cell r="B2606" t="str">
            <v>#Lv70_퀘스트용 9배</v>
          </cell>
        </row>
        <row r="2607">
          <cell r="A2607">
            <v>22910962</v>
          </cell>
          <cell r="B2607" t="str">
            <v>#Lv71_퀘스트용 9배</v>
          </cell>
        </row>
        <row r="2608">
          <cell r="A2608">
            <v>22910963</v>
          </cell>
          <cell r="B2608" t="str">
            <v>#Lv72_퀘스트용 9배</v>
          </cell>
        </row>
        <row r="2609">
          <cell r="A2609">
            <v>22910964</v>
          </cell>
          <cell r="B2609" t="str">
            <v>#Lv73_퀘스트용 9배</v>
          </cell>
        </row>
        <row r="2610">
          <cell r="A2610">
            <v>22910965</v>
          </cell>
          <cell r="B2610" t="str">
            <v>#Lv74_퀘스트용 9배</v>
          </cell>
        </row>
        <row r="2611">
          <cell r="A2611">
            <v>22910966</v>
          </cell>
          <cell r="B2611" t="str">
            <v>#Lv75_퀘스트용 9배</v>
          </cell>
        </row>
        <row r="2612">
          <cell r="A2612">
            <v>22910967</v>
          </cell>
          <cell r="B2612" t="str">
            <v>#Lv76_퀘스트용 9배</v>
          </cell>
        </row>
        <row r="2613">
          <cell r="A2613">
            <v>22910968</v>
          </cell>
          <cell r="B2613" t="str">
            <v>#Lv77_퀘스트용 9배</v>
          </cell>
        </row>
        <row r="2614">
          <cell r="A2614">
            <v>22910969</v>
          </cell>
          <cell r="B2614" t="str">
            <v>#Lv78_퀘스트용 9배</v>
          </cell>
        </row>
        <row r="2615">
          <cell r="A2615">
            <v>22910970</v>
          </cell>
          <cell r="B2615" t="str">
            <v>#Lv79_퀘스트용 9배</v>
          </cell>
        </row>
        <row r="2616">
          <cell r="A2616">
            <v>22910971</v>
          </cell>
          <cell r="B2616" t="str">
            <v>#Lv80_퀘스트용 9배</v>
          </cell>
        </row>
        <row r="2617">
          <cell r="A2617">
            <v>22910972</v>
          </cell>
          <cell r="B2617" t="str">
            <v>#Lv81_퀘스트용 9배</v>
          </cell>
        </row>
        <row r="2618">
          <cell r="A2618">
            <v>22910973</v>
          </cell>
          <cell r="B2618" t="str">
            <v>#Lv82_퀘스트용 9배</v>
          </cell>
        </row>
        <row r="2619">
          <cell r="A2619">
            <v>22910974</v>
          </cell>
          <cell r="B2619" t="str">
            <v>#Lv83_퀘스트용 9배</v>
          </cell>
        </row>
        <row r="2620">
          <cell r="A2620">
            <v>22910975</v>
          </cell>
          <cell r="B2620" t="str">
            <v>#Lv84_퀘스트용 9배</v>
          </cell>
        </row>
        <row r="2621">
          <cell r="A2621">
            <v>22910976</v>
          </cell>
          <cell r="B2621" t="str">
            <v>#Lv85_퀘스트용 9배</v>
          </cell>
        </row>
        <row r="2622">
          <cell r="A2622">
            <v>22910977</v>
          </cell>
          <cell r="B2622" t="str">
            <v>#Lv86_퀘스트용 9배</v>
          </cell>
        </row>
        <row r="2623">
          <cell r="A2623">
            <v>22910978</v>
          </cell>
          <cell r="B2623" t="str">
            <v>#Lv87_퀘스트용 9배</v>
          </cell>
        </row>
        <row r="2624">
          <cell r="A2624">
            <v>22910979</v>
          </cell>
          <cell r="B2624" t="str">
            <v>#Lv88_퀘스트용 9배</v>
          </cell>
        </row>
        <row r="2625">
          <cell r="A2625">
            <v>22910980</v>
          </cell>
          <cell r="B2625" t="str">
            <v>#Lv89_퀘스트용 9배</v>
          </cell>
        </row>
        <row r="2626">
          <cell r="A2626">
            <v>22910981</v>
          </cell>
          <cell r="B2626" t="str">
            <v>#Lv90_퀘스트용 9배</v>
          </cell>
        </row>
        <row r="2627">
          <cell r="A2627">
            <v>22910982</v>
          </cell>
          <cell r="B2627" t="str">
            <v>#Lv91_퀘스트용 9배</v>
          </cell>
        </row>
        <row r="2628">
          <cell r="A2628">
            <v>22910983</v>
          </cell>
          <cell r="B2628" t="str">
            <v>#Lv92_퀘스트용 9배</v>
          </cell>
        </row>
        <row r="2629">
          <cell r="A2629">
            <v>22910984</v>
          </cell>
          <cell r="B2629" t="str">
            <v>#Lv93_퀘스트용 9배</v>
          </cell>
        </row>
        <row r="2630">
          <cell r="A2630">
            <v>22910985</v>
          </cell>
          <cell r="B2630" t="str">
            <v>#Lv94_퀘스트용 9배</v>
          </cell>
        </row>
        <row r="2631">
          <cell r="A2631">
            <v>22910986</v>
          </cell>
          <cell r="B2631" t="str">
            <v>#Lv95_퀘스트용 9배</v>
          </cell>
        </row>
        <row r="2632">
          <cell r="A2632">
            <v>22910987</v>
          </cell>
          <cell r="B2632" t="str">
            <v>#Lv96_퀘스트용 9배</v>
          </cell>
        </row>
        <row r="2633">
          <cell r="A2633">
            <v>22910988</v>
          </cell>
          <cell r="B2633" t="str">
            <v>#Lv97_퀘스트용 9배</v>
          </cell>
        </row>
        <row r="2634">
          <cell r="A2634">
            <v>22910989</v>
          </cell>
          <cell r="B2634" t="str">
            <v>#Lv98_퀘스트용 9배</v>
          </cell>
        </row>
        <row r="2635">
          <cell r="A2635">
            <v>22910990</v>
          </cell>
          <cell r="B2635" t="str">
            <v>#Lv99_퀘스트용 9배</v>
          </cell>
        </row>
        <row r="2636">
          <cell r="A2636">
            <v>22910991</v>
          </cell>
          <cell r="B2636" t="str">
            <v>#Lv1_퀘스트용 10배</v>
          </cell>
        </row>
        <row r="2637">
          <cell r="A2637">
            <v>22910992</v>
          </cell>
          <cell r="B2637" t="str">
            <v>#Lv2_퀘스트용 10배</v>
          </cell>
        </row>
        <row r="2638">
          <cell r="A2638">
            <v>22910993</v>
          </cell>
          <cell r="B2638" t="str">
            <v>#Lv3_퀘스트용 10배</v>
          </cell>
        </row>
        <row r="2639">
          <cell r="A2639">
            <v>22910994</v>
          </cell>
          <cell r="B2639" t="str">
            <v>#Lv4_퀘스트용 10배</v>
          </cell>
        </row>
        <row r="2640">
          <cell r="A2640">
            <v>22910995</v>
          </cell>
          <cell r="B2640" t="str">
            <v>#Lv5_퀘스트용 10배</v>
          </cell>
        </row>
        <row r="2641">
          <cell r="A2641">
            <v>22910996</v>
          </cell>
          <cell r="B2641" t="str">
            <v>#Lv6_퀘스트용 10배</v>
          </cell>
        </row>
        <row r="2642">
          <cell r="A2642">
            <v>22910997</v>
          </cell>
          <cell r="B2642" t="str">
            <v>#Lv7_퀘스트용 10배</v>
          </cell>
        </row>
        <row r="2643">
          <cell r="A2643">
            <v>22910998</v>
          </cell>
          <cell r="B2643" t="str">
            <v>#Lv8_퀘스트용 10배</v>
          </cell>
        </row>
        <row r="2644">
          <cell r="A2644">
            <v>22910999</v>
          </cell>
          <cell r="B2644" t="str">
            <v>#Lv9_퀘스트용 10배</v>
          </cell>
        </row>
        <row r="2645">
          <cell r="A2645">
            <v>22911000</v>
          </cell>
          <cell r="B2645" t="str">
            <v>#Lv10_퀘스트용 10배</v>
          </cell>
        </row>
        <row r="2646">
          <cell r="A2646">
            <v>22911001</v>
          </cell>
          <cell r="B2646" t="str">
            <v>#Lv11_퀘스트용 10배</v>
          </cell>
        </row>
        <row r="2647">
          <cell r="A2647">
            <v>22911002</v>
          </cell>
          <cell r="B2647" t="str">
            <v>#Lv12_퀘스트용 10배</v>
          </cell>
        </row>
        <row r="2648">
          <cell r="A2648">
            <v>22911003</v>
          </cell>
          <cell r="B2648" t="str">
            <v>#Lv13_퀘스트용 10배</v>
          </cell>
        </row>
        <row r="2649">
          <cell r="A2649">
            <v>22911004</v>
          </cell>
          <cell r="B2649" t="str">
            <v>#Lv14_퀘스트용 10배</v>
          </cell>
        </row>
        <row r="2650">
          <cell r="A2650">
            <v>22911005</v>
          </cell>
          <cell r="B2650" t="str">
            <v>#Lv15_퀘스트용 10배</v>
          </cell>
        </row>
        <row r="2651">
          <cell r="A2651">
            <v>22911006</v>
          </cell>
          <cell r="B2651" t="str">
            <v>#Lv16_퀘스트용 10배</v>
          </cell>
        </row>
        <row r="2652">
          <cell r="A2652">
            <v>22911007</v>
          </cell>
          <cell r="B2652" t="str">
            <v>#Lv17_퀘스트용 10배</v>
          </cell>
        </row>
        <row r="2653">
          <cell r="A2653">
            <v>22911008</v>
          </cell>
          <cell r="B2653" t="str">
            <v>#Lv18_퀘스트용 10배</v>
          </cell>
        </row>
        <row r="2654">
          <cell r="A2654">
            <v>22911009</v>
          </cell>
          <cell r="B2654" t="str">
            <v>#Lv19_퀘스트용 10배</v>
          </cell>
        </row>
        <row r="2655">
          <cell r="A2655">
            <v>22911010</v>
          </cell>
          <cell r="B2655" t="str">
            <v>#Lv20_퀘스트용 10배</v>
          </cell>
        </row>
        <row r="2656">
          <cell r="A2656">
            <v>22911011</v>
          </cell>
          <cell r="B2656" t="str">
            <v>#Lv21_퀘스트용 10배</v>
          </cell>
        </row>
        <row r="2657">
          <cell r="A2657">
            <v>22911012</v>
          </cell>
          <cell r="B2657" t="str">
            <v>#Lv22_퀘스트용 10배</v>
          </cell>
        </row>
        <row r="2658">
          <cell r="A2658">
            <v>22911013</v>
          </cell>
          <cell r="B2658" t="str">
            <v>#Lv23_퀘스트용 10배</v>
          </cell>
        </row>
        <row r="2659">
          <cell r="A2659">
            <v>22911014</v>
          </cell>
          <cell r="B2659" t="str">
            <v>#Lv24_퀘스트용 10배</v>
          </cell>
        </row>
        <row r="2660">
          <cell r="A2660">
            <v>22911015</v>
          </cell>
          <cell r="B2660" t="str">
            <v>#Lv25_퀘스트용 10배</v>
          </cell>
        </row>
        <row r="2661">
          <cell r="A2661">
            <v>22911016</v>
          </cell>
          <cell r="B2661" t="str">
            <v>#Lv26_퀘스트용 10배</v>
          </cell>
        </row>
        <row r="2662">
          <cell r="A2662">
            <v>22911017</v>
          </cell>
          <cell r="B2662" t="str">
            <v>#Lv27_퀘스트용 10배</v>
          </cell>
        </row>
        <row r="2663">
          <cell r="A2663">
            <v>22911018</v>
          </cell>
          <cell r="B2663" t="str">
            <v>#Lv28_퀘스트용 10배</v>
          </cell>
        </row>
        <row r="2664">
          <cell r="A2664">
            <v>22911019</v>
          </cell>
          <cell r="B2664" t="str">
            <v>#Lv29_퀘스트용 10배</v>
          </cell>
        </row>
        <row r="2665">
          <cell r="A2665">
            <v>22911020</v>
          </cell>
          <cell r="B2665" t="str">
            <v>#Lv30_퀘스트용 10배</v>
          </cell>
        </row>
        <row r="2666">
          <cell r="A2666">
            <v>22911021</v>
          </cell>
          <cell r="B2666" t="str">
            <v>#Lv31_퀘스트용 10배</v>
          </cell>
        </row>
        <row r="2667">
          <cell r="A2667">
            <v>22911022</v>
          </cell>
          <cell r="B2667" t="str">
            <v>#Lv32_퀘스트용 10배</v>
          </cell>
        </row>
        <row r="2668">
          <cell r="A2668">
            <v>22911023</v>
          </cell>
          <cell r="B2668" t="str">
            <v>#Lv33_퀘스트용 10배</v>
          </cell>
        </row>
        <row r="2669">
          <cell r="A2669">
            <v>22911024</v>
          </cell>
          <cell r="B2669" t="str">
            <v>#Lv34_퀘스트용 10배</v>
          </cell>
        </row>
        <row r="2670">
          <cell r="A2670">
            <v>22911025</v>
          </cell>
          <cell r="B2670" t="str">
            <v>#Lv35_퀘스트용 10배</v>
          </cell>
        </row>
        <row r="2671">
          <cell r="A2671">
            <v>22911026</v>
          </cell>
          <cell r="B2671" t="str">
            <v>#Lv36_퀘스트용 10배</v>
          </cell>
        </row>
        <row r="2672">
          <cell r="A2672">
            <v>22911027</v>
          </cell>
          <cell r="B2672" t="str">
            <v>#Lv37_퀘스트용 10배</v>
          </cell>
        </row>
        <row r="2673">
          <cell r="A2673">
            <v>22911028</v>
          </cell>
          <cell r="B2673" t="str">
            <v>#Lv38_퀘스트용 10배</v>
          </cell>
        </row>
        <row r="2674">
          <cell r="A2674">
            <v>22911029</v>
          </cell>
          <cell r="B2674" t="str">
            <v>#Lv39_퀘스트용 10배</v>
          </cell>
        </row>
        <row r="2675">
          <cell r="A2675">
            <v>22911030</v>
          </cell>
          <cell r="B2675" t="str">
            <v>#Lv40_퀘스트용 10배</v>
          </cell>
        </row>
        <row r="2676">
          <cell r="A2676">
            <v>22911031</v>
          </cell>
          <cell r="B2676" t="str">
            <v>#Lv41_퀘스트용 10배</v>
          </cell>
        </row>
        <row r="2677">
          <cell r="A2677">
            <v>22911032</v>
          </cell>
          <cell r="B2677" t="str">
            <v>#Lv42_퀘스트용 10배</v>
          </cell>
        </row>
        <row r="2678">
          <cell r="A2678">
            <v>22911033</v>
          </cell>
          <cell r="B2678" t="str">
            <v>#Lv43_퀘스트용 10배</v>
          </cell>
        </row>
        <row r="2679">
          <cell r="A2679">
            <v>22911034</v>
          </cell>
          <cell r="B2679" t="str">
            <v>#Lv44_퀘스트용 10배</v>
          </cell>
        </row>
        <row r="2680">
          <cell r="A2680">
            <v>22911035</v>
          </cell>
          <cell r="B2680" t="str">
            <v>#Lv45_퀘스트용 10배</v>
          </cell>
        </row>
        <row r="2681">
          <cell r="A2681">
            <v>22911036</v>
          </cell>
          <cell r="B2681" t="str">
            <v>#Lv46_퀘스트용 10배</v>
          </cell>
        </row>
        <row r="2682">
          <cell r="A2682">
            <v>22911037</v>
          </cell>
          <cell r="B2682" t="str">
            <v>#Lv47_퀘스트용 10배</v>
          </cell>
        </row>
        <row r="2683">
          <cell r="A2683">
            <v>22911038</v>
          </cell>
          <cell r="B2683" t="str">
            <v>#Lv48_퀘스트용 10배</v>
          </cell>
        </row>
        <row r="2684">
          <cell r="A2684">
            <v>22911039</v>
          </cell>
          <cell r="B2684" t="str">
            <v>#Lv49_퀘스트용 10배</v>
          </cell>
        </row>
        <row r="2685">
          <cell r="A2685">
            <v>22911040</v>
          </cell>
          <cell r="B2685" t="str">
            <v>#Lv50_퀘스트용 10배</v>
          </cell>
        </row>
        <row r="2686">
          <cell r="A2686">
            <v>22911041</v>
          </cell>
          <cell r="B2686" t="str">
            <v>#Lv51_퀘스트용 10배</v>
          </cell>
        </row>
        <row r="2687">
          <cell r="A2687">
            <v>22911042</v>
          </cell>
          <cell r="B2687" t="str">
            <v>#Lv52_퀘스트용 10배</v>
          </cell>
        </row>
        <row r="2688">
          <cell r="A2688">
            <v>22911043</v>
          </cell>
          <cell r="B2688" t="str">
            <v>#Lv53_퀘스트용 10배</v>
          </cell>
        </row>
        <row r="2689">
          <cell r="A2689">
            <v>22911044</v>
          </cell>
          <cell r="B2689" t="str">
            <v>#Lv54_퀘스트용 10배</v>
          </cell>
        </row>
        <row r="2690">
          <cell r="A2690">
            <v>22911045</v>
          </cell>
          <cell r="B2690" t="str">
            <v>#Lv55_퀘스트용 10배</v>
          </cell>
        </row>
        <row r="2691">
          <cell r="A2691">
            <v>22911046</v>
          </cell>
          <cell r="B2691" t="str">
            <v>#Lv56_퀘스트용 10배</v>
          </cell>
        </row>
        <row r="2692">
          <cell r="A2692">
            <v>22911047</v>
          </cell>
          <cell r="B2692" t="str">
            <v>#Lv57_퀘스트용 10배</v>
          </cell>
        </row>
        <row r="2693">
          <cell r="A2693">
            <v>22911048</v>
          </cell>
          <cell r="B2693" t="str">
            <v>#Lv58_퀘스트용 10배</v>
          </cell>
        </row>
        <row r="2694">
          <cell r="A2694">
            <v>22911049</v>
          </cell>
          <cell r="B2694" t="str">
            <v>#Lv59_퀘스트용 10배</v>
          </cell>
        </row>
        <row r="2695">
          <cell r="A2695">
            <v>22911050</v>
          </cell>
          <cell r="B2695" t="str">
            <v>#Lv60_퀘스트용 10배</v>
          </cell>
        </row>
        <row r="2696">
          <cell r="A2696">
            <v>22911051</v>
          </cell>
          <cell r="B2696" t="str">
            <v>#Lv61_퀘스트용 10배</v>
          </cell>
        </row>
        <row r="2697">
          <cell r="A2697">
            <v>22911052</v>
          </cell>
          <cell r="B2697" t="str">
            <v>#Lv62_퀘스트용 10배</v>
          </cell>
        </row>
        <row r="2698">
          <cell r="A2698">
            <v>22911053</v>
          </cell>
          <cell r="B2698" t="str">
            <v>#Lv63_퀘스트용 10배</v>
          </cell>
        </row>
        <row r="2699">
          <cell r="A2699">
            <v>22911054</v>
          </cell>
          <cell r="B2699" t="str">
            <v>#Lv64_퀘스트용 10배</v>
          </cell>
        </row>
        <row r="2700">
          <cell r="A2700">
            <v>22911055</v>
          </cell>
          <cell r="B2700" t="str">
            <v>#Lv65_퀘스트용 10배</v>
          </cell>
        </row>
        <row r="2701">
          <cell r="A2701">
            <v>22911056</v>
          </cell>
          <cell r="B2701" t="str">
            <v>#Lv66_퀘스트용 10배</v>
          </cell>
        </row>
        <row r="2702">
          <cell r="A2702">
            <v>22911057</v>
          </cell>
          <cell r="B2702" t="str">
            <v>#Lv67_퀘스트용 10배</v>
          </cell>
        </row>
        <row r="2703">
          <cell r="A2703">
            <v>22911058</v>
          </cell>
          <cell r="B2703" t="str">
            <v>#Lv68_퀘스트용 10배</v>
          </cell>
        </row>
        <row r="2704">
          <cell r="A2704">
            <v>22911059</v>
          </cell>
          <cell r="B2704" t="str">
            <v>#Lv69_퀘스트용 10배</v>
          </cell>
        </row>
        <row r="2705">
          <cell r="A2705">
            <v>22911060</v>
          </cell>
          <cell r="B2705" t="str">
            <v>#Lv70_퀘스트용 10배</v>
          </cell>
        </row>
        <row r="2706">
          <cell r="A2706">
            <v>22911061</v>
          </cell>
          <cell r="B2706" t="str">
            <v>#Lv71_퀘스트용 10배</v>
          </cell>
        </row>
        <row r="2707">
          <cell r="A2707">
            <v>22911062</v>
          </cell>
          <cell r="B2707" t="str">
            <v>#Lv72_퀘스트용 10배</v>
          </cell>
        </row>
        <row r="2708">
          <cell r="A2708">
            <v>22911063</v>
          </cell>
          <cell r="B2708" t="str">
            <v>#Lv73_퀘스트용 10배</v>
          </cell>
        </row>
        <row r="2709">
          <cell r="A2709">
            <v>22911064</v>
          </cell>
          <cell r="B2709" t="str">
            <v>#Lv74_퀘스트용 10배</v>
          </cell>
        </row>
        <row r="2710">
          <cell r="A2710">
            <v>22911065</v>
          </cell>
          <cell r="B2710" t="str">
            <v>#Lv75_퀘스트용 10배</v>
          </cell>
        </row>
        <row r="2711">
          <cell r="A2711">
            <v>22911066</v>
          </cell>
          <cell r="B2711" t="str">
            <v>#Lv76_퀘스트용 10배</v>
          </cell>
        </row>
        <row r="2712">
          <cell r="A2712">
            <v>22911067</v>
          </cell>
          <cell r="B2712" t="str">
            <v>#Lv77_퀘스트용 10배</v>
          </cell>
        </row>
        <row r="2713">
          <cell r="A2713">
            <v>22911068</v>
          </cell>
          <cell r="B2713" t="str">
            <v>#Lv78_퀘스트용 10배</v>
          </cell>
        </row>
        <row r="2714">
          <cell r="A2714">
            <v>22911069</v>
          </cell>
          <cell r="B2714" t="str">
            <v>#Lv79_퀘스트용 10배</v>
          </cell>
        </row>
        <row r="2715">
          <cell r="A2715">
            <v>22911070</v>
          </cell>
          <cell r="B2715" t="str">
            <v>#Lv80_퀘스트용 10배</v>
          </cell>
        </row>
        <row r="2716">
          <cell r="A2716">
            <v>22911071</v>
          </cell>
          <cell r="B2716" t="str">
            <v>#Lv81_퀘스트용 10배</v>
          </cell>
        </row>
        <row r="2717">
          <cell r="A2717">
            <v>22911072</v>
          </cell>
          <cell r="B2717" t="str">
            <v>#Lv82_퀘스트용 10배</v>
          </cell>
        </row>
        <row r="2718">
          <cell r="A2718">
            <v>22911073</v>
          </cell>
          <cell r="B2718" t="str">
            <v>#Lv83_퀘스트용 10배</v>
          </cell>
        </row>
        <row r="2719">
          <cell r="A2719">
            <v>22911074</v>
          </cell>
          <cell r="B2719" t="str">
            <v>#Lv84_퀘스트용 10배</v>
          </cell>
        </row>
        <row r="2720">
          <cell r="A2720">
            <v>22911075</v>
          </cell>
          <cell r="B2720" t="str">
            <v>#Lv85_퀘스트용 10배</v>
          </cell>
        </row>
        <row r="2721">
          <cell r="A2721">
            <v>22911076</v>
          </cell>
          <cell r="B2721" t="str">
            <v>#Lv86_퀘스트용 10배</v>
          </cell>
        </row>
        <row r="2722">
          <cell r="A2722">
            <v>22911077</v>
          </cell>
          <cell r="B2722" t="str">
            <v>#Lv87_퀘스트용 10배</v>
          </cell>
        </row>
        <row r="2723">
          <cell r="A2723">
            <v>22911078</v>
          </cell>
          <cell r="B2723" t="str">
            <v>#Lv88_퀘스트용 10배</v>
          </cell>
        </row>
        <row r="2724">
          <cell r="A2724">
            <v>22911079</v>
          </cell>
          <cell r="B2724" t="str">
            <v>#Lv89_퀘스트용 10배</v>
          </cell>
        </row>
        <row r="2725">
          <cell r="A2725">
            <v>22911080</v>
          </cell>
          <cell r="B2725" t="str">
            <v>#Lv90_퀘스트용 10배</v>
          </cell>
        </row>
        <row r="2726">
          <cell r="A2726">
            <v>22911081</v>
          </cell>
          <cell r="B2726" t="str">
            <v>#Lv91_퀘스트용 10배</v>
          </cell>
        </row>
        <row r="2727">
          <cell r="A2727">
            <v>22911082</v>
          </cell>
          <cell r="B2727" t="str">
            <v>#Lv92_퀘스트용 10배</v>
          </cell>
        </row>
        <row r="2728">
          <cell r="A2728">
            <v>22911083</v>
          </cell>
          <cell r="B2728" t="str">
            <v>#Lv93_퀘스트용 10배</v>
          </cell>
        </row>
        <row r="2729">
          <cell r="A2729">
            <v>22911084</v>
          </cell>
          <cell r="B2729" t="str">
            <v>#Lv94_퀘스트용 10배</v>
          </cell>
        </row>
        <row r="2730">
          <cell r="A2730">
            <v>22911085</v>
          </cell>
          <cell r="B2730" t="str">
            <v>#Lv95_퀘스트용 10배</v>
          </cell>
        </row>
        <row r="2731">
          <cell r="A2731">
            <v>22911086</v>
          </cell>
          <cell r="B2731" t="str">
            <v>#Lv96_퀘스트용 10배</v>
          </cell>
        </row>
        <row r="2732">
          <cell r="A2732">
            <v>22911087</v>
          </cell>
          <cell r="B2732" t="str">
            <v>#Lv97_퀘스트용 10배</v>
          </cell>
        </row>
        <row r="2733">
          <cell r="A2733">
            <v>22911088</v>
          </cell>
          <cell r="B2733" t="str">
            <v>#Lv98_퀘스트용 10배</v>
          </cell>
        </row>
        <row r="2734">
          <cell r="A2734">
            <v>22911089</v>
          </cell>
          <cell r="B2734" t="str">
            <v>#Lv99_퀘스트용 10배</v>
          </cell>
        </row>
        <row r="2735">
          <cell r="A2735">
            <v>22000001</v>
          </cell>
          <cell r="B2735" t="str">
            <v>##SS경갑샘플_몸1_남성용</v>
          </cell>
        </row>
        <row r="2736">
          <cell r="A2736">
            <v>22000002</v>
          </cell>
          <cell r="B2736" t="str">
            <v>##SS경갑샘플_모자1_남성용</v>
          </cell>
        </row>
        <row r="2737">
          <cell r="A2737">
            <v>22000003</v>
          </cell>
          <cell r="B2737" t="str">
            <v>##SS중갑샘플_몸1_남성용</v>
          </cell>
        </row>
        <row r="2738">
          <cell r="A2738">
            <v>22000004</v>
          </cell>
          <cell r="B2738" t="str">
            <v>##SS중갑샘플_모자1_남성용</v>
          </cell>
        </row>
        <row r="2739">
          <cell r="A2739">
            <v>22000005</v>
          </cell>
          <cell r="B2739" t="str">
            <v>##SS중갑샘플_몸2_남성용</v>
          </cell>
        </row>
        <row r="2740">
          <cell r="A2740">
            <v>22000006</v>
          </cell>
          <cell r="B2740" t="str">
            <v>##SS중갑샘플_모자2_남성용</v>
          </cell>
        </row>
        <row r="2741">
          <cell r="A2741">
            <v>22000007</v>
          </cell>
          <cell r="B2741" t="str">
            <v>##SS한손검_찌르기_공용</v>
          </cell>
        </row>
        <row r="2742">
          <cell r="A2742">
            <v>22000008</v>
          </cell>
          <cell r="B2742" t="str">
            <v>##SS한손검_베기_공용</v>
          </cell>
        </row>
        <row r="2743">
          <cell r="A2743">
            <v>22212025</v>
          </cell>
          <cell r="B2743" t="str">
            <v>##삭제 예정</v>
          </cell>
        </row>
        <row r="2744">
          <cell r="A2744">
            <v>22225004</v>
          </cell>
          <cell r="B2744" t="str">
            <v>착호갑사복_여성용</v>
          </cell>
        </row>
        <row r="2745">
          <cell r="A2745">
            <v>22225008</v>
          </cell>
          <cell r="B2745" t="str">
            <v>카르나의 카바치_여성용</v>
          </cell>
        </row>
        <row r="2746">
          <cell r="A2746">
            <v>22225016</v>
          </cell>
          <cell r="B2746" t="str">
            <v>라마 수카라의 케인_여성용</v>
          </cell>
        </row>
        <row r="2747">
          <cell r="A2747">
            <v>22225018</v>
          </cell>
          <cell r="B2747" t="str">
            <v>홀리 플레이트 아머_여성용</v>
          </cell>
        </row>
        <row r="2748">
          <cell r="A2748">
            <v>22225019</v>
          </cell>
          <cell r="B2748" t="str">
            <v>검은 수염의 코트_남성용</v>
          </cell>
        </row>
        <row r="2749">
          <cell r="A2749">
            <v>22225020</v>
          </cell>
          <cell r="B2749" t="str">
            <v>검은 수염의 코트_여성용</v>
          </cell>
        </row>
        <row r="2750">
          <cell r="A2750">
            <v>22225022</v>
          </cell>
          <cell r="B2750" t="str">
            <v>금의위복_여성용</v>
          </cell>
        </row>
        <row r="2751">
          <cell r="A2751">
            <v>22225024</v>
          </cell>
          <cell r="B2751" t="str">
            <v>마르크스의 뤼스퉁_여성용</v>
          </cell>
        </row>
        <row r="2752">
          <cell r="A2752">
            <v>22225026</v>
          </cell>
          <cell r="B2752" t="str">
            <v>성기사의 갑옷_여성용</v>
          </cell>
        </row>
        <row r="2753">
          <cell r="A2753">
            <v>22225028</v>
          </cell>
          <cell r="B2753" t="str">
            <v>인드라지트의 카파다_여성용</v>
          </cell>
        </row>
        <row r="2754">
          <cell r="A2754">
            <v>22225030</v>
          </cell>
          <cell r="B2754" t="str">
            <v>호플로마쿠스의 갑옷_여성용</v>
          </cell>
        </row>
        <row r="2755">
          <cell r="A2755">
            <v>22225032</v>
          </cell>
          <cell r="B2755" t="str">
            <v>하이레딘의 카프탄_여성용</v>
          </cell>
        </row>
        <row r="2756">
          <cell r="A2756">
            <v>22225034</v>
          </cell>
          <cell r="B2756" t="str">
            <v>엘 드라케 아머_여성용</v>
          </cell>
        </row>
        <row r="2757">
          <cell r="A2757">
            <v>22225036</v>
          </cell>
          <cell r="B2757" t="str">
            <v>보야르의 브라냐_여성용</v>
          </cell>
        </row>
        <row r="2758">
          <cell r="A2758">
            <v>22226002</v>
          </cell>
          <cell r="B2758" t="str">
            <v>나타라자의 카파다_여성용</v>
          </cell>
        </row>
        <row r="2759">
          <cell r="A2759">
            <v>22226004</v>
          </cell>
          <cell r="B2759" t="str">
            <v>아하디스의 카바치_여성용</v>
          </cell>
        </row>
        <row r="2760">
          <cell r="A2760">
            <v>22226006</v>
          </cell>
          <cell r="B2760" t="str">
            <v>우이칠린_여성용</v>
          </cell>
        </row>
        <row r="2761">
          <cell r="A2761">
            <v>22226008</v>
          </cell>
          <cell r="B2761" t="str">
            <v>페르디난트 2세의 아머_여성용</v>
          </cell>
        </row>
        <row r="2762">
          <cell r="A2762">
            <v>22226010</v>
          </cell>
          <cell r="B2762" t="str">
            <v>제육천마왕개_여성용</v>
          </cell>
        </row>
        <row r="2763">
          <cell r="A2763">
            <v>22226012</v>
          </cell>
          <cell r="B2763" t="str">
            <v>바쥬 라미나_여성용</v>
          </cell>
        </row>
        <row r="2764">
          <cell r="A2764">
            <v>22226016</v>
          </cell>
          <cell r="B2764" t="str">
            <v>라지푸트 카파다_여성용</v>
          </cell>
        </row>
        <row r="2765">
          <cell r="A2765">
            <v>22226018</v>
          </cell>
          <cell r="B2765" t="str">
            <v>롤랑의 아르뮈르_여성용</v>
          </cell>
        </row>
        <row r="2766">
          <cell r="A2766">
            <v>22226020</v>
          </cell>
          <cell r="B2766" t="str">
            <v>임페리얼 아머_여성용</v>
          </cell>
        </row>
        <row r="2767">
          <cell r="A2767">
            <v>22226024</v>
          </cell>
          <cell r="B2767" t="str">
            <v>모드레드의 아머_여성용</v>
          </cell>
        </row>
        <row r="2768">
          <cell r="A2768">
            <v>22226026</v>
          </cell>
          <cell r="B2768" t="str">
            <v>위가르_여성용</v>
          </cell>
        </row>
        <row r="2769">
          <cell r="A2769">
            <v>22226028</v>
          </cell>
          <cell r="B2769" t="str">
            <v>어우락 꾸언 아오_여성용</v>
          </cell>
        </row>
        <row r="2770">
          <cell r="A2770">
            <v>22226030</v>
          </cell>
          <cell r="B2770" t="str">
            <v>쿠 훌린의 아머_여성용</v>
          </cell>
        </row>
        <row r="2771">
          <cell r="A2771">
            <v>22226032</v>
          </cell>
          <cell r="B2771" t="str">
            <v>네로 디아볼로_여성용</v>
          </cell>
        </row>
        <row r="2772">
          <cell r="A2772">
            <v>22226036</v>
          </cell>
          <cell r="B2772" t="str">
            <v>야른삭사의 아머_여성용</v>
          </cell>
        </row>
        <row r="2773">
          <cell r="A2773">
            <v>22235002</v>
          </cell>
          <cell r="B2773" t="str">
            <v>융복 개갑_여성용</v>
          </cell>
        </row>
        <row r="2774">
          <cell r="A2774">
            <v>22235004</v>
          </cell>
          <cell r="B2774" t="str">
            <v>검호의 진우직_여성용</v>
          </cell>
        </row>
        <row r="2775">
          <cell r="A2775">
            <v>22235006</v>
          </cell>
          <cell r="B2775" t="str">
            <v>콘도티에로의 아르마투라_여성용</v>
          </cell>
        </row>
        <row r="2776">
          <cell r="A2776">
            <v>22235008</v>
          </cell>
          <cell r="B2776" t="str">
            <v>참회왕의 로브_여성용</v>
          </cell>
        </row>
        <row r="2777">
          <cell r="A2777">
            <v>22235012</v>
          </cell>
          <cell r="B2777" t="str">
            <v>베이릭의 히르카_여성용</v>
          </cell>
        </row>
        <row r="2778">
          <cell r="A2778">
            <v>22235014</v>
          </cell>
          <cell r="B2778" t="str">
            <v>후사르 돌먼_여성용</v>
          </cell>
        </row>
        <row r="2779">
          <cell r="A2779">
            <v>22235018</v>
          </cell>
          <cell r="B2779" t="str">
            <v>내금위장의 융복_여성용</v>
          </cell>
        </row>
        <row r="2780">
          <cell r="A2780">
            <v>22235020</v>
          </cell>
          <cell r="B2780" t="str">
            <v>아킬레우스의 갑옷_여성용</v>
          </cell>
        </row>
        <row r="2781">
          <cell r="A2781">
            <v>22235022</v>
          </cell>
          <cell r="B2781" t="str">
            <v>신기영장_여성용</v>
          </cell>
        </row>
        <row r="2782">
          <cell r="A2782">
            <v>22235024</v>
          </cell>
          <cell r="B2782" t="str">
            <v>틀링기트 아머_여성용</v>
          </cell>
        </row>
        <row r="2783">
          <cell r="A2783">
            <v>22235028</v>
          </cell>
          <cell r="B2783" t="str">
            <v>노블레스 아머_여성용</v>
          </cell>
        </row>
        <row r="2784">
          <cell r="A2784">
            <v>22235030</v>
          </cell>
          <cell r="B2784" t="str">
            <v>타키티무 아머_여성용</v>
          </cell>
        </row>
        <row r="2785">
          <cell r="A2785">
            <v>22235036</v>
          </cell>
          <cell r="B2785" t="str">
            <v>느치엔게의 능고_여성용</v>
          </cell>
        </row>
        <row r="2786">
          <cell r="A2786">
            <v>22235040</v>
          </cell>
          <cell r="B2786" t="str">
            <v>비장군의 위복_여성용</v>
          </cell>
        </row>
        <row r="2787">
          <cell r="A2787">
            <v>22235044</v>
          </cell>
          <cell r="B2787" t="str">
            <v>로빈 후드의 튜닉_여성용</v>
          </cell>
        </row>
        <row r="2788">
          <cell r="A2788">
            <v>22236002</v>
          </cell>
          <cell r="B2788" t="str">
            <v>오군의 이하모라_여성용</v>
          </cell>
        </row>
        <row r="2789">
          <cell r="A2789">
            <v>22236004</v>
          </cell>
          <cell r="B2789" t="str">
            <v>닌귀시지다의 로브_여성용</v>
          </cell>
        </row>
        <row r="2790">
          <cell r="A2790">
            <v>22236006</v>
          </cell>
          <cell r="B2790" t="str">
            <v>레오나르도의 아머_여성용</v>
          </cell>
        </row>
        <row r="2791">
          <cell r="A2791">
            <v>22236008</v>
          </cell>
          <cell r="B2791" t="str">
            <v>라술룰라 주바_여성용</v>
          </cell>
        </row>
        <row r="2792">
          <cell r="A2792">
            <v>22236010</v>
          </cell>
          <cell r="B2792" t="str">
            <v>두석린갑1_여성용</v>
          </cell>
        </row>
        <row r="2793">
          <cell r="A2793">
            <v>22236012</v>
          </cell>
          <cell r="B2793" t="str">
            <v>마레샬 베스트_여성용</v>
          </cell>
        </row>
        <row r="2794">
          <cell r="A2794">
            <v>22236014</v>
          </cell>
          <cell r="B2794" t="str">
            <v>니자므 제디드의 자마_여성용</v>
          </cell>
        </row>
        <row r="2795">
          <cell r="A2795">
            <v>22236016</v>
          </cell>
          <cell r="B2795" t="str">
            <v>대월 황제의 용포_여성용</v>
          </cell>
        </row>
        <row r="2796">
          <cell r="A2796">
            <v>22236020</v>
          </cell>
          <cell r="B2796" t="str">
            <v>데르비쇼 바가라 아머_여성용</v>
          </cell>
        </row>
        <row r="2797">
          <cell r="A2797">
            <v>22236022</v>
          </cell>
          <cell r="B2797" t="str">
            <v>드라군 아머_여성용</v>
          </cell>
        </row>
        <row r="2798">
          <cell r="A2798">
            <v>22236024</v>
          </cell>
          <cell r="B2798" t="str">
            <v>카라키아 타투아 코타라_여성용</v>
          </cell>
        </row>
        <row r="2799">
          <cell r="A2799">
            <v>22236026</v>
          </cell>
          <cell r="B2799" t="str">
            <v>인티 야콜라_여성용</v>
          </cell>
        </row>
        <row r="2800">
          <cell r="A2800">
            <v>22236028</v>
          </cell>
          <cell r="B2800" t="str">
            <v>비라코챠의 아머_여성용</v>
          </cell>
        </row>
        <row r="2801">
          <cell r="A2801">
            <v>22236030</v>
          </cell>
          <cell r="B2801" t="str">
            <v>파라오의 아머_여성용</v>
          </cell>
        </row>
        <row r="2802">
          <cell r="A2802">
            <v>22236034</v>
          </cell>
          <cell r="B2802" t="str">
            <v>군신의 갑옷_여성용</v>
          </cell>
        </row>
        <row r="2803">
          <cell r="A2803">
            <v>22236036</v>
          </cell>
          <cell r="B2803" t="str">
            <v>팔괘자수선의_여성용</v>
          </cell>
        </row>
        <row r="2804">
          <cell r="A2804">
            <v>22236038</v>
          </cell>
          <cell r="B2804" t="str">
            <v>에인헤리 아머_여성용</v>
          </cell>
        </row>
        <row r="2805">
          <cell r="A2805">
            <v>22236040</v>
          </cell>
          <cell r="B2805" t="str">
            <v>예모자의 이하모라_여성용</v>
          </cell>
        </row>
        <row r="2806">
          <cell r="A2806">
            <v>22236044</v>
          </cell>
          <cell r="B2806" t="str">
            <v>히르카이 세리프_여성용</v>
          </cell>
        </row>
        <row r="2807">
          <cell r="A2807">
            <v>22245002</v>
          </cell>
          <cell r="B2807" t="str">
            <v>욤스바이킹 아머_여성용</v>
          </cell>
        </row>
        <row r="2808">
          <cell r="A2808">
            <v>22245004</v>
          </cell>
          <cell r="B2808" t="str">
            <v>엘레멘탈 로브_여성용</v>
          </cell>
        </row>
        <row r="2809">
          <cell r="A2809">
            <v>22245006</v>
          </cell>
          <cell r="B2809" t="str">
            <v>금상화호복_여성용</v>
          </cell>
        </row>
        <row r="2810">
          <cell r="A2810">
            <v>22245008</v>
          </cell>
          <cell r="B2810" t="str">
            <v>로얄 플레이트 아머_여성용</v>
          </cell>
        </row>
        <row r="2811">
          <cell r="A2811">
            <v>22245012</v>
          </cell>
          <cell r="B2811" t="str">
            <v>황금산문갑_여성용</v>
          </cell>
        </row>
        <row r="2812">
          <cell r="A2812">
            <v>22245016</v>
          </cell>
          <cell r="B2812" t="str">
            <v>바르바로사의 히르카_여성용</v>
          </cell>
        </row>
        <row r="2813">
          <cell r="A2813">
            <v>22245018</v>
          </cell>
          <cell r="B2813" t="str">
            <v>무흐테솀 체베_여성용</v>
          </cell>
        </row>
        <row r="2814">
          <cell r="A2814">
            <v>22245020</v>
          </cell>
          <cell r="B2814" t="str">
            <v>리노토락스_여성용</v>
          </cell>
        </row>
        <row r="2815">
          <cell r="A2815">
            <v>22245022</v>
          </cell>
          <cell r="B2815" t="str">
            <v>파우와 튜닉_여성용</v>
          </cell>
        </row>
        <row r="2816">
          <cell r="A2816">
            <v>22245024</v>
          </cell>
          <cell r="B2816" t="str">
            <v>사쐬르 아르뮈르_여성용</v>
          </cell>
        </row>
        <row r="2817">
          <cell r="A2817">
            <v>22245028</v>
          </cell>
          <cell r="B2817" t="str">
            <v>무법자의 코트_여성용</v>
          </cell>
        </row>
        <row r="2818">
          <cell r="A2818">
            <v>22245034</v>
          </cell>
          <cell r="B2818" t="str">
            <v>이마지겐족의 질라바_여성용</v>
          </cell>
        </row>
        <row r="2819">
          <cell r="A2819">
            <v>22246002</v>
          </cell>
          <cell r="B2819" t="str">
            <v>가루다 카바치_여성용</v>
          </cell>
        </row>
        <row r="2820">
          <cell r="A2820">
            <v>22246004</v>
          </cell>
          <cell r="B2820" t="str">
            <v>옥산진인 보의_여성용</v>
          </cell>
        </row>
        <row r="2821">
          <cell r="A2821">
            <v>22246006</v>
          </cell>
          <cell r="B2821" t="str">
            <v>팔지오 낭인복_여성용</v>
          </cell>
        </row>
        <row r="2822">
          <cell r="A2822">
            <v>22246008</v>
          </cell>
          <cell r="B2822" t="str">
            <v>미다스의 파노피아_여성용</v>
          </cell>
        </row>
        <row r="2823">
          <cell r="A2823">
            <v>22246010</v>
          </cell>
          <cell r="B2823" t="str">
            <v>라바나의 카바치_여성용</v>
          </cell>
        </row>
        <row r="2824">
          <cell r="A2824">
            <v>22246012</v>
          </cell>
          <cell r="B2824" t="str">
            <v>살라딘의 즈르흐_여성용</v>
          </cell>
        </row>
        <row r="2825">
          <cell r="A2825">
            <v>22246014</v>
          </cell>
          <cell r="B2825" t="str">
            <v>쿠나슨 파투그_여성용</v>
          </cell>
        </row>
        <row r="2826">
          <cell r="A2826">
            <v>22246016</v>
          </cell>
          <cell r="B2826" t="str">
            <v>라마찬드라의 카바치_여성용</v>
          </cell>
        </row>
        <row r="2827">
          <cell r="A2827">
            <v>22246018</v>
          </cell>
          <cell r="B2827" t="str">
            <v>아머 오브 레갈리아_여성용</v>
          </cell>
        </row>
        <row r="2828">
          <cell r="A2828">
            <v>22246022</v>
          </cell>
          <cell r="B2828" t="str">
            <v>바루나의 카파다_여성용</v>
          </cell>
        </row>
        <row r="2829">
          <cell r="A2829">
            <v>22246024</v>
          </cell>
          <cell r="B2829" t="str">
            <v>게오르기우스의 아머_여성용</v>
          </cell>
        </row>
        <row r="2830">
          <cell r="A2830">
            <v>22246026</v>
          </cell>
          <cell r="B2830" t="str">
            <v>나바카이의 아머_여성용</v>
          </cell>
        </row>
        <row r="2831">
          <cell r="A2831">
            <v>22246030</v>
          </cell>
          <cell r="B2831" t="str">
            <v>자비단의 제레_여성용</v>
          </cell>
        </row>
        <row r="2832">
          <cell r="A2832">
            <v>22246032</v>
          </cell>
          <cell r="B2832" t="str">
            <v>바쿠나와 뗄라_여성용</v>
          </cell>
        </row>
        <row r="2833">
          <cell r="A2833">
            <v>22246034</v>
          </cell>
          <cell r="B2833" t="str">
            <v>포세이돈의 아머_여성용</v>
          </cell>
        </row>
        <row r="2834">
          <cell r="A2834">
            <v>22325002</v>
          </cell>
          <cell r="B2834" t="str">
            <v>망령 제독의 트라이콘_여성용</v>
          </cell>
        </row>
        <row r="2835">
          <cell r="A2835">
            <v>22325004</v>
          </cell>
          <cell r="B2835" t="str">
            <v>갑사죽립_여성용</v>
          </cell>
        </row>
        <row r="2836">
          <cell r="A2836">
            <v>22325008</v>
          </cell>
          <cell r="B2836" t="str">
            <v>카르나의 쉬르스트란_여성용</v>
          </cell>
        </row>
        <row r="2837">
          <cell r="A2837">
            <v>22325012</v>
          </cell>
          <cell r="B2837" t="str">
            <v>베어스킨_여성용</v>
          </cell>
        </row>
        <row r="2838">
          <cell r="A2838">
            <v>22325014</v>
          </cell>
          <cell r="B2838" t="str">
            <v>몬테라_여성용</v>
          </cell>
        </row>
        <row r="2839">
          <cell r="A2839">
            <v>22325016</v>
          </cell>
          <cell r="B2839" t="str">
            <v>라마 수카라의 토미_여성용</v>
          </cell>
        </row>
        <row r="2840">
          <cell r="A2840">
            <v>22325018</v>
          </cell>
          <cell r="B2840" t="str">
            <v>홀리 플레이트 헬름_여성용</v>
          </cell>
        </row>
        <row r="2841">
          <cell r="A2841">
            <v>22325020</v>
          </cell>
          <cell r="B2841" t="str">
            <v>검은 수염의 트라이콘_여성용</v>
          </cell>
        </row>
        <row r="2842">
          <cell r="A2842">
            <v>22325022</v>
          </cell>
          <cell r="B2842" t="str">
            <v>금의사모_여성용</v>
          </cell>
        </row>
        <row r="2843">
          <cell r="A2843">
            <v>22325024</v>
          </cell>
          <cell r="B2843" t="str">
            <v>마르크스브뤼더의 후트_여성용</v>
          </cell>
        </row>
        <row r="2844">
          <cell r="A2844">
            <v>22325026</v>
          </cell>
          <cell r="B2844" t="str">
            <v>성기사의 투구_여성용</v>
          </cell>
        </row>
        <row r="2845">
          <cell r="A2845">
            <v>22325028</v>
          </cell>
          <cell r="B2845" t="str">
            <v>인드라지트의 반다나_여성용</v>
          </cell>
        </row>
        <row r="2846">
          <cell r="A2846">
            <v>22325030</v>
          </cell>
          <cell r="B2846" t="str">
            <v>레타리우스의 헬름_여성용</v>
          </cell>
        </row>
        <row r="2847">
          <cell r="A2847">
            <v>22325032</v>
          </cell>
          <cell r="B2847" t="str">
            <v>하이레딘의 카바치_여성용</v>
          </cell>
        </row>
        <row r="2848">
          <cell r="A2848">
            <v>22325034</v>
          </cell>
          <cell r="B2848" t="str">
            <v>엘 드라케 헬름_여성용</v>
          </cell>
        </row>
        <row r="2849">
          <cell r="A2849">
            <v>22325036</v>
          </cell>
          <cell r="B2849" t="str">
            <v>보야르의 실렘_여성용</v>
          </cell>
        </row>
        <row r="2850">
          <cell r="A2850">
            <v>22326002</v>
          </cell>
          <cell r="B2850" t="str">
            <v>나타라자의 만달라_여성용</v>
          </cell>
        </row>
        <row r="2851">
          <cell r="A2851">
            <v>22326004</v>
          </cell>
          <cell r="B2851" t="str">
            <v>아하디스의 쉬르스트란_여성용</v>
          </cell>
        </row>
        <row r="2852">
          <cell r="A2852">
            <v>22326006</v>
          </cell>
          <cell r="B2852" t="str">
            <v>우이칠린 콰칼라래틀리_여성용</v>
          </cell>
        </row>
        <row r="2853">
          <cell r="A2853">
            <v>22326008</v>
          </cell>
          <cell r="B2853" t="str">
            <v>페르디난트 2세의 아멧_여성용</v>
          </cell>
        </row>
        <row r="2854">
          <cell r="A2854">
            <v>22326010</v>
          </cell>
          <cell r="B2854" t="str">
            <v>제육천마왕두_여성용</v>
          </cell>
        </row>
        <row r="2855">
          <cell r="A2855">
            <v>22326012</v>
          </cell>
          <cell r="B2855" t="str">
            <v>토피 바자_여성용</v>
          </cell>
        </row>
        <row r="2856">
          <cell r="A2856">
            <v>22326014</v>
          </cell>
          <cell r="B2856" t="str">
            <v>벨레스의 디아데마_여성용</v>
          </cell>
        </row>
        <row r="2857">
          <cell r="A2857">
            <v>22326016</v>
          </cell>
          <cell r="B2857" t="str">
            <v>라지푸트 파그리_여성용</v>
          </cell>
        </row>
        <row r="2858">
          <cell r="A2858">
            <v>22326018</v>
          </cell>
          <cell r="B2858" t="str">
            <v>롤랑의 카스크_여성용</v>
          </cell>
        </row>
        <row r="2859">
          <cell r="A2859">
            <v>22326020</v>
          </cell>
          <cell r="B2859" t="str">
            <v>임페리얼 헬름_여성용</v>
          </cell>
        </row>
        <row r="2860">
          <cell r="A2860">
            <v>22326024</v>
          </cell>
          <cell r="B2860" t="str">
            <v>모드레드의 헬름_여성용</v>
          </cell>
        </row>
        <row r="2861">
          <cell r="A2861">
            <v>22326026</v>
          </cell>
          <cell r="B2861" t="str">
            <v>골든 드래곤 헬름_여성용</v>
          </cell>
        </row>
        <row r="2862">
          <cell r="A2862">
            <v>22326028</v>
          </cell>
          <cell r="B2862" t="str">
            <v>어우락 몽꾹_여성용</v>
          </cell>
        </row>
        <row r="2863">
          <cell r="A2863">
            <v>22326030</v>
          </cell>
          <cell r="B2863" t="str">
            <v>쿠 훌린의 헬름_여성용</v>
          </cell>
        </row>
        <row r="2864">
          <cell r="A2864">
            <v>22326032</v>
          </cell>
          <cell r="B2864" t="str">
            <v>코르노 델디아볼로_여성용</v>
          </cell>
        </row>
        <row r="2865">
          <cell r="A2865">
            <v>22326034</v>
          </cell>
          <cell r="B2865" t="str">
            <v>네메안 라이언_여성용</v>
          </cell>
        </row>
        <row r="2866">
          <cell r="A2866">
            <v>22326036</v>
          </cell>
          <cell r="B2866" t="str">
            <v>야른삭사의 헬름_여성용</v>
          </cell>
        </row>
        <row r="2867">
          <cell r="A2867">
            <v>22335002</v>
          </cell>
          <cell r="B2867" t="str">
            <v>융복복건_여성용</v>
          </cell>
        </row>
        <row r="2868">
          <cell r="A2868">
            <v>22335004</v>
          </cell>
          <cell r="B2868" t="str">
            <v>검호의 심편립_여성용</v>
          </cell>
        </row>
        <row r="2869">
          <cell r="A2869">
            <v>22335006</v>
          </cell>
          <cell r="B2869" t="str">
            <v>콘도티에로의 엘모_여성용</v>
          </cell>
        </row>
        <row r="2870">
          <cell r="A2870">
            <v>22335008</v>
          </cell>
          <cell r="B2870" t="str">
            <v>참회왕의 크라운_여성용</v>
          </cell>
        </row>
        <row r="2871">
          <cell r="A2871">
            <v>22335012</v>
          </cell>
          <cell r="B2871" t="str">
            <v>베이릭의 보크_여성용</v>
          </cell>
        </row>
        <row r="2872">
          <cell r="A2872">
            <v>22335014</v>
          </cell>
          <cell r="B2872" t="str">
            <v>후사르의 샤코_여성용</v>
          </cell>
        </row>
        <row r="2873">
          <cell r="A2873">
            <v>22335016</v>
          </cell>
          <cell r="B2873" t="str">
            <v>바니르 서클릿_여성용</v>
          </cell>
        </row>
        <row r="2874">
          <cell r="A2874">
            <v>22335018</v>
          </cell>
          <cell r="B2874" t="str">
            <v>내금위장의 주립_여성용</v>
          </cell>
        </row>
        <row r="2875">
          <cell r="A2875">
            <v>22335020</v>
          </cell>
          <cell r="B2875" t="str">
            <v>아킬레우스의 투구_여성용</v>
          </cell>
        </row>
        <row r="2876">
          <cell r="A2876">
            <v>22335022</v>
          </cell>
          <cell r="B2876" t="str">
            <v>신기영철모_여성용</v>
          </cell>
        </row>
        <row r="2877">
          <cell r="A2877">
            <v>22335024</v>
          </cell>
          <cell r="B2877" t="str">
            <v>틀링기트 헬름_여성용</v>
          </cell>
        </row>
        <row r="2878">
          <cell r="A2878">
            <v>22335026</v>
          </cell>
          <cell r="B2878" t="str">
            <v>난발두_여성용</v>
          </cell>
        </row>
        <row r="2879">
          <cell r="A2879">
            <v>22335028</v>
          </cell>
          <cell r="B2879" t="str">
            <v>노블레스 헬름_여성용</v>
          </cell>
        </row>
        <row r="2880">
          <cell r="A2880">
            <v>22335030</v>
          </cell>
          <cell r="B2880" t="str">
            <v>타키티무 마스크_여성용</v>
          </cell>
        </row>
        <row r="2881">
          <cell r="A2881">
            <v>22335034</v>
          </cell>
          <cell r="B2881" t="str">
            <v>봉황문두무_여성용</v>
          </cell>
        </row>
        <row r="2882">
          <cell r="A2882">
            <v>22335036</v>
          </cell>
          <cell r="B2882" t="str">
            <v>음봄보의 선물_여성용</v>
          </cell>
        </row>
        <row r="2883">
          <cell r="A2883">
            <v>22335040</v>
          </cell>
          <cell r="B2883" t="str">
            <v>비장군의 결건_여성용</v>
          </cell>
        </row>
        <row r="2884">
          <cell r="A2884">
            <v>22336002</v>
          </cell>
          <cell r="B2884" t="str">
            <v>오군의 이보리_여성용</v>
          </cell>
        </row>
        <row r="2885">
          <cell r="A2885">
            <v>22336004</v>
          </cell>
          <cell r="B2885" t="str">
            <v>아시리아 미트라_여성용</v>
          </cell>
        </row>
        <row r="2886">
          <cell r="A2886">
            <v>22336006</v>
          </cell>
          <cell r="B2886" t="str">
            <v>레오나르도의 헬름_여성용</v>
          </cell>
        </row>
        <row r="2887">
          <cell r="A2887">
            <v>22336008</v>
          </cell>
          <cell r="B2887" t="str">
            <v>라술룰라의 터번_여성용</v>
          </cell>
        </row>
        <row r="2888">
          <cell r="A2888">
            <v>22336010</v>
          </cell>
          <cell r="B2888" t="str">
            <v>용봉문투구_여성용</v>
          </cell>
        </row>
        <row r="2889">
          <cell r="A2889">
            <v>22336012</v>
          </cell>
          <cell r="B2889" t="str">
            <v>마레샬의 바이콘_여성용</v>
          </cell>
        </row>
        <row r="2890">
          <cell r="A2890">
            <v>22336014</v>
          </cell>
          <cell r="B2890" t="str">
            <v>니자므 제디드의 터번_여성용</v>
          </cell>
        </row>
        <row r="2891">
          <cell r="A2891">
            <v>22336016</v>
          </cell>
          <cell r="B2891" t="str">
            <v>대월 황제의 익선관_여성용</v>
          </cell>
        </row>
        <row r="2892">
          <cell r="A2892">
            <v>22336020</v>
          </cell>
          <cell r="B2892" t="str">
            <v>데르비쇼 바가라 쿠우다_여성용</v>
          </cell>
        </row>
        <row r="2893">
          <cell r="A2893">
            <v>22336022</v>
          </cell>
          <cell r="B2893" t="str">
            <v>드라군 헬멧_여성용</v>
          </cell>
        </row>
        <row r="2894">
          <cell r="A2894">
            <v>22336024</v>
          </cell>
          <cell r="B2894" t="str">
            <v>카라키아 포타에_여성용</v>
          </cell>
        </row>
        <row r="2895">
          <cell r="A2895">
            <v>22336026</v>
          </cell>
          <cell r="B2895" t="str">
            <v>인티 라우투_여성용</v>
          </cell>
        </row>
        <row r="2896">
          <cell r="A2896">
            <v>22336028</v>
          </cell>
          <cell r="B2896" t="str">
            <v>비라코챠의 추쿠_여성용</v>
          </cell>
        </row>
        <row r="2897">
          <cell r="A2897">
            <v>22336030</v>
          </cell>
          <cell r="B2897" t="str">
            <v>투탕카멘의 마스크_여성용</v>
          </cell>
        </row>
        <row r="2898">
          <cell r="A2898">
            <v>22336032</v>
          </cell>
          <cell r="B2898" t="str">
            <v>데가나위다의 구스토웨_여성용</v>
          </cell>
        </row>
        <row r="2899">
          <cell r="A2899">
            <v>22336034</v>
          </cell>
          <cell r="B2899" t="str">
            <v>군신두무_여성용</v>
          </cell>
        </row>
        <row r="2900">
          <cell r="A2900">
            <v>22336036</v>
          </cell>
          <cell r="B2900" t="str">
            <v>팔괘자수선건_여성용</v>
          </cell>
        </row>
        <row r="2901">
          <cell r="A2901">
            <v>22336040</v>
          </cell>
          <cell r="B2901" t="str">
            <v>예모자의 이데리_여성용</v>
          </cell>
        </row>
        <row r="2902">
          <cell r="A2902">
            <v>22336044</v>
          </cell>
          <cell r="B2902" t="str">
            <v>시아 터번_여성용</v>
          </cell>
        </row>
        <row r="2903">
          <cell r="A2903">
            <v>22344044</v>
          </cell>
          <cell r="B2903" t="str">
            <v>로빈 후드의 바이코켓_여성용</v>
          </cell>
        </row>
        <row r="2904">
          <cell r="A2904">
            <v>22345002</v>
          </cell>
          <cell r="B2904" t="str">
            <v>욤스바이킹 헬름_여성용</v>
          </cell>
        </row>
        <row r="2905">
          <cell r="A2905">
            <v>22345004</v>
          </cell>
          <cell r="B2905" t="str">
            <v>엘리멘탈 후드_여성용</v>
          </cell>
        </row>
        <row r="2906">
          <cell r="A2906">
            <v>22345006</v>
          </cell>
          <cell r="B2906" t="str">
            <v>금상화복건_여성용</v>
          </cell>
        </row>
        <row r="2907">
          <cell r="A2907">
            <v>22345008</v>
          </cell>
          <cell r="B2907" t="str">
            <v>로얄 플레이트 헬름_여성용</v>
          </cell>
        </row>
        <row r="2908">
          <cell r="A2908">
            <v>22345012</v>
          </cell>
          <cell r="B2908" t="str">
            <v>조조의 금관_여성용</v>
          </cell>
        </row>
        <row r="2909">
          <cell r="A2909">
            <v>22345016</v>
          </cell>
          <cell r="B2909" t="str">
            <v>바르바로사의 터번_여성용</v>
          </cell>
        </row>
        <row r="2910">
          <cell r="A2910">
            <v>22345018</v>
          </cell>
          <cell r="B2910" t="str">
            <v>무흐테솀 터번_여성용</v>
          </cell>
        </row>
        <row r="2911">
          <cell r="A2911">
            <v>22345020</v>
          </cell>
          <cell r="B2911" t="str">
            <v>로럴 리스_여성용</v>
          </cell>
        </row>
        <row r="2912">
          <cell r="A2912">
            <v>22345022</v>
          </cell>
          <cell r="B2912" t="str">
            <v>워 보닛_여성용</v>
          </cell>
        </row>
        <row r="2913">
          <cell r="A2913">
            <v>22345024</v>
          </cell>
          <cell r="B2913" t="str">
            <v>시쐬르 카스크_여성용</v>
          </cell>
        </row>
        <row r="2914">
          <cell r="A2914">
            <v>22345026</v>
          </cell>
          <cell r="B2914" t="str">
            <v>키리바시 헬름_여성용</v>
          </cell>
        </row>
        <row r="2915">
          <cell r="A2915">
            <v>22345028</v>
          </cell>
          <cell r="B2915" t="str">
            <v>해적 선장의 바이콘_여성용</v>
          </cell>
        </row>
        <row r="2916">
          <cell r="A2916">
            <v>22345030</v>
          </cell>
          <cell r="B2916" t="str">
            <v>우마 추쿠_여성용</v>
          </cell>
        </row>
        <row r="2917">
          <cell r="A2917">
            <v>22345034</v>
          </cell>
          <cell r="B2917" t="str">
            <v>이마지겐족의 알라쇼_여성용</v>
          </cell>
        </row>
        <row r="2918">
          <cell r="A2918">
            <v>22345036</v>
          </cell>
          <cell r="B2918" t="str">
            <v>파디샤의 터번_여성용</v>
          </cell>
        </row>
        <row r="2919">
          <cell r="A2919">
            <v>22346002</v>
          </cell>
          <cell r="B2919" t="str">
            <v>가루다 톱_여성용</v>
          </cell>
        </row>
        <row r="2920">
          <cell r="A2920">
            <v>22346004</v>
          </cell>
          <cell r="B2920" t="str">
            <v>옥산진인 법보_여성용</v>
          </cell>
        </row>
        <row r="2921">
          <cell r="A2921">
            <v>22346006</v>
          </cell>
          <cell r="B2921" t="str">
            <v>야타가라스 일문자립_여성용</v>
          </cell>
        </row>
        <row r="2922">
          <cell r="A2922">
            <v>22346008</v>
          </cell>
          <cell r="B2922" t="str">
            <v>미다스왕의 크라노스_여성용</v>
          </cell>
        </row>
        <row r="2923">
          <cell r="A2923">
            <v>22346010</v>
          </cell>
          <cell r="B2923" t="str">
            <v>라바나 무쿼다_여성용</v>
          </cell>
        </row>
        <row r="2924">
          <cell r="A2924">
            <v>22346012</v>
          </cell>
          <cell r="B2924" t="str">
            <v>살라딘의 터번 카스크_여성용</v>
          </cell>
        </row>
        <row r="2925">
          <cell r="A2925">
            <v>22346014</v>
          </cell>
          <cell r="B2925" t="str">
            <v>쿠나슨 퀴나온_여성용</v>
          </cell>
        </row>
        <row r="2926">
          <cell r="A2926">
            <v>22346016</v>
          </cell>
          <cell r="B2926" t="str">
            <v>라마찬드라의 타즈_여성용</v>
          </cell>
        </row>
        <row r="2927">
          <cell r="A2927">
            <v>22346018</v>
          </cell>
          <cell r="B2927" t="str">
            <v>크라운 오브 레갈리아_여성용</v>
          </cell>
        </row>
        <row r="2928">
          <cell r="A2928">
            <v>22346022</v>
          </cell>
          <cell r="B2928" t="str">
            <v>바루나의 타즈_여성용</v>
          </cell>
        </row>
        <row r="2929">
          <cell r="A2929">
            <v>22346024</v>
          </cell>
          <cell r="B2929" t="str">
            <v>게오르기우스의 헬름_여성용</v>
          </cell>
        </row>
        <row r="2930">
          <cell r="A2930">
            <v>22346026</v>
          </cell>
          <cell r="B2930" t="str">
            <v>나바카이 헬름_여성용</v>
          </cell>
        </row>
        <row r="2931">
          <cell r="A2931">
            <v>22346028</v>
          </cell>
          <cell r="B2931" t="str">
            <v>아라미스의 샤포_여성용</v>
          </cell>
        </row>
        <row r="2932">
          <cell r="A2932">
            <v>22346030</v>
          </cell>
          <cell r="B2932" t="str">
            <v>자비단의 쿨라 쿠드_여성용</v>
          </cell>
        </row>
        <row r="2933">
          <cell r="A2933">
            <v>22346032</v>
          </cell>
          <cell r="B2933" t="str">
            <v>바쿠나와 무카_여성용</v>
          </cell>
        </row>
        <row r="2934">
          <cell r="A2934">
            <v>22346034</v>
          </cell>
          <cell r="B2934" t="str">
            <v>포세이돈의 크라운_여성용</v>
          </cell>
        </row>
        <row r="2935">
          <cell r="A2935">
            <v>22346036</v>
          </cell>
          <cell r="B2935" t="str">
            <v>메두사의 벨로_여성용</v>
          </cell>
        </row>
        <row r="2936">
          <cell r="A2936">
            <v>22353005</v>
          </cell>
          <cell r="B2936" t="str">
            <v>왕수신의 모자</v>
          </cell>
        </row>
        <row r="2937">
          <cell r="A2937">
            <v>22800001</v>
          </cell>
          <cell r="B2937" t="str">
            <v>#조안의 류트_공용</v>
          </cell>
        </row>
        <row r="2938">
          <cell r="A2938">
            <v>22299001</v>
          </cell>
          <cell r="B2938" t="str">
            <v>30티어 무기_포격</v>
          </cell>
        </row>
        <row r="2939">
          <cell r="A2939">
            <v>22299002</v>
          </cell>
          <cell r="B2939" t="str">
            <v>30티어 몸_포격</v>
          </cell>
        </row>
        <row r="2940">
          <cell r="A2940">
            <v>22299003</v>
          </cell>
          <cell r="B2940" t="str">
            <v>30티어 머리_포격</v>
          </cell>
        </row>
        <row r="2941">
          <cell r="A2941">
            <v>22299004</v>
          </cell>
          <cell r="B2941" t="str">
            <v>30티어 장신구_포격_0</v>
          </cell>
        </row>
        <row r="2942">
          <cell r="A2942">
            <v>22299005</v>
          </cell>
          <cell r="B2942" t="str">
            <v>30티어 무기_백병</v>
          </cell>
        </row>
        <row r="2943">
          <cell r="A2943">
            <v>22299006</v>
          </cell>
          <cell r="B2943" t="str">
            <v>30티어 몸_백병</v>
          </cell>
        </row>
        <row r="2944">
          <cell r="A2944">
            <v>22299007</v>
          </cell>
          <cell r="B2944" t="str">
            <v>30티어 머리_백병</v>
          </cell>
        </row>
        <row r="2945">
          <cell r="A2945">
            <v>22299008</v>
          </cell>
          <cell r="B2945" t="str">
            <v>30티어 장신구_백병_0</v>
          </cell>
        </row>
        <row r="2946">
          <cell r="A2946">
            <v>22299009</v>
          </cell>
          <cell r="B2946" t="str">
            <v>30티어 무기_충파</v>
          </cell>
        </row>
        <row r="2947">
          <cell r="A2947">
            <v>22299010</v>
          </cell>
          <cell r="B2947" t="str">
            <v>30티어 몸_충파</v>
          </cell>
        </row>
        <row r="2948">
          <cell r="A2948">
            <v>22299011</v>
          </cell>
          <cell r="B2948" t="str">
            <v>30티어 머리_충파</v>
          </cell>
        </row>
        <row r="2949">
          <cell r="A2949">
            <v>22299012</v>
          </cell>
          <cell r="B2949" t="str">
            <v>30티어 장신구_충파_0</v>
          </cell>
        </row>
        <row r="2950">
          <cell r="A2950">
            <v>22299013</v>
          </cell>
          <cell r="B2950" t="str">
            <v>25티어 무기_포격</v>
          </cell>
        </row>
        <row r="2951">
          <cell r="A2951">
            <v>22299014</v>
          </cell>
          <cell r="B2951" t="str">
            <v>25티어 몸_포격</v>
          </cell>
        </row>
        <row r="2952">
          <cell r="A2952">
            <v>22299015</v>
          </cell>
          <cell r="B2952" t="str">
            <v>25티어 머리_포격</v>
          </cell>
        </row>
        <row r="2953">
          <cell r="A2953">
            <v>22299016</v>
          </cell>
          <cell r="B2953" t="str">
            <v>25티어 장신구_포격_0</v>
          </cell>
        </row>
        <row r="2954">
          <cell r="A2954">
            <v>22299017</v>
          </cell>
          <cell r="B2954" t="str">
            <v>25티어 무기_백병</v>
          </cell>
        </row>
        <row r="2955">
          <cell r="A2955">
            <v>22299018</v>
          </cell>
          <cell r="B2955" t="str">
            <v>25티어 몸_백병</v>
          </cell>
        </row>
        <row r="2956">
          <cell r="A2956">
            <v>22299019</v>
          </cell>
          <cell r="B2956" t="str">
            <v>25티어 머리_백병</v>
          </cell>
        </row>
        <row r="2957">
          <cell r="A2957">
            <v>22299020</v>
          </cell>
          <cell r="B2957" t="str">
            <v>25티어 장신구_백병_0</v>
          </cell>
        </row>
        <row r="2958">
          <cell r="A2958">
            <v>22299021</v>
          </cell>
          <cell r="B2958" t="str">
            <v>25티어 무기_충파</v>
          </cell>
        </row>
        <row r="2959">
          <cell r="A2959">
            <v>22299022</v>
          </cell>
          <cell r="B2959" t="str">
            <v>25티어 몸_충파</v>
          </cell>
        </row>
        <row r="2960">
          <cell r="A2960">
            <v>22299023</v>
          </cell>
          <cell r="B2960" t="str">
            <v>25티어 머리_충파</v>
          </cell>
        </row>
        <row r="2961">
          <cell r="A2961">
            <v>22299024</v>
          </cell>
          <cell r="B2961" t="str">
            <v>25티어 장신구_충파_0</v>
          </cell>
        </row>
        <row r="2962">
          <cell r="A2962">
            <v>22299025</v>
          </cell>
          <cell r="B2962" t="str">
            <v>20티어 무기_포격</v>
          </cell>
        </row>
        <row r="2963">
          <cell r="A2963">
            <v>22299026</v>
          </cell>
          <cell r="B2963" t="str">
            <v>20티어 몸_포격</v>
          </cell>
        </row>
        <row r="2964">
          <cell r="A2964">
            <v>22299027</v>
          </cell>
          <cell r="B2964" t="str">
            <v>20티어 머리_포격</v>
          </cell>
        </row>
        <row r="2965">
          <cell r="A2965">
            <v>22299028</v>
          </cell>
          <cell r="B2965" t="str">
            <v>20티어 장신구_포격_0</v>
          </cell>
        </row>
        <row r="2966">
          <cell r="A2966">
            <v>22299029</v>
          </cell>
          <cell r="B2966" t="str">
            <v>20티어 무기_백병</v>
          </cell>
        </row>
        <row r="2967">
          <cell r="A2967">
            <v>22299030</v>
          </cell>
          <cell r="B2967" t="str">
            <v>20티어 몸_백병</v>
          </cell>
        </row>
        <row r="2968">
          <cell r="A2968">
            <v>22299031</v>
          </cell>
          <cell r="B2968" t="str">
            <v>20티어 머리_백병</v>
          </cell>
        </row>
        <row r="2969">
          <cell r="A2969">
            <v>22299032</v>
          </cell>
          <cell r="B2969" t="str">
            <v>20티어 장신구_백병_0</v>
          </cell>
        </row>
        <row r="2970">
          <cell r="A2970">
            <v>22299033</v>
          </cell>
          <cell r="B2970" t="str">
            <v>20티어 무기_충파</v>
          </cell>
        </row>
        <row r="2971">
          <cell r="A2971">
            <v>22299034</v>
          </cell>
          <cell r="B2971" t="str">
            <v>20티어 몸_충파</v>
          </cell>
        </row>
        <row r="2972">
          <cell r="A2972">
            <v>22299035</v>
          </cell>
          <cell r="B2972" t="str">
            <v>20티어 머리_충파</v>
          </cell>
        </row>
        <row r="2973">
          <cell r="A2973">
            <v>22299036</v>
          </cell>
          <cell r="B2973" t="str">
            <v>20티어 장신구_충파_0</v>
          </cell>
        </row>
        <row r="2974">
          <cell r="A2974">
            <v>22299037</v>
          </cell>
          <cell r="B2974" t="str">
            <v>15티어 무기_포격</v>
          </cell>
        </row>
        <row r="2975">
          <cell r="A2975">
            <v>22299038</v>
          </cell>
          <cell r="B2975" t="str">
            <v>15티어 몸_포격</v>
          </cell>
        </row>
        <row r="2976">
          <cell r="A2976">
            <v>22299039</v>
          </cell>
          <cell r="B2976" t="str">
            <v>15티어 머리_포격</v>
          </cell>
        </row>
        <row r="2977">
          <cell r="A2977">
            <v>22299040</v>
          </cell>
          <cell r="B2977" t="str">
            <v>15티어 장신구_포격_0</v>
          </cell>
        </row>
        <row r="2978">
          <cell r="A2978">
            <v>22299041</v>
          </cell>
          <cell r="B2978" t="str">
            <v>15티어 무기_백병</v>
          </cell>
        </row>
        <row r="2979">
          <cell r="A2979">
            <v>22299042</v>
          </cell>
          <cell r="B2979" t="str">
            <v>15티어 몸_백병</v>
          </cell>
        </row>
        <row r="2980">
          <cell r="A2980">
            <v>22299043</v>
          </cell>
          <cell r="B2980" t="str">
            <v>15티어 머리_백병</v>
          </cell>
        </row>
        <row r="2981">
          <cell r="A2981">
            <v>22299044</v>
          </cell>
          <cell r="B2981" t="str">
            <v>15티어 장신구_백병_0</v>
          </cell>
        </row>
        <row r="2982">
          <cell r="A2982">
            <v>22299045</v>
          </cell>
          <cell r="B2982" t="str">
            <v>15티어 무기_충파</v>
          </cell>
        </row>
        <row r="2983">
          <cell r="A2983">
            <v>22299046</v>
          </cell>
          <cell r="B2983" t="str">
            <v>15티어 몸_충파</v>
          </cell>
        </row>
        <row r="2984">
          <cell r="A2984">
            <v>22299047</v>
          </cell>
          <cell r="B2984" t="str">
            <v>15티어 머리_충파</v>
          </cell>
        </row>
        <row r="2985">
          <cell r="A2985">
            <v>22299048</v>
          </cell>
          <cell r="B2985" t="str">
            <v>15티어 장신구_충파_0</v>
          </cell>
        </row>
        <row r="2986">
          <cell r="A2986">
            <v>22299049</v>
          </cell>
          <cell r="B2986" t="str">
            <v>10티어 무기_포격</v>
          </cell>
        </row>
        <row r="2987">
          <cell r="A2987">
            <v>22299050</v>
          </cell>
          <cell r="B2987" t="str">
            <v>10티어 몸_포격</v>
          </cell>
        </row>
        <row r="2988">
          <cell r="A2988">
            <v>22299051</v>
          </cell>
          <cell r="B2988" t="str">
            <v>10티어 머리_포격</v>
          </cell>
        </row>
        <row r="2989">
          <cell r="A2989">
            <v>22299052</v>
          </cell>
          <cell r="B2989" t="str">
            <v>10티어 장신구_포격_0</v>
          </cell>
        </row>
        <row r="2990">
          <cell r="A2990">
            <v>22299053</v>
          </cell>
          <cell r="B2990" t="str">
            <v>10티어 무기_백병</v>
          </cell>
        </row>
        <row r="2991">
          <cell r="A2991">
            <v>22299054</v>
          </cell>
          <cell r="B2991" t="str">
            <v>10티어 몸_백병</v>
          </cell>
        </row>
        <row r="2992">
          <cell r="A2992">
            <v>22299055</v>
          </cell>
          <cell r="B2992" t="str">
            <v>10티어 머리_백병</v>
          </cell>
        </row>
        <row r="2993">
          <cell r="A2993">
            <v>22299056</v>
          </cell>
          <cell r="B2993" t="str">
            <v>10티어 장신구_백병_0</v>
          </cell>
        </row>
        <row r="2994">
          <cell r="A2994">
            <v>22299057</v>
          </cell>
          <cell r="B2994" t="str">
            <v>10티어 무기_충파</v>
          </cell>
        </row>
        <row r="2995">
          <cell r="A2995">
            <v>22299058</v>
          </cell>
          <cell r="B2995" t="str">
            <v>10티어 몸_충파</v>
          </cell>
        </row>
        <row r="2996">
          <cell r="A2996">
            <v>22299059</v>
          </cell>
          <cell r="B2996" t="str">
            <v>10티어 머리_충파</v>
          </cell>
        </row>
        <row r="2997">
          <cell r="A2997">
            <v>22299060</v>
          </cell>
          <cell r="B2997" t="str">
            <v>10티어 장신구_충파_0</v>
          </cell>
        </row>
        <row r="2998">
          <cell r="A2998">
            <v>22299061</v>
          </cell>
          <cell r="B2998" t="str">
            <v>5티어 무기_포격</v>
          </cell>
        </row>
        <row r="2999">
          <cell r="A2999">
            <v>22299062</v>
          </cell>
          <cell r="B2999" t="str">
            <v>5티어 몸_포격</v>
          </cell>
        </row>
        <row r="3000">
          <cell r="A3000">
            <v>22299063</v>
          </cell>
          <cell r="B3000" t="str">
            <v>5티어 머리_포격</v>
          </cell>
        </row>
        <row r="3001">
          <cell r="A3001">
            <v>22299064</v>
          </cell>
          <cell r="B3001" t="str">
            <v>5티어 장신구_포격_0</v>
          </cell>
        </row>
        <row r="3002">
          <cell r="A3002">
            <v>22299065</v>
          </cell>
          <cell r="B3002" t="str">
            <v>5티어 무기_백병</v>
          </cell>
        </row>
        <row r="3003">
          <cell r="A3003">
            <v>22299066</v>
          </cell>
          <cell r="B3003" t="str">
            <v>5티어 몸_백병</v>
          </cell>
        </row>
        <row r="3004">
          <cell r="A3004">
            <v>22299067</v>
          </cell>
          <cell r="B3004" t="str">
            <v>5티어 머리_백병</v>
          </cell>
        </row>
        <row r="3005">
          <cell r="A3005">
            <v>22299068</v>
          </cell>
          <cell r="B3005" t="str">
            <v>5티어 장신구_백병_0</v>
          </cell>
        </row>
        <row r="3006">
          <cell r="A3006">
            <v>22299069</v>
          </cell>
          <cell r="B3006" t="str">
            <v>5티어 무기_충파</v>
          </cell>
        </row>
        <row r="3007">
          <cell r="A3007">
            <v>22299070</v>
          </cell>
          <cell r="B3007" t="str">
            <v>5티어 몸_충파</v>
          </cell>
        </row>
        <row r="3008">
          <cell r="A3008">
            <v>22299071</v>
          </cell>
          <cell r="B3008" t="str">
            <v>5티어 머리_충파</v>
          </cell>
        </row>
        <row r="3009">
          <cell r="A3009">
            <v>22299072</v>
          </cell>
          <cell r="B3009" t="str">
            <v>5티어 장신구_충파_0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1">
          <cell r="A1" t="str">
            <v>id</v>
          </cell>
        </row>
        <row r="2">
          <cell r="A2" t="str">
            <v>key:70100000~70199999</v>
          </cell>
        </row>
        <row r="3">
          <cell r="A3" t="str">
            <v>:required</v>
          </cell>
        </row>
        <row r="4">
          <cell r="A4" t="str">
            <v>:requiredInObject</v>
          </cell>
        </row>
        <row r="5">
          <cell r="A5" t="str">
            <v>:min</v>
          </cell>
        </row>
        <row r="6">
          <cell r="A6" t="str">
            <v>:max</v>
          </cell>
        </row>
        <row r="7">
          <cell r="A7" t="str">
            <v>:enum</v>
          </cell>
        </row>
        <row r="8">
          <cell r="A8" t="str">
            <v>:asset</v>
          </cell>
        </row>
        <row r="9">
          <cell r="A9" t="str">
            <v>:links</v>
          </cell>
        </row>
        <row r="10">
          <cell r="A10">
            <v>70100201</v>
          </cell>
          <cell r="B10" t="str">
            <v>기본 평사포</v>
          </cell>
        </row>
        <row r="11">
          <cell r="A11">
            <v>70100202</v>
          </cell>
          <cell r="B11" t="str">
            <v>기본 곡사포</v>
          </cell>
        </row>
        <row r="12">
          <cell r="A12">
            <v>70100203</v>
          </cell>
          <cell r="B12" t="str">
            <v>기본 박격포</v>
          </cell>
        </row>
        <row r="13">
          <cell r="A13">
            <v>70100204</v>
          </cell>
          <cell r="B13" t="str">
            <v>정식 대포</v>
          </cell>
        </row>
        <row r="14">
          <cell r="A14">
            <v>70100205</v>
          </cell>
          <cell r="B14" t="str">
            <v>프랑스 캐논</v>
          </cell>
        </row>
        <row r="15">
          <cell r="A15">
            <v>70100206</v>
          </cell>
          <cell r="B15" t="str">
            <v>이시비야</v>
          </cell>
        </row>
        <row r="16">
          <cell r="A16">
            <v>70100207</v>
          </cell>
          <cell r="B16" t="str">
            <v>팔코넷</v>
          </cell>
        </row>
        <row r="17">
          <cell r="A17">
            <v>70100208</v>
          </cell>
          <cell r="B17" t="str">
            <v>연대포</v>
          </cell>
        </row>
        <row r="18">
          <cell r="A18">
            <v>70100209</v>
          </cell>
          <cell r="B18" t="str">
            <v>고급 황자총통</v>
          </cell>
        </row>
        <row r="19">
          <cell r="A19">
            <v>70100210</v>
          </cell>
          <cell r="B19" t="str">
            <v>고급 팔콘</v>
          </cell>
        </row>
        <row r="20">
          <cell r="A20">
            <v>70100211</v>
          </cell>
          <cell r="B20" t="str">
            <v>고급 홍이포</v>
          </cell>
        </row>
        <row r="21">
          <cell r="A21">
            <v>70100212</v>
          </cell>
          <cell r="B21" t="str">
            <v>고급 세이커</v>
          </cell>
        </row>
        <row r="22">
          <cell r="A22">
            <v>70100213</v>
          </cell>
          <cell r="B22" t="str">
            <v>고급 현자총통</v>
          </cell>
        </row>
        <row r="23">
          <cell r="A23">
            <v>70100214</v>
          </cell>
          <cell r="B23" t="str">
            <v>고급 컬버린</v>
          </cell>
        </row>
        <row r="24">
          <cell r="A24">
            <v>70100215</v>
          </cell>
          <cell r="B24" t="str">
            <v>고급 지자총통</v>
          </cell>
        </row>
        <row r="25">
          <cell r="A25">
            <v>70100216</v>
          </cell>
          <cell r="B25" t="str">
            <v>고급 캐논</v>
          </cell>
        </row>
        <row r="26">
          <cell r="A26">
            <v>70100217</v>
          </cell>
          <cell r="B26" t="str">
            <v>고급 천자총통</v>
          </cell>
        </row>
        <row r="27">
          <cell r="A27">
            <v>70100218</v>
          </cell>
          <cell r="B27" t="str">
            <v>고급 바실리스크</v>
          </cell>
        </row>
        <row r="28">
          <cell r="A28">
            <v>70100219</v>
          </cell>
          <cell r="B28" t="str">
            <v>변형 로비넷</v>
          </cell>
        </row>
        <row r="29">
          <cell r="A29">
            <v>70100220</v>
          </cell>
          <cell r="B29" t="str">
            <v>변형 대포</v>
          </cell>
        </row>
        <row r="30">
          <cell r="A30">
            <v>70100221</v>
          </cell>
          <cell r="B30" t="str">
            <v>화제 대포</v>
          </cell>
        </row>
        <row r="31">
          <cell r="A31">
            <v>70100222</v>
          </cell>
          <cell r="B31" t="str">
            <v>에스메릴</v>
          </cell>
        </row>
        <row r="32">
          <cell r="A32">
            <v>70100223</v>
          </cell>
          <cell r="B32" t="str">
            <v>고급 완구</v>
          </cell>
        </row>
        <row r="33">
          <cell r="A33">
            <v>70100224</v>
          </cell>
          <cell r="B33" t="str">
            <v>고급 체리 대포</v>
          </cell>
        </row>
        <row r="34">
          <cell r="A34">
            <v>70100225</v>
          </cell>
          <cell r="B34" t="str">
            <v>고급 호준포</v>
          </cell>
        </row>
        <row r="35">
          <cell r="A35">
            <v>70100226</v>
          </cell>
          <cell r="B35" t="str">
            <v>고급 가죽포</v>
          </cell>
        </row>
        <row r="36">
          <cell r="A36">
            <v>70100227</v>
          </cell>
          <cell r="B36" t="str">
            <v>고급 대완구</v>
          </cell>
        </row>
        <row r="37">
          <cell r="A37">
            <v>70100228</v>
          </cell>
          <cell r="B37" t="str">
            <v>고급 코호른</v>
          </cell>
        </row>
        <row r="38">
          <cell r="A38">
            <v>70100229</v>
          </cell>
          <cell r="B38" t="str">
            <v>고급 득승포</v>
          </cell>
        </row>
        <row r="39">
          <cell r="A39">
            <v>70100230</v>
          </cell>
          <cell r="B39" t="str">
            <v>고급 구포</v>
          </cell>
        </row>
        <row r="40">
          <cell r="A40">
            <v>70100231</v>
          </cell>
          <cell r="B40" t="str">
            <v>고급 더블 컬버린</v>
          </cell>
        </row>
        <row r="41">
          <cell r="A41">
            <v>70100232</v>
          </cell>
          <cell r="B41" t="str">
            <v>고급 로열 캐논</v>
          </cell>
        </row>
        <row r="42">
          <cell r="A42">
            <v>70100233</v>
          </cell>
          <cell r="B42" t="str">
            <v>고급 장군화통</v>
          </cell>
        </row>
        <row r="43">
          <cell r="A43">
            <v>70100234</v>
          </cell>
          <cell r="B43" t="str">
            <v>백자총통</v>
          </cell>
        </row>
        <row r="44">
          <cell r="A44">
            <v>70100235</v>
          </cell>
          <cell r="B44" t="str">
            <v>로비넷</v>
          </cell>
        </row>
        <row r="45">
          <cell r="A45">
            <v>70100236</v>
          </cell>
          <cell r="B45" t="str">
            <v>란타카</v>
          </cell>
        </row>
        <row r="46">
          <cell r="A46">
            <v>70100237</v>
          </cell>
          <cell r="B46" t="str">
            <v>오르간포</v>
          </cell>
        </row>
        <row r="47">
          <cell r="A47">
            <v>70100238</v>
          </cell>
          <cell r="B47" t="str">
            <v>고급 위원포</v>
          </cell>
        </row>
        <row r="48">
          <cell r="A48">
            <v>70100239</v>
          </cell>
          <cell r="B48" t="str">
            <v>고급 미니온</v>
          </cell>
        </row>
        <row r="49">
          <cell r="A49">
            <v>70100240</v>
          </cell>
          <cell r="B49" t="str">
            <v>고급 보글러</v>
          </cell>
        </row>
        <row r="50">
          <cell r="A50">
            <v>70100241</v>
          </cell>
          <cell r="B50" t="str">
            <v>고급 자모포</v>
          </cell>
        </row>
        <row r="51">
          <cell r="A51">
            <v>70100242</v>
          </cell>
          <cell r="B51" t="str">
            <v>고급 데미 세이커</v>
          </cell>
        </row>
        <row r="52">
          <cell r="A52">
            <v>70100243</v>
          </cell>
          <cell r="B52" t="str">
            <v>고급 데미 컬버린</v>
          </cell>
        </row>
        <row r="53">
          <cell r="A53">
            <v>70100244</v>
          </cell>
          <cell r="B53" t="str">
            <v>고급 릴라 캐논</v>
          </cell>
        </row>
        <row r="54">
          <cell r="A54">
            <v>70100245</v>
          </cell>
          <cell r="B54" t="str">
            <v>고급 쿼터 캐논</v>
          </cell>
        </row>
        <row r="55">
          <cell r="A55">
            <v>70100246</v>
          </cell>
          <cell r="B55" t="str">
            <v>고급 데미 캐논</v>
          </cell>
        </row>
        <row r="56">
          <cell r="A56">
            <v>70100247</v>
          </cell>
          <cell r="B56" t="str">
            <v>고급 캐러네이드</v>
          </cell>
        </row>
        <row r="57">
          <cell r="A57">
            <v>70100248</v>
          </cell>
          <cell r="B57" t="str">
            <v>고급 대장군포</v>
          </cell>
        </row>
        <row r="58">
          <cell r="A58">
            <v>70100249</v>
          </cell>
          <cell r="B58" t="str">
            <v>낡은 이시비야</v>
          </cell>
        </row>
        <row r="59">
          <cell r="A59">
            <v>70100250</v>
          </cell>
          <cell r="B59" t="str">
            <v>강화 이시비야</v>
          </cell>
        </row>
        <row r="60">
          <cell r="A60">
            <v>70100251</v>
          </cell>
          <cell r="B60" t="str">
            <v>낡은 팔코넷</v>
          </cell>
        </row>
        <row r="61">
          <cell r="A61">
            <v>70100252</v>
          </cell>
          <cell r="B61" t="str">
            <v>강화 팔코넷</v>
          </cell>
        </row>
        <row r="62">
          <cell r="A62">
            <v>70100253</v>
          </cell>
          <cell r="B62" t="str">
            <v>낡은 연대포</v>
          </cell>
        </row>
        <row r="63">
          <cell r="A63">
            <v>70100254</v>
          </cell>
          <cell r="B63" t="str">
            <v>강화 연대포</v>
          </cell>
        </row>
        <row r="64">
          <cell r="A64">
            <v>70100255</v>
          </cell>
          <cell r="B64" t="str">
            <v>황자총통</v>
          </cell>
        </row>
        <row r="65">
          <cell r="A65">
            <v>70100256</v>
          </cell>
          <cell r="B65" t="str">
            <v>강화 황자총통</v>
          </cell>
        </row>
        <row r="66">
          <cell r="A66">
            <v>70100257</v>
          </cell>
          <cell r="B66" t="str">
            <v>팔콘</v>
          </cell>
        </row>
        <row r="67">
          <cell r="A67">
            <v>70100258</v>
          </cell>
          <cell r="B67" t="str">
            <v>강화 팔콘</v>
          </cell>
        </row>
        <row r="68">
          <cell r="A68">
            <v>70100259</v>
          </cell>
          <cell r="B68" t="str">
            <v>홍이포</v>
          </cell>
        </row>
        <row r="69">
          <cell r="A69">
            <v>70100260</v>
          </cell>
          <cell r="B69" t="str">
            <v>강화 홍이포</v>
          </cell>
        </row>
        <row r="70">
          <cell r="A70">
            <v>70100261</v>
          </cell>
          <cell r="B70" t="str">
            <v>세이커</v>
          </cell>
        </row>
        <row r="71">
          <cell r="A71">
            <v>70100262</v>
          </cell>
          <cell r="B71" t="str">
            <v>강화 세이커</v>
          </cell>
        </row>
        <row r="72">
          <cell r="A72">
            <v>70100263</v>
          </cell>
          <cell r="B72" t="str">
            <v>현자총통</v>
          </cell>
        </row>
        <row r="73">
          <cell r="A73">
            <v>70100264</v>
          </cell>
          <cell r="B73" t="str">
            <v>강화 현자총통</v>
          </cell>
        </row>
        <row r="74">
          <cell r="A74">
            <v>70100265</v>
          </cell>
          <cell r="B74" t="str">
            <v>컬버린</v>
          </cell>
        </row>
        <row r="75">
          <cell r="A75">
            <v>70100266</v>
          </cell>
          <cell r="B75" t="str">
            <v>강화 컬버린</v>
          </cell>
        </row>
        <row r="76">
          <cell r="A76">
            <v>70100267</v>
          </cell>
          <cell r="B76" t="str">
            <v>지자총통</v>
          </cell>
        </row>
        <row r="77">
          <cell r="A77">
            <v>70100268</v>
          </cell>
          <cell r="B77" t="str">
            <v>강화 지자총통</v>
          </cell>
        </row>
        <row r="78">
          <cell r="A78">
            <v>70100269</v>
          </cell>
          <cell r="B78" t="str">
            <v>캐논</v>
          </cell>
        </row>
        <row r="79">
          <cell r="A79">
            <v>70100270</v>
          </cell>
          <cell r="B79" t="str">
            <v>강화 캐논</v>
          </cell>
        </row>
        <row r="80">
          <cell r="A80">
            <v>70100271</v>
          </cell>
          <cell r="B80" t="str">
            <v>천자총통</v>
          </cell>
        </row>
        <row r="81">
          <cell r="A81">
            <v>70100272</v>
          </cell>
          <cell r="B81" t="str">
            <v>강화 천자총통</v>
          </cell>
        </row>
        <row r="82">
          <cell r="A82">
            <v>70100273</v>
          </cell>
          <cell r="B82" t="str">
            <v>바실리스크</v>
          </cell>
        </row>
        <row r="83">
          <cell r="A83">
            <v>70100274</v>
          </cell>
          <cell r="B83" t="str">
            <v>강화 바실리스크</v>
          </cell>
        </row>
        <row r="84">
          <cell r="A84">
            <v>70100275</v>
          </cell>
          <cell r="B84" t="str">
            <v>낡은 화제 대포</v>
          </cell>
        </row>
        <row r="85">
          <cell r="A85">
            <v>70100276</v>
          </cell>
          <cell r="B85" t="str">
            <v>강화 화제 대포</v>
          </cell>
        </row>
        <row r="86">
          <cell r="A86">
            <v>70100277</v>
          </cell>
          <cell r="B86" t="str">
            <v>낡은 에스메릴</v>
          </cell>
        </row>
        <row r="87">
          <cell r="A87">
            <v>70100278</v>
          </cell>
          <cell r="B87" t="str">
            <v>강화 에스메릴</v>
          </cell>
        </row>
        <row r="88">
          <cell r="A88">
            <v>70100279</v>
          </cell>
          <cell r="B88" t="str">
            <v>완구</v>
          </cell>
        </row>
        <row r="89">
          <cell r="A89">
            <v>70100280</v>
          </cell>
          <cell r="B89" t="str">
            <v>강화 완구</v>
          </cell>
        </row>
        <row r="90">
          <cell r="A90">
            <v>70100281</v>
          </cell>
          <cell r="B90" t="str">
            <v>체리 대포</v>
          </cell>
        </row>
        <row r="91">
          <cell r="A91">
            <v>70100282</v>
          </cell>
          <cell r="B91" t="str">
            <v>강화 체리 대포</v>
          </cell>
        </row>
        <row r="92">
          <cell r="A92">
            <v>70100283</v>
          </cell>
          <cell r="B92" t="str">
            <v>호준포</v>
          </cell>
        </row>
        <row r="93">
          <cell r="A93">
            <v>70100284</v>
          </cell>
          <cell r="B93" t="str">
            <v>강화 호준포</v>
          </cell>
        </row>
        <row r="94">
          <cell r="A94">
            <v>70100285</v>
          </cell>
          <cell r="B94" t="str">
            <v>가죽포</v>
          </cell>
        </row>
        <row r="95">
          <cell r="A95">
            <v>70100286</v>
          </cell>
          <cell r="B95" t="str">
            <v>강화 가죽포</v>
          </cell>
        </row>
        <row r="96">
          <cell r="A96">
            <v>70100287</v>
          </cell>
          <cell r="B96" t="str">
            <v>대완구</v>
          </cell>
        </row>
        <row r="97">
          <cell r="A97">
            <v>70100288</v>
          </cell>
          <cell r="B97" t="str">
            <v>강화 대완구</v>
          </cell>
        </row>
        <row r="98">
          <cell r="A98">
            <v>70100289</v>
          </cell>
          <cell r="B98" t="str">
            <v>코호른</v>
          </cell>
        </row>
        <row r="99">
          <cell r="A99">
            <v>70100290</v>
          </cell>
          <cell r="B99" t="str">
            <v>강화 코호른</v>
          </cell>
        </row>
        <row r="100">
          <cell r="A100">
            <v>70100291</v>
          </cell>
          <cell r="B100" t="str">
            <v>득승포</v>
          </cell>
        </row>
        <row r="101">
          <cell r="A101">
            <v>70100292</v>
          </cell>
          <cell r="B101" t="str">
            <v>강화 득승포</v>
          </cell>
        </row>
        <row r="102">
          <cell r="A102">
            <v>70100293</v>
          </cell>
          <cell r="B102" t="str">
            <v>구포</v>
          </cell>
        </row>
        <row r="103">
          <cell r="A103">
            <v>70100294</v>
          </cell>
          <cell r="B103" t="str">
            <v>강화 구포</v>
          </cell>
        </row>
        <row r="104">
          <cell r="A104">
            <v>70100295</v>
          </cell>
          <cell r="B104" t="str">
            <v>더블 컬버린</v>
          </cell>
        </row>
        <row r="105">
          <cell r="A105">
            <v>70100296</v>
          </cell>
          <cell r="B105" t="str">
            <v>강화 더블 컬버린</v>
          </cell>
        </row>
        <row r="106">
          <cell r="A106">
            <v>70100297</v>
          </cell>
          <cell r="B106" t="str">
            <v>로열 캐논</v>
          </cell>
        </row>
        <row r="107">
          <cell r="A107">
            <v>70100298</v>
          </cell>
          <cell r="B107" t="str">
            <v>강화 로열 캐논</v>
          </cell>
        </row>
        <row r="108">
          <cell r="A108">
            <v>70100299</v>
          </cell>
          <cell r="B108" t="str">
            <v>장군화통</v>
          </cell>
        </row>
        <row r="109">
          <cell r="A109">
            <v>70100300</v>
          </cell>
          <cell r="B109" t="str">
            <v>강화 장군화통</v>
          </cell>
        </row>
        <row r="110">
          <cell r="A110">
            <v>70100301</v>
          </cell>
          <cell r="B110" t="str">
            <v>낡은 란타카</v>
          </cell>
        </row>
        <row r="111">
          <cell r="A111">
            <v>70100302</v>
          </cell>
          <cell r="B111" t="str">
            <v>강화 란타카</v>
          </cell>
        </row>
        <row r="112">
          <cell r="A112">
            <v>70100303</v>
          </cell>
          <cell r="B112" t="str">
            <v>낡은 오르간포</v>
          </cell>
        </row>
        <row r="113">
          <cell r="A113">
            <v>70100304</v>
          </cell>
          <cell r="B113" t="str">
            <v>강화 오르간포</v>
          </cell>
        </row>
        <row r="114">
          <cell r="A114">
            <v>70100305</v>
          </cell>
          <cell r="B114" t="str">
            <v>위원포</v>
          </cell>
        </row>
        <row r="115">
          <cell r="A115">
            <v>70100306</v>
          </cell>
          <cell r="B115" t="str">
            <v>강화 위원포</v>
          </cell>
        </row>
        <row r="116">
          <cell r="A116">
            <v>70100307</v>
          </cell>
          <cell r="B116" t="str">
            <v>미니온</v>
          </cell>
        </row>
        <row r="117">
          <cell r="A117">
            <v>70100308</v>
          </cell>
          <cell r="B117" t="str">
            <v>강화 미니온</v>
          </cell>
        </row>
        <row r="118">
          <cell r="A118">
            <v>70100309</v>
          </cell>
          <cell r="B118" t="str">
            <v>보글러</v>
          </cell>
        </row>
        <row r="119">
          <cell r="A119">
            <v>70100310</v>
          </cell>
          <cell r="B119" t="str">
            <v>강화 보글러</v>
          </cell>
        </row>
        <row r="120">
          <cell r="A120">
            <v>70100311</v>
          </cell>
          <cell r="B120" t="str">
            <v>자모포</v>
          </cell>
        </row>
        <row r="121">
          <cell r="A121">
            <v>70100312</v>
          </cell>
          <cell r="B121" t="str">
            <v>강화 자모포</v>
          </cell>
        </row>
        <row r="122">
          <cell r="A122">
            <v>70100313</v>
          </cell>
          <cell r="B122" t="str">
            <v>데미 세이커</v>
          </cell>
        </row>
        <row r="123">
          <cell r="A123">
            <v>70100314</v>
          </cell>
          <cell r="B123" t="str">
            <v>강화 데미 세이커</v>
          </cell>
        </row>
        <row r="124">
          <cell r="A124">
            <v>70100315</v>
          </cell>
          <cell r="B124" t="str">
            <v>데미 컬버린</v>
          </cell>
        </row>
        <row r="125">
          <cell r="A125">
            <v>70100316</v>
          </cell>
          <cell r="B125" t="str">
            <v>강화 데미 컬버린</v>
          </cell>
        </row>
        <row r="126">
          <cell r="A126">
            <v>70100317</v>
          </cell>
          <cell r="B126" t="str">
            <v>릴라 캐논</v>
          </cell>
        </row>
        <row r="127">
          <cell r="A127">
            <v>70100318</v>
          </cell>
          <cell r="B127" t="str">
            <v>강화 릴라 캐논</v>
          </cell>
        </row>
        <row r="128">
          <cell r="A128">
            <v>70100319</v>
          </cell>
          <cell r="B128" t="str">
            <v>쿼터 캐논</v>
          </cell>
        </row>
        <row r="129">
          <cell r="A129">
            <v>70100320</v>
          </cell>
          <cell r="B129" t="str">
            <v>강화 쿼터 캐논</v>
          </cell>
        </row>
        <row r="130">
          <cell r="A130">
            <v>70100321</v>
          </cell>
          <cell r="B130" t="str">
            <v>데미 캐논</v>
          </cell>
        </row>
        <row r="131">
          <cell r="A131">
            <v>70100322</v>
          </cell>
          <cell r="B131" t="str">
            <v>강화 데미 캐논</v>
          </cell>
        </row>
        <row r="132">
          <cell r="A132">
            <v>70100323</v>
          </cell>
          <cell r="B132" t="str">
            <v>캐러네이드</v>
          </cell>
        </row>
        <row r="133">
          <cell r="A133">
            <v>70100324</v>
          </cell>
          <cell r="B133" t="str">
            <v>강화 캐러네이드</v>
          </cell>
        </row>
        <row r="134">
          <cell r="A134">
            <v>70100325</v>
          </cell>
          <cell r="B134" t="str">
            <v>대장군포</v>
          </cell>
        </row>
        <row r="135">
          <cell r="A135">
            <v>70100326</v>
          </cell>
          <cell r="B135" t="str">
            <v>강화 대장군포</v>
          </cell>
        </row>
        <row r="136">
          <cell r="A136">
            <v>70100327</v>
          </cell>
          <cell r="B136" t="str">
            <v>불멸의 해적단의 대포</v>
          </cell>
        </row>
        <row r="137">
          <cell r="A137">
            <v>70100328</v>
          </cell>
          <cell r="B137" t="str">
            <v>새내기 제독의 대포</v>
          </cell>
        </row>
        <row r="138">
          <cell r="A138">
            <v>70100329</v>
          </cell>
          <cell r="B138" t="str">
            <v>빙하 선단의 곡사포</v>
          </cell>
        </row>
        <row r="139">
          <cell r="A139">
            <v>70100330</v>
          </cell>
          <cell r="B139" t="str">
            <v>빙하 선단의 박격포</v>
          </cell>
        </row>
        <row r="140">
          <cell r="A140">
            <v>70100331</v>
          </cell>
          <cell r="B140" t="str">
            <v>빙하 선단의 평사포</v>
          </cell>
        </row>
        <row r="141">
          <cell r="A141">
            <v>70100332</v>
          </cell>
          <cell r="B141" t="str">
            <v>북해 연합의 곡사포</v>
          </cell>
        </row>
        <row r="142">
          <cell r="A142">
            <v>70100333</v>
          </cell>
          <cell r="B142" t="str">
            <v>북해 연합의 박격포</v>
          </cell>
        </row>
        <row r="143">
          <cell r="A143">
            <v>70100334</v>
          </cell>
          <cell r="B143" t="str">
            <v>북해 연합의 평사포</v>
          </cell>
        </row>
        <row r="144">
          <cell r="A144">
            <v>70100335</v>
          </cell>
          <cell r="B144" t="str">
            <v>상회의 대포</v>
          </cell>
        </row>
        <row r="145">
          <cell r="A145">
            <v>70100431</v>
          </cell>
          <cell r="B145" t="str">
            <v>기본 돛</v>
          </cell>
        </row>
        <row r="146">
          <cell r="A146">
            <v>70100432</v>
          </cell>
          <cell r="B146" t="str">
            <v>이너 지브</v>
          </cell>
        </row>
        <row r="147">
          <cell r="A147">
            <v>70100433</v>
          </cell>
          <cell r="B147" t="str">
            <v>아우터 지브</v>
          </cell>
        </row>
        <row r="148">
          <cell r="A148">
            <v>70100434</v>
          </cell>
          <cell r="B148" t="str">
            <v>고급 정크 세일</v>
          </cell>
        </row>
        <row r="149">
          <cell r="A149">
            <v>70100435</v>
          </cell>
          <cell r="B149" t="str">
            <v>고급 스테이 세일</v>
          </cell>
        </row>
        <row r="150">
          <cell r="A150">
            <v>70100436</v>
          </cell>
          <cell r="B150" t="str">
            <v>고급 톱 스테이 세일</v>
          </cell>
        </row>
        <row r="151">
          <cell r="A151">
            <v>70100437</v>
          </cell>
          <cell r="B151" t="str">
            <v>고급 로열 스테이 세일</v>
          </cell>
        </row>
        <row r="152">
          <cell r="A152">
            <v>70100438</v>
          </cell>
          <cell r="B152" t="str">
            <v>톱 갤런트 세일</v>
          </cell>
        </row>
        <row r="153">
          <cell r="A153">
            <v>70100439</v>
          </cell>
          <cell r="B153" t="str">
            <v>보닛</v>
          </cell>
        </row>
        <row r="154">
          <cell r="A154">
            <v>70100440</v>
          </cell>
          <cell r="B154" t="str">
            <v>고급 아시안 세일</v>
          </cell>
        </row>
        <row r="155">
          <cell r="A155">
            <v>70100441</v>
          </cell>
          <cell r="B155" t="str">
            <v>고급 로열 갤런트 세일</v>
          </cell>
        </row>
        <row r="156">
          <cell r="A156">
            <v>70100442</v>
          </cell>
          <cell r="B156" t="str">
            <v>고급 갤런트 보닛</v>
          </cell>
        </row>
        <row r="157">
          <cell r="A157">
            <v>70100443</v>
          </cell>
          <cell r="B157" t="str">
            <v>고급 갤런트 스테이 세일</v>
          </cell>
        </row>
        <row r="158">
          <cell r="A158">
            <v>70100444</v>
          </cell>
          <cell r="B158" t="str">
            <v>고급 톱 로열 세일</v>
          </cell>
        </row>
        <row r="159">
          <cell r="A159">
            <v>70100445</v>
          </cell>
          <cell r="B159" t="str">
            <v>고급 풀 리그드 세일</v>
          </cell>
        </row>
        <row r="160">
          <cell r="A160">
            <v>70100446</v>
          </cell>
          <cell r="B160" t="str">
            <v>낡은 이너 지브</v>
          </cell>
        </row>
        <row r="161">
          <cell r="A161">
            <v>70100447</v>
          </cell>
          <cell r="B161" t="str">
            <v>강화 이너 지브</v>
          </cell>
        </row>
        <row r="162">
          <cell r="A162">
            <v>70100448</v>
          </cell>
          <cell r="B162" t="str">
            <v>낡은 아우터 지브</v>
          </cell>
        </row>
        <row r="163">
          <cell r="A163">
            <v>70100449</v>
          </cell>
          <cell r="B163" t="str">
            <v>강화 아우터 지브</v>
          </cell>
        </row>
        <row r="164">
          <cell r="A164">
            <v>70100450</v>
          </cell>
          <cell r="B164" t="str">
            <v>정크 세일</v>
          </cell>
        </row>
        <row r="165">
          <cell r="A165">
            <v>70100451</v>
          </cell>
          <cell r="B165" t="str">
            <v>강화 정크 세일</v>
          </cell>
        </row>
        <row r="166">
          <cell r="A166">
            <v>70100452</v>
          </cell>
          <cell r="B166" t="str">
            <v>스테이 세일</v>
          </cell>
        </row>
        <row r="167">
          <cell r="A167">
            <v>70100453</v>
          </cell>
          <cell r="B167" t="str">
            <v>강화 스테이 세일</v>
          </cell>
        </row>
        <row r="168">
          <cell r="A168">
            <v>70100454</v>
          </cell>
          <cell r="B168" t="str">
            <v>톱 스테이 세일</v>
          </cell>
        </row>
        <row r="169">
          <cell r="A169">
            <v>70100455</v>
          </cell>
          <cell r="B169" t="str">
            <v>강화 톱 스테이 세일</v>
          </cell>
        </row>
        <row r="170">
          <cell r="A170">
            <v>70100456</v>
          </cell>
          <cell r="B170" t="str">
            <v>로열 스테이 세일</v>
          </cell>
        </row>
        <row r="171">
          <cell r="A171">
            <v>70100457</v>
          </cell>
          <cell r="B171" t="str">
            <v>강화 로열 스테이 세일</v>
          </cell>
        </row>
        <row r="172">
          <cell r="A172">
            <v>70100458</v>
          </cell>
          <cell r="B172" t="str">
            <v>낡은 보닛</v>
          </cell>
        </row>
        <row r="173">
          <cell r="A173">
            <v>70100459</v>
          </cell>
          <cell r="B173" t="str">
            <v>강화 보닛</v>
          </cell>
        </row>
        <row r="174">
          <cell r="A174">
            <v>70100460</v>
          </cell>
          <cell r="B174" t="str">
            <v>아시안 세일</v>
          </cell>
        </row>
        <row r="175">
          <cell r="A175">
            <v>70100461</v>
          </cell>
          <cell r="B175" t="str">
            <v>강화 아시안 세일</v>
          </cell>
        </row>
        <row r="176">
          <cell r="A176">
            <v>70100462</v>
          </cell>
          <cell r="B176" t="str">
            <v>로열 갤런트 세일</v>
          </cell>
        </row>
        <row r="177">
          <cell r="A177">
            <v>70100463</v>
          </cell>
          <cell r="B177" t="str">
            <v>강화 로열 갤런트 세일</v>
          </cell>
        </row>
        <row r="178">
          <cell r="A178">
            <v>70100464</v>
          </cell>
          <cell r="B178" t="str">
            <v>갤런트 보닛</v>
          </cell>
        </row>
        <row r="179">
          <cell r="A179">
            <v>70100465</v>
          </cell>
          <cell r="B179" t="str">
            <v>강화 갤런트 보닛</v>
          </cell>
        </row>
        <row r="180">
          <cell r="A180">
            <v>70100466</v>
          </cell>
          <cell r="B180" t="str">
            <v>갤런트 스테이 세일</v>
          </cell>
        </row>
        <row r="181">
          <cell r="A181">
            <v>70100467</v>
          </cell>
          <cell r="B181" t="str">
            <v>강화 갤런트 스테이 세일</v>
          </cell>
        </row>
        <row r="182">
          <cell r="A182">
            <v>70100468</v>
          </cell>
          <cell r="B182" t="str">
            <v>톱 로열 세일</v>
          </cell>
        </row>
        <row r="183">
          <cell r="A183">
            <v>70100469</v>
          </cell>
          <cell r="B183" t="str">
            <v>강화 톱 로열 세일</v>
          </cell>
        </row>
        <row r="184">
          <cell r="A184">
            <v>70100470</v>
          </cell>
          <cell r="B184" t="str">
            <v>풀 리그드 세일</v>
          </cell>
        </row>
        <row r="185">
          <cell r="A185">
            <v>70100471</v>
          </cell>
          <cell r="B185" t="str">
            <v>강화 풀 리그드 세일</v>
          </cell>
        </row>
        <row r="186">
          <cell r="A186">
            <v>70100472</v>
          </cell>
          <cell r="B186" t="str">
            <v>불멸의 해적단의 돛</v>
          </cell>
        </row>
        <row r="187">
          <cell r="A187">
            <v>70100473</v>
          </cell>
          <cell r="B187" t="str">
            <v>환상 섬의 돛</v>
          </cell>
        </row>
        <row r="188">
          <cell r="A188">
            <v>70100474</v>
          </cell>
          <cell r="B188" t="str">
            <v>바다 기사단의 돛</v>
          </cell>
        </row>
        <row r="189">
          <cell r="A189">
            <v>70100475</v>
          </cell>
          <cell r="B189" t="str">
            <v>새내기 제독의 돛</v>
          </cell>
        </row>
        <row r="190">
          <cell r="A190">
            <v>70100476</v>
          </cell>
          <cell r="B190" t="str">
            <v>상단 연합의 가로돛</v>
          </cell>
        </row>
        <row r="191">
          <cell r="A191">
            <v>70100477</v>
          </cell>
          <cell r="B191" t="str">
            <v>상단 연합의 세로돛</v>
          </cell>
        </row>
        <row r="192">
          <cell r="A192">
            <v>70100478</v>
          </cell>
          <cell r="B192" t="str">
            <v>폭풍 선단의 가로돛</v>
          </cell>
        </row>
        <row r="193">
          <cell r="A193">
            <v>70100479</v>
          </cell>
          <cell r="B193" t="str">
            <v>폭풍 선단의 세로돛</v>
          </cell>
        </row>
        <row r="194">
          <cell r="A194">
            <v>70100506</v>
          </cell>
          <cell r="B194" t="str">
            <v>장갑 없음</v>
          </cell>
        </row>
        <row r="195">
          <cell r="A195">
            <v>70100507</v>
          </cell>
          <cell r="B195" t="str">
            <v>삼나무판</v>
          </cell>
        </row>
        <row r="196">
          <cell r="A196">
            <v>70100508</v>
          </cell>
          <cell r="B196" t="str">
            <v>가문비나무판</v>
          </cell>
        </row>
        <row r="197">
          <cell r="A197">
            <v>70100509</v>
          </cell>
          <cell r="B197" t="str">
            <v>적송판</v>
          </cell>
        </row>
        <row r="198">
          <cell r="A198">
            <v>70100510</v>
          </cell>
          <cell r="B198" t="str">
            <v>오리나무판</v>
          </cell>
        </row>
        <row r="199">
          <cell r="A199">
            <v>70100511</v>
          </cell>
          <cell r="B199" t="str">
            <v>고급 너도밤나무판</v>
          </cell>
        </row>
        <row r="200">
          <cell r="A200">
            <v>70100512</v>
          </cell>
          <cell r="B200" t="str">
            <v>고급 동판</v>
          </cell>
        </row>
        <row r="201">
          <cell r="A201">
            <v>70100513</v>
          </cell>
          <cell r="B201" t="str">
            <v>고급 자작나무판</v>
          </cell>
        </row>
        <row r="202">
          <cell r="A202">
            <v>70100514</v>
          </cell>
          <cell r="B202" t="str">
            <v>고급 물푸레나무판</v>
          </cell>
        </row>
        <row r="203">
          <cell r="A203">
            <v>70100515</v>
          </cell>
          <cell r="B203" t="str">
            <v>고급 참나무판</v>
          </cell>
        </row>
        <row r="204">
          <cell r="A204">
            <v>70100516</v>
          </cell>
          <cell r="B204" t="str">
            <v>고급 철판</v>
          </cell>
        </row>
        <row r="205">
          <cell r="A205">
            <v>70100517</v>
          </cell>
          <cell r="B205" t="str">
            <v>고급 티크판</v>
          </cell>
        </row>
        <row r="206">
          <cell r="A206">
            <v>70100518</v>
          </cell>
          <cell r="B206" t="str">
            <v>고급 호두나무판</v>
          </cell>
        </row>
        <row r="207">
          <cell r="A207">
            <v>70100519</v>
          </cell>
          <cell r="B207" t="str">
            <v>고급 강판</v>
          </cell>
        </row>
        <row r="208">
          <cell r="A208">
            <v>70100520</v>
          </cell>
          <cell r="B208" t="str">
            <v>고급 자단나무판</v>
          </cell>
        </row>
        <row r="209">
          <cell r="A209">
            <v>70100521</v>
          </cell>
          <cell r="B209" t="str">
            <v>고급 흑단나무판</v>
          </cell>
        </row>
        <row r="210">
          <cell r="A210">
            <v>70100522</v>
          </cell>
          <cell r="B210" t="str">
            <v>낡은 적송판</v>
          </cell>
        </row>
        <row r="211">
          <cell r="A211">
            <v>70100523</v>
          </cell>
          <cell r="B211" t="str">
            <v>강화 적송판</v>
          </cell>
        </row>
        <row r="212">
          <cell r="A212">
            <v>70100524</v>
          </cell>
          <cell r="B212" t="str">
            <v>낡은 오리나무판</v>
          </cell>
        </row>
        <row r="213">
          <cell r="A213">
            <v>70100525</v>
          </cell>
          <cell r="B213" t="str">
            <v>강화 오리나무판</v>
          </cell>
        </row>
        <row r="214">
          <cell r="A214">
            <v>70100526</v>
          </cell>
          <cell r="B214" t="str">
            <v>너도밤나무판</v>
          </cell>
        </row>
        <row r="215">
          <cell r="A215">
            <v>70100527</v>
          </cell>
          <cell r="B215" t="str">
            <v>강화 너도밤나무판</v>
          </cell>
        </row>
        <row r="216">
          <cell r="A216">
            <v>70100528</v>
          </cell>
          <cell r="B216" t="str">
            <v>동판</v>
          </cell>
        </row>
        <row r="217">
          <cell r="A217">
            <v>70100529</v>
          </cell>
          <cell r="B217" t="str">
            <v>강화 동판</v>
          </cell>
        </row>
        <row r="218">
          <cell r="A218">
            <v>70100530</v>
          </cell>
          <cell r="B218" t="str">
            <v>자작나무판</v>
          </cell>
        </row>
        <row r="219">
          <cell r="A219">
            <v>70100531</v>
          </cell>
          <cell r="B219" t="str">
            <v>강화 자작나무판</v>
          </cell>
        </row>
        <row r="220">
          <cell r="A220">
            <v>70100532</v>
          </cell>
          <cell r="B220" t="str">
            <v>물푸레나무판</v>
          </cell>
        </row>
        <row r="221">
          <cell r="A221">
            <v>70100533</v>
          </cell>
          <cell r="B221" t="str">
            <v>강화 물푸레나무판</v>
          </cell>
        </row>
        <row r="222">
          <cell r="A222">
            <v>70100534</v>
          </cell>
          <cell r="B222" t="str">
            <v>참나무판</v>
          </cell>
        </row>
        <row r="223">
          <cell r="A223">
            <v>70100535</v>
          </cell>
          <cell r="B223" t="str">
            <v>강화 참나무판</v>
          </cell>
        </row>
        <row r="224">
          <cell r="A224">
            <v>70100536</v>
          </cell>
          <cell r="B224" t="str">
            <v>철판</v>
          </cell>
        </row>
        <row r="225">
          <cell r="A225">
            <v>70100537</v>
          </cell>
          <cell r="B225" t="str">
            <v>강화 철판</v>
          </cell>
        </row>
        <row r="226">
          <cell r="A226">
            <v>70100538</v>
          </cell>
          <cell r="B226" t="str">
            <v>티크판</v>
          </cell>
        </row>
        <row r="227">
          <cell r="A227">
            <v>70100539</v>
          </cell>
          <cell r="B227" t="str">
            <v>강화 티크판</v>
          </cell>
        </row>
        <row r="228">
          <cell r="A228">
            <v>70100540</v>
          </cell>
          <cell r="B228" t="str">
            <v>호두나무판</v>
          </cell>
        </row>
        <row r="229">
          <cell r="A229">
            <v>70100541</v>
          </cell>
          <cell r="B229" t="str">
            <v>강화 호두나무판</v>
          </cell>
        </row>
        <row r="230">
          <cell r="A230">
            <v>70100542</v>
          </cell>
          <cell r="B230" t="str">
            <v>강판</v>
          </cell>
        </row>
        <row r="231">
          <cell r="A231">
            <v>70100543</v>
          </cell>
          <cell r="B231" t="str">
            <v>강화 강판</v>
          </cell>
        </row>
        <row r="232">
          <cell r="A232">
            <v>70100544</v>
          </cell>
          <cell r="B232" t="str">
            <v>자단나무판</v>
          </cell>
        </row>
        <row r="233">
          <cell r="A233">
            <v>70100545</v>
          </cell>
          <cell r="B233" t="str">
            <v>강화 자단나무판</v>
          </cell>
        </row>
        <row r="234">
          <cell r="A234">
            <v>70100546</v>
          </cell>
          <cell r="B234" t="str">
            <v>흑단나무판</v>
          </cell>
        </row>
        <row r="235">
          <cell r="A235">
            <v>70100547</v>
          </cell>
          <cell r="B235" t="str">
            <v>강화 흑단나무판</v>
          </cell>
        </row>
        <row r="236">
          <cell r="A236">
            <v>70100548</v>
          </cell>
          <cell r="B236" t="str">
            <v>개량 삼나무판</v>
          </cell>
        </row>
        <row r="237">
          <cell r="A237">
            <v>70100549</v>
          </cell>
          <cell r="B237" t="str">
            <v>환상 섬의 장갑</v>
          </cell>
        </row>
        <row r="238">
          <cell r="A238">
            <v>70100550</v>
          </cell>
          <cell r="B238" t="str">
            <v>새내기 제독의 장갑</v>
          </cell>
        </row>
        <row r="239">
          <cell r="A239">
            <v>70100551</v>
          </cell>
          <cell r="B239" t="str">
            <v>붉은 산호섬의 장갑</v>
          </cell>
        </row>
        <row r="240">
          <cell r="A240">
            <v>70100552</v>
          </cell>
          <cell r="B240" t="str">
            <v>진주섬의 장갑</v>
          </cell>
        </row>
        <row r="241">
          <cell r="A241">
            <v>70100553</v>
          </cell>
          <cell r="B241" t="str">
            <v>상회의 장갑</v>
          </cell>
        </row>
        <row r="242">
          <cell r="A242">
            <v>70100554</v>
          </cell>
          <cell r="B242" t="str">
            <v>100일 축하의 장갑</v>
          </cell>
        </row>
        <row r="243">
          <cell r="A243">
            <v>70100585</v>
          </cell>
          <cell r="B243" t="str">
            <v>기본 충각</v>
          </cell>
        </row>
        <row r="244">
          <cell r="A244">
            <v>70100586</v>
          </cell>
          <cell r="B244" t="str">
            <v>충각 없음</v>
          </cell>
        </row>
        <row r="245">
          <cell r="A245">
            <v>70100587</v>
          </cell>
          <cell r="B245" t="str">
            <v>마카나 충각</v>
          </cell>
        </row>
        <row r="246">
          <cell r="A246">
            <v>70100588</v>
          </cell>
          <cell r="B246" t="str">
            <v>나무 기둥 쐐기</v>
          </cell>
        </row>
        <row r="247">
          <cell r="A247">
            <v>70100589</v>
          </cell>
          <cell r="B247" t="str">
            <v>리부르나형 쐐기</v>
          </cell>
        </row>
        <row r="248">
          <cell r="A248">
            <v>70100590</v>
          </cell>
          <cell r="B248" t="str">
            <v>목제 꺾쇠 충각</v>
          </cell>
        </row>
        <row r="249">
          <cell r="A249">
            <v>70100591</v>
          </cell>
          <cell r="B249" t="str">
            <v>이단노선형 쐐기</v>
          </cell>
        </row>
        <row r="250">
          <cell r="A250">
            <v>70100592</v>
          </cell>
          <cell r="B250" t="str">
            <v>철퇴형 충각</v>
          </cell>
        </row>
        <row r="251">
          <cell r="A251">
            <v>70100593</v>
          </cell>
          <cell r="B251" t="str">
            <v>반달도끼 충각</v>
          </cell>
        </row>
        <row r="252">
          <cell r="A252">
            <v>70100594</v>
          </cell>
          <cell r="B252" t="str">
            <v>창형 충각</v>
          </cell>
        </row>
        <row r="253">
          <cell r="A253">
            <v>70100595</v>
          </cell>
          <cell r="B253" t="str">
            <v>고급 폴암형 충각</v>
          </cell>
        </row>
        <row r="254">
          <cell r="A254">
            <v>70100596</v>
          </cell>
          <cell r="B254" t="str">
            <v>고급 할라디 충각</v>
          </cell>
        </row>
        <row r="255">
          <cell r="A255">
            <v>70100597</v>
          </cell>
          <cell r="B255" t="str">
            <v>고급 갈퀴 충각</v>
          </cell>
        </row>
        <row r="256">
          <cell r="A256">
            <v>70100598</v>
          </cell>
          <cell r="B256" t="str">
            <v>고급 무쇠 충각</v>
          </cell>
        </row>
        <row r="257">
          <cell r="A257">
            <v>70100599</v>
          </cell>
          <cell r="B257" t="str">
            <v>고급 삼단노선형 쐐기</v>
          </cell>
        </row>
        <row r="258">
          <cell r="A258">
            <v>70100600</v>
          </cell>
          <cell r="B258" t="str">
            <v>고급 레이피어 충각</v>
          </cell>
        </row>
        <row r="259">
          <cell r="A259">
            <v>70100601</v>
          </cell>
          <cell r="B259" t="str">
            <v>고급 니레카 충각</v>
          </cell>
        </row>
        <row r="260">
          <cell r="A260">
            <v>70100602</v>
          </cell>
          <cell r="B260" t="str">
            <v>고급 세락 파각</v>
          </cell>
        </row>
        <row r="261">
          <cell r="A261">
            <v>70100603</v>
          </cell>
          <cell r="B261" t="str">
            <v>고급 역날검 충각</v>
          </cell>
        </row>
        <row r="262">
          <cell r="A262">
            <v>70100604</v>
          </cell>
          <cell r="B262" t="str">
            <v>고급 톱날 충각</v>
          </cell>
        </row>
        <row r="263">
          <cell r="A263">
            <v>70100605</v>
          </cell>
          <cell r="B263" t="str">
            <v>고급 초승달형 충각</v>
          </cell>
        </row>
        <row r="264">
          <cell r="A264">
            <v>70100606</v>
          </cell>
          <cell r="B264" t="str">
            <v>고급 오단 노선형 쐐기</v>
          </cell>
        </row>
        <row r="265">
          <cell r="A265">
            <v>70100607</v>
          </cell>
          <cell r="B265" t="str">
            <v>고급 일각고래의 뿔</v>
          </cell>
        </row>
        <row r="266">
          <cell r="A266">
            <v>70100608</v>
          </cell>
          <cell r="B266" t="str">
            <v>고급 무한의 호른</v>
          </cell>
        </row>
        <row r="267">
          <cell r="A267">
            <v>70100609</v>
          </cell>
          <cell r="B267" t="str">
            <v>고급 우아한 은제 충각</v>
          </cell>
        </row>
        <row r="268">
          <cell r="A268">
            <v>70100610</v>
          </cell>
          <cell r="B268" t="str">
            <v>고급 드로몬형 충각</v>
          </cell>
        </row>
        <row r="269">
          <cell r="A269">
            <v>70100611</v>
          </cell>
          <cell r="B269" t="str">
            <v>고급 해신의 창 충각</v>
          </cell>
        </row>
        <row r="270">
          <cell r="A270">
            <v>70100612</v>
          </cell>
          <cell r="B270" t="str">
            <v>고급 라우타로의 불</v>
          </cell>
        </row>
        <row r="271">
          <cell r="A271">
            <v>70100613</v>
          </cell>
          <cell r="B271" t="str">
            <v>고급 헤라클레스의 철권</v>
          </cell>
        </row>
        <row r="272">
          <cell r="A272">
            <v>70100614</v>
          </cell>
          <cell r="B272" t="str">
            <v>고급 삼단 대형 충각</v>
          </cell>
        </row>
        <row r="273">
          <cell r="A273">
            <v>70100615</v>
          </cell>
          <cell r="B273" t="str">
            <v>고급 파도 무늬 황금 충각</v>
          </cell>
        </row>
        <row r="274">
          <cell r="A274">
            <v>70100616</v>
          </cell>
          <cell r="B274" t="str">
            <v>고급 별을 찾는 자</v>
          </cell>
        </row>
        <row r="275">
          <cell r="A275">
            <v>70100617</v>
          </cell>
          <cell r="B275" t="str">
            <v>고급 프랑스식 방패 충각</v>
          </cell>
        </row>
        <row r="276">
          <cell r="A276">
            <v>70100618</v>
          </cell>
          <cell r="B276" t="str">
            <v>고급 기사의 투구 충각</v>
          </cell>
        </row>
        <row r="277">
          <cell r="A277">
            <v>70100619</v>
          </cell>
          <cell r="B277" t="str">
            <v>고급 바이킹 투구 충각</v>
          </cell>
        </row>
        <row r="278">
          <cell r="A278">
            <v>70100620</v>
          </cell>
          <cell r="B278" t="str">
            <v>고급 스웨덴제 쇠구슬 충각</v>
          </cell>
        </row>
        <row r="279">
          <cell r="A279">
            <v>70100621</v>
          </cell>
          <cell r="B279" t="str">
            <v>고급 그리핀의 부리</v>
          </cell>
        </row>
        <row r="280">
          <cell r="A280">
            <v>70100622</v>
          </cell>
          <cell r="B280" t="str">
            <v>고급 기사의 랜스 충각</v>
          </cell>
        </row>
        <row r="281">
          <cell r="A281">
            <v>70100623</v>
          </cell>
          <cell r="B281" t="str">
            <v>고급 황금 코브라 충각</v>
          </cell>
        </row>
        <row r="282">
          <cell r="A282">
            <v>70100624</v>
          </cell>
          <cell r="B282" t="str">
            <v>고급 흑전갈 충각</v>
          </cell>
        </row>
        <row r="283">
          <cell r="A283">
            <v>70100625</v>
          </cell>
          <cell r="B283" t="str">
            <v>고급 타란툴라 충각</v>
          </cell>
        </row>
        <row r="284">
          <cell r="A284">
            <v>70100626</v>
          </cell>
          <cell r="B284" t="str">
            <v>고급 청새치 충각</v>
          </cell>
        </row>
        <row r="285">
          <cell r="A285">
            <v>70100627</v>
          </cell>
          <cell r="B285" t="str">
            <v>고급 청룡언월도 충각</v>
          </cell>
        </row>
        <row r="286">
          <cell r="A286">
            <v>70100628</v>
          </cell>
          <cell r="B286" t="str">
            <v>고급 장팔사모 충각</v>
          </cell>
        </row>
        <row r="287">
          <cell r="A287">
            <v>70100629</v>
          </cell>
          <cell r="B287" t="str">
            <v>고급 소림사 금강저 충각</v>
          </cell>
        </row>
        <row r="288">
          <cell r="A288">
            <v>70100630</v>
          </cell>
          <cell r="B288" t="str">
            <v>고급 니드호그의 발톱</v>
          </cell>
        </row>
        <row r="289">
          <cell r="A289">
            <v>70100631</v>
          </cell>
          <cell r="B289" t="str">
            <v>고급 구르즈 충각</v>
          </cell>
        </row>
        <row r="290">
          <cell r="A290">
            <v>70100632</v>
          </cell>
          <cell r="B290" t="str">
            <v>고급 피톤의 머리</v>
          </cell>
        </row>
        <row r="291">
          <cell r="A291">
            <v>70100633</v>
          </cell>
          <cell r="B291" t="str">
            <v>고급 집게발 충각</v>
          </cell>
        </row>
        <row r="292">
          <cell r="A292">
            <v>70100634</v>
          </cell>
          <cell r="B292" t="str">
            <v>고급 술리톱 충각</v>
          </cell>
        </row>
        <row r="293">
          <cell r="A293">
            <v>70100635</v>
          </cell>
          <cell r="B293" t="str">
            <v>고급 묠니르 충각</v>
          </cell>
        </row>
        <row r="294">
          <cell r="A294">
            <v>70100636</v>
          </cell>
          <cell r="B294" t="str">
            <v>고급 메두사의 쐐기</v>
          </cell>
        </row>
        <row r="295">
          <cell r="A295">
            <v>70100637</v>
          </cell>
          <cell r="B295" t="str">
            <v>고급 역날형 다이아몬드 충각</v>
          </cell>
        </row>
        <row r="296">
          <cell r="A296">
            <v>70100638</v>
          </cell>
          <cell r="B296" t="str">
            <v>낡은 이단노선형 쐐기</v>
          </cell>
        </row>
        <row r="297">
          <cell r="A297">
            <v>70100639</v>
          </cell>
          <cell r="B297" t="str">
            <v>강화 이단노선형 쐐기</v>
          </cell>
        </row>
        <row r="298">
          <cell r="A298">
            <v>70100640</v>
          </cell>
          <cell r="B298" t="str">
            <v>낡은 철퇴형 충각</v>
          </cell>
        </row>
        <row r="299">
          <cell r="A299">
            <v>70100641</v>
          </cell>
          <cell r="B299" t="str">
            <v>강화 철퇴형 충각</v>
          </cell>
        </row>
        <row r="300">
          <cell r="A300">
            <v>70100642</v>
          </cell>
          <cell r="B300" t="str">
            <v>낡은 반달도끼 충각</v>
          </cell>
        </row>
        <row r="301">
          <cell r="A301">
            <v>70100643</v>
          </cell>
          <cell r="B301" t="str">
            <v>강화 반달도끼 충각</v>
          </cell>
        </row>
        <row r="302">
          <cell r="A302">
            <v>70100644</v>
          </cell>
          <cell r="B302" t="str">
            <v>낡은 창형 충각</v>
          </cell>
        </row>
        <row r="303">
          <cell r="A303">
            <v>70100645</v>
          </cell>
          <cell r="B303" t="str">
            <v>강화 창형 충각</v>
          </cell>
        </row>
        <row r="304">
          <cell r="A304">
            <v>70100646</v>
          </cell>
          <cell r="B304" t="str">
            <v>폴암형 충각</v>
          </cell>
        </row>
        <row r="305">
          <cell r="A305">
            <v>70100647</v>
          </cell>
          <cell r="B305" t="str">
            <v>강화 폴암형 충각</v>
          </cell>
        </row>
        <row r="306">
          <cell r="A306">
            <v>70100648</v>
          </cell>
          <cell r="B306" t="str">
            <v>할라디 충각</v>
          </cell>
        </row>
        <row r="307">
          <cell r="A307">
            <v>70100649</v>
          </cell>
          <cell r="B307" t="str">
            <v>강화 할라디 충각</v>
          </cell>
        </row>
        <row r="308">
          <cell r="A308">
            <v>70100650</v>
          </cell>
          <cell r="B308" t="str">
            <v>갈퀴 충각</v>
          </cell>
        </row>
        <row r="309">
          <cell r="A309">
            <v>70100651</v>
          </cell>
          <cell r="B309" t="str">
            <v>강화 갈퀴 충각</v>
          </cell>
        </row>
        <row r="310">
          <cell r="A310">
            <v>70100652</v>
          </cell>
          <cell r="B310" t="str">
            <v>무쇠 충각</v>
          </cell>
        </row>
        <row r="311">
          <cell r="A311">
            <v>70100653</v>
          </cell>
          <cell r="B311" t="str">
            <v>강화 무쇠 충각</v>
          </cell>
        </row>
        <row r="312">
          <cell r="A312">
            <v>70100654</v>
          </cell>
          <cell r="B312" t="str">
            <v>삼단노선형 쐐기</v>
          </cell>
        </row>
        <row r="313">
          <cell r="A313">
            <v>70100655</v>
          </cell>
          <cell r="B313" t="str">
            <v>강화 삼단노선형 쐐기</v>
          </cell>
        </row>
        <row r="314">
          <cell r="A314">
            <v>70100656</v>
          </cell>
          <cell r="B314" t="str">
            <v>레이피어 충각</v>
          </cell>
        </row>
        <row r="315">
          <cell r="A315">
            <v>70100657</v>
          </cell>
          <cell r="B315" t="str">
            <v>강화 레이피어 충각</v>
          </cell>
        </row>
        <row r="316">
          <cell r="A316">
            <v>70100658</v>
          </cell>
          <cell r="B316" t="str">
            <v>니레카 충각</v>
          </cell>
        </row>
        <row r="317">
          <cell r="A317">
            <v>70100659</v>
          </cell>
          <cell r="B317" t="str">
            <v>강화 니레카 충각</v>
          </cell>
        </row>
        <row r="318">
          <cell r="A318">
            <v>70100660</v>
          </cell>
          <cell r="B318" t="str">
            <v>세락 파각</v>
          </cell>
        </row>
        <row r="319">
          <cell r="A319">
            <v>70100661</v>
          </cell>
          <cell r="B319" t="str">
            <v>강화 세락 파각</v>
          </cell>
        </row>
        <row r="320">
          <cell r="A320">
            <v>70100662</v>
          </cell>
          <cell r="B320" t="str">
            <v>역날검 충각</v>
          </cell>
        </row>
        <row r="321">
          <cell r="A321">
            <v>70100663</v>
          </cell>
          <cell r="B321" t="str">
            <v>강화 역날검 충각</v>
          </cell>
        </row>
        <row r="322">
          <cell r="A322">
            <v>70100664</v>
          </cell>
          <cell r="B322" t="str">
            <v>톱날 충각</v>
          </cell>
        </row>
        <row r="323">
          <cell r="A323">
            <v>70100665</v>
          </cell>
          <cell r="B323" t="str">
            <v>강화 톱날 충각</v>
          </cell>
        </row>
        <row r="324">
          <cell r="A324">
            <v>70100666</v>
          </cell>
          <cell r="B324" t="str">
            <v>초승달형 충각</v>
          </cell>
        </row>
        <row r="325">
          <cell r="A325">
            <v>70100667</v>
          </cell>
          <cell r="B325" t="str">
            <v>강화 초승달형 충각</v>
          </cell>
        </row>
        <row r="326">
          <cell r="A326">
            <v>70100668</v>
          </cell>
          <cell r="B326" t="str">
            <v>오단 노선형 쐐기</v>
          </cell>
        </row>
        <row r="327">
          <cell r="A327">
            <v>70100669</v>
          </cell>
          <cell r="B327" t="str">
            <v>강화 오단 노선형 쐐기</v>
          </cell>
        </row>
        <row r="328">
          <cell r="A328">
            <v>70100670</v>
          </cell>
          <cell r="B328" t="str">
            <v>일각고래의 뿔</v>
          </cell>
        </row>
        <row r="329">
          <cell r="A329">
            <v>70100671</v>
          </cell>
          <cell r="B329" t="str">
            <v>강화 일각고래의 뿔</v>
          </cell>
        </row>
        <row r="330">
          <cell r="A330">
            <v>70100672</v>
          </cell>
          <cell r="B330" t="str">
            <v>무한의 호른</v>
          </cell>
        </row>
        <row r="331">
          <cell r="A331">
            <v>70100673</v>
          </cell>
          <cell r="B331" t="str">
            <v>강화 무한의 호른</v>
          </cell>
        </row>
        <row r="332">
          <cell r="A332">
            <v>70100674</v>
          </cell>
          <cell r="B332" t="str">
            <v>우아한 은제 충각</v>
          </cell>
        </row>
        <row r="333">
          <cell r="A333">
            <v>70100675</v>
          </cell>
          <cell r="B333" t="str">
            <v>강화 우아한 은제 충각</v>
          </cell>
        </row>
        <row r="334">
          <cell r="A334">
            <v>70100676</v>
          </cell>
          <cell r="B334" t="str">
            <v>드로몬형 충각</v>
          </cell>
        </row>
        <row r="335">
          <cell r="A335">
            <v>70100677</v>
          </cell>
          <cell r="B335" t="str">
            <v>강화 드로몬형 충각</v>
          </cell>
        </row>
        <row r="336">
          <cell r="A336">
            <v>70100678</v>
          </cell>
          <cell r="B336" t="str">
            <v>해신의 창 충각</v>
          </cell>
        </row>
        <row r="337">
          <cell r="A337">
            <v>70100679</v>
          </cell>
          <cell r="B337" t="str">
            <v>강화 해신의 창 충각</v>
          </cell>
        </row>
        <row r="338">
          <cell r="A338">
            <v>70100680</v>
          </cell>
          <cell r="B338" t="str">
            <v>라우타로의 불</v>
          </cell>
        </row>
        <row r="339">
          <cell r="A339">
            <v>70100681</v>
          </cell>
          <cell r="B339" t="str">
            <v>강화 라우타로의 불</v>
          </cell>
        </row>
        <row r="340">
          <cell r="A340">
            <v>70100682</v>
          </cell>
          <cell r="B340" t="str">
            <v>헤라클레스의 철권</v>
          </cell>
        </row>
        <row r="341">
          <cell r="A341">
            <v>70100683</v>
          </cell>
          <cell r="B341" t="str">
            <v>강화 헤라클레스의 철권</v>
          </cell>
        </row>
        <row r="342">
          <cell r="A342">
            <v>70100684</v>
          </cell>
          <cell r="B342" t="str">
            <v>삼단 대형 충각</v>
          </cell>
        </row>
        <row r="343">
          <cell r="A343">
            <v>70100685</v>
          </cell>
          <cell r="B343" t="str">
            <v>강화 삼단 대형 충각</v>
          </cell>
        </row>
        <row r="344">
          <cell r="A344">
            <v>70100686</v>
          </cell>
          <cell r="B344" t="str">
            <v>파도 무늬 황금 충각</v>
          </cell>
        </row>
        <row r="345">
          <cell r="A345">
            <v>70100687</v>
          </cell>
          <cell r="B345" t="str">
            <v>강화 파도 무늬 황금 충각</v>
          </cell>
        </row>
        <row r="346">
          <cell r="A346">
            <v>70100688</v>
          </cell>
          <cell r="B346" t="str">
            <v>별을 찾는 자</v>
          </cell>
        </row>
        <row r="347">
          <cell r="A347">
            <v>70100689</v>
          </cell>
          <cell r="B347" t="str">
            <v>강화 별을 찾는 자</v>
          </cell>
        </row>
        <row r="348">
          <cell r="A348">
            <v>70100690</v>
          </cell>
          <cell r="B348" t="str">
            <v>프랑스식 방패 충각</v>
          </cell>
        </row>
        <row r="349">
          <cell r="A349">
            <v>70100691</v>
          </cell>
          <cell r="B349" t="str">
            <v>강화 프랑스식 방패 충각</v>
          </cell>
        </row>
        <row r="350">
          <cell r="A350">
            <v>70100692</v>
          </cell>
          <cell r="B350" t="str">
            <v>기사의 투구 충각</v>
          </cell>
        </row>
        <row r="351">
          <cell r="A351">
            <v>70100693</v>
          </cell>
          <cell r="B351" t="str">
            <v>강화 기사의 투구 충각</v>
          </cell>
        </row>
        <row r="352">
          <cell r="A352">
            <v>70100694</v>
          </cell>
          <cell r="B352" t="str">
            <v>바이킹 투구 충각</v>
          </cell>
        </row>
        <row r="353">
          <cell r="A353">
            <v>70100695</v>
          </cell>
          <cell r="B353" t="str">
            <v>강화 바이킹 투구 충각</v>
          </cell>
        </row>
        <row r="354">
          <cell r="A354">
            <v>70100696</v>
          </cell>
          <cell r="B354" t="str">
            <v>스웨덴제 쇠구슬 충각</v>
          </cell>
        </row>
        <row r="355">
          <cell r="A355">
            <v>70100697</v>
          </cell>
          <cell r="B355" t="str">
            <v>강화 스웨덴제 쇠구슬 충각</v>
          </cell>
        </row>
        <row r="356">
          <cell r="A356">
            <v>70100698</v>
          </cell>
          <cell r="B356" t="str">
            <v>그리핀의 부리</v>
          </cell>
        </row>
        <row r="357">
          <cell r="A357">
            <v>70100699</v>
          </cell>
          <cell r="B357" t="str">
            <v>강화 그리핀의 부리</v>
          </cell>
        </row>
        <row r="358">
          <cell r="A358">
            <v>70100700</v>
          </cell>
          <cell r="B358" t="str">
            <v>기사의 랜스 충각</v>
          </cell>
        </row>
        <row r="359">
          <cell r="A359">
            <v>70100701</v>
          </cell>
          <cell r="B359" t="str">
            <v>강화 기사의 랜스 충각</v>
          </cell>
        </row>
        <row r="360">
          <cell r="A360">
            <v>70100702</v>
          </cell>
          <cell r="B360" t="str">
            <v>황금 코브라 충각</v>
          </cell>
        </row>
        <row r="361">
          <cell r="A361">
            <v>70100703</v>
          </cell>
          <cell r="B361" t="str">
            <v>강화 황금 코브라 충각</v>
          </cell>
        </row>
        <row r="362">
          <cell r="A362">
            <v>70100704</v>
          </cell>
          <cell r="B362" t="str">
            <v>흑전갈 충각</v>
          </cell>
        </row>
        <row r="363">
          <cell r="A363">
            <v>70100705</v>
          </cell>
          <cell r="B363" t="str">
            <v>강화 흑전갈 충각</v>
          </cell>
        </row>
        <row r="364">
          <cell r="A364">
            <v>70100706</v>
          </cell>
          <cell r="B364" t="str">
            <v>타란툴라 충각</v>
          </cell>
        </row>
        <row r="365">
          <cell r="A365">
            <v>70100707</v>
          </cell>
          <cell r="B365" t="str">
            <v>강화 타란툴라 충각</v>
          </cell>
        </row>
        <row r="366">
          <cell r="A366">
            <v>70100708</v>
          </cell>
          <cell r="B366" t="str">
            <v>청새치 충각</v>
          </cell>
        </row>
        <row r="367">
          <cell r="A367">
            <v>70100709</v>
          </cell>
          <cell r="B367" t="str">
            <v>강화 청새치 충각</v>
          </cell>
        </row>
        <row r="368">
          <cell r="A368">
            <v>70100710</v>
          </cell>
          <cell r="B368" t="str">
            <v>청룡언월도 충각</v>
          </cell>
        </row>
        <row r="369">
          <cell r="A369">
            <v>70100711</v>
          </cell>
          <cell r="B369" t="str">
            <v>강화 청룡언월도 충각</v>
          </cell>
        </row>
        <row r="370">
          <cell r="A370">
            <v>70100712</v>
          </cell>
          <cell r="B370" t="str">
            <v>장팔사모 충각</v>
          </cell>
        </row>
        <row r="371">
          <cell r="A371">
            <v>70100713</v>
          </cell>
          <cell r="B371" t="str">
            <v>강화 장팔사모 충각</v>
          </cell>
        </row>
        <row r="372">
          <cell r="A372">
            <v>70100714</v>
          </cell>
          <cell r="B372" t="str">
            <v>소림사 금강저 충각</v>
          </cell>
        </row>
        <row r="373">
          <cell r="A373">
            <v>70100715</v>
          </cell>
          <cell r="B373" t="str">
            <v>강화 소림사 금강저 충각</v>
          </cell>
        </row>
        <row r="374">
          <cell r="A374">
            <v>70100716</v>
          </cell>
          <cell r="B374" t="str">
            <v>니드호그의 발톱</v>
          </cell>
        </row>
        <row r="375">
          <cell r="A375">
            <v>70100717</v>
          </cell>
          <cell r="B375" t="str">
            <v>강화 니드호그의 발톱</v>
          </cell>
        </row>
        <row r="376">
          <cell r="A376">
            <v>70100718</v>
          </cell>
          <cell r="B376" t="str">
            <v>구르즈 충각</v>
          </cell>
        </row>
        <row r="377">
          <cell r="A377">
            <v>70100719</v>
          </cell>
          <cell r="B377" t="str">
            <v>강화 구르즈 충각</v>
          </cell>
        </row>
        <row r="378">
          <cell r="A378">
            <v>70100720</v>
          </cell>
          <cell r="B378" t="str">
            <v>피톤의 머리</v>
          </cell>
        </row>
        <row r="379">
          <cell r="A379">
            <v>70100721</v>
          </cell>
          <cell r="B379" t="str">
            <v>강화 피톤의 머리</v>
          </cell>
        </row>
        <row r="380">
          <cell r="A380">
            <v>70100722</v>
          </cell>
          <cell r="B380" t="str">
            <v>집게발 충각</v>
          </cell>
        </row>
        <row r="381">
          <cell r="A381">
            <v>70100723</v>
          </cell>
          <cell r="B381" t="str">
            <v>강화 집게발 충각</v>
          </cell>
        </row>
        <row r="382">
          <cell r="A382">
            <v>70100724</v>
          </cell>
          <cell r="B382" t="str">
            <v>술리톱 충각</v>
          </cell>
        </row>
        <row r="383">
          <cell r="A383">
            <v>70100725</v>
          </cell>
          <cell r="B383" t="str">
            <v>강화 술리톱 충각</v>
          </cell>
        </row>
        <row r="384">
          <cell r="A384">
            <v>70100726</v>
          </cell>
          <cell r="B384" t="str">
            <v>묠니르 충각</v>
          </cell>
        </row>
        <row r="385">
          <cell r="A385">
            <v>70100727</v>
          </cell>
          <cell r="B385" t="str">
            <v>강화 묠니르 충각</v>
          </cell>
        </row>
        <row r="386">
          <cell r="A386">
            <v>70100728</v>
          </cell>
          <cell r="B386" t="str">
            <v>메두사의 쐐기</v>
          </cell>
        </row>
        <row r="387">
          <cell r="A387">
            <v>70100729</v>
          </cell>
          <cell r="B387" t="str">
            <v>강화 메두사의 쐐기</v>
          </cell>
        </row>
        <row r="388">
          <cell r="A388">
            <v>70100730</v>
          </cell>
          <cell r="B388" t="str">
            <v>역날형 다이아몬드 충각</v>
          </cell>
        </row>
        <row r="389">
          <cell r="A389">
            <v>70100731</v>
          </cell>
          <cell r="B389" t="str">
            <v>강화 역날형 다이아몬드 충각</v>
          </cell>
        </row>
        <row r="390">
          <cell r="A390">
            <v>70100732</v>
          </cell>
          <cell r="B390" t="str">
            <v>바다 기사단의 충각</v>
          </cell>
        </row>
        <row r="391">
          <cell r="A391">
            <v>70100733</v>
          </cell>
          <cell r="B391" t="str">
            <v>새내기 제독의 충각</v>
          </cell>
        </row>
        <row r="392">
          <cell r="A392">
            <v>70100734</v>
          </cell>
          <cell r="B392" t="str">
            <v>상단 연합의 돌진 충각</v>
          </cell>
        </row>
        <row r="393">
          <cell r="A393">
            <v>70100735</v>
          </cell>
          <cell r="B393" t="str">
            <v>상단 연합의 분쇄 충각</v>
          </cell>
        </row>
        <row r="394">
          <cell r="A394">
            <v>70100736</v>
          </cell>
          <cell r="B394" t="str">
            <v>폭풍 선단의 전투 충각</v>
          </cell>
        </row>
        <row r="395">
          <cell r="A395">
            <v>70100737</v>
          </cell>
          <cell r="B395" t="str">
            <v>폭풍 선단의 돌진 충각</v>
          </cell>
        </row>
        <row r="396">
          <cell r="A396">
            <v>70100738</v>
          </cell>
          <cell r="B396" t="str">
            <v>폭풍 선단의 분쇄 충각</v>
          </cell>
        </row>
        <row r="397">
          <cell r="A397">
            <v>70100739</v>
          </cell>
          <cell r="B397" t="str">
            <v>상회의 충각</v>
          </cell>
        </row>
        <row r="398">
          <cell r="A398">
            <v>70100846</v>
          </cell>
          <cell r="B398" t="str">
            <v>선수상 없음</v>
          </cell>
        </row>
        <row r="399">
          <cell r="A399">
            <v>70100847</v>
          </cell>
          <cell r="B399" t="str">
            <v>범고래상</v>
          </cell>
        </row>
        <row r="400">
          <cell r="A400">
            <v>70100848</v>
          </cell>
          <cell r="B400" t="str">
            <v>호랑이상</v>
          </cell>
        </row>
        <row r="401">
          <cell r="A401">
            <v>70100849</v>
          </cell>
          <cell r="B401" t="str">
            <v>표범상</v>
          </cell>
        </row>
        <row r="402">
          <cell r="A402">
            <v>70100850</v>
          </cell>
          <cell r="B402" t="str">
            <v>송골매상</v>
          </cell>
        </row>
        <row r="403">
          <cell r="A403">
            <v>70100851</v>
          </cell>
          <cell r="B403" t="str">
            <v>푸른솔개상</v>
          </cell>
        </row>
        <row r="404">
          <cell r="A404">
            <v>70100852</v>
          </cell>
          <cell r="B404" t="str">
            <v>돌고래상</v>
          </cell>
        </row>
        <row r="405">
          <cell r="A405">
            <v>70100853</v>
          </cell>
          <cell r="B405" t="str">
            <v>고래상</v>
          </cell>
        </row>
        <row r="406">
          <cell r="A406">
            <v>70100854</v>
          </cell>
          <cell r="B406" t="str">
            <v>매의 상</v>
          </cell>
        </row>
        <row r="407">
          <cell r="A407">
            <v>70100855</v>
          </cell>
          <cell r="B407" t="str">
            <v>솔개상</v>
          </cell>
        </row>
        <row r="408">
          <cell r="A408">
            <v>70100856</v>
          </cell>
          <cell r="B408" t="str">
            <v>라나팰콘상</v>
          </cell>
        </row>
        <row r="409">
          <cell r="A409">
            <v>70100857</v>
          </cell>
          <cell r="B409" t="str">
            <v>상어상</v>
          </cell>
        </row>
        <row r="410">
          <cell r="A410">
            <v>70100858</v>
          </cell>
          <cell r="B410" t="str">
            <v>화이트사이드의상</v>
          </cell>
        </row>
        <row r="411">
          <cell r="A411">
            <v>70100859</v>
          </cell>
          <cell r="B411" t="str">
            <v>독수리상</v>
          </cell>
        </row>
        <row r="412">
          <cell r="A412">
            <v>70100860</v>
          </cell>
          <cell r="B412" t="str">
            <v>거북상</v>
          </cell>
        </row>
        <row r="413">
          <cell r="A413">
            <v>70100861</v>
          </cell>
          <cell r="B413" t="str">
            <v>사자상</v>
          </cell>
        </row>
        <row r="414">
          <cell r="A414">
            <v>70100862</v>
          </cell>
          <cell r="B414" t="str">
            <v>쥐돌고래상</v>
          </cell>
        </row>
        <row r="415">
          <cell r="A415">
            <v>70100863</v>
          </cell>
          <cell r="B415" t="str">
            <v>처녀상</v>
          </cell>
        </row>
        <row r="416">
          <cell r="A416">
            <v>70100864</v>
          </cell>
          <cell r="B416" t="str">
            <v>흰돌고래상</v>
          </cell>
        </row>
        <row r="417">
          <cell r="A417">
            <v>70100865</v>
          </cell>
          <cell r="B417" t="str">
            <v>나고래상</v>
          </cell>
        </row>
        <row r="418">
          <cell r="A418">
            <v>70100866</v>
          </cell>
          <cell r="B418" t="str">
            <v>나이트 호크상</v>
          </cell>
        </row>
        <row r="419">
          <cell r="A419">
            <v>70100867</v>
          </cell>
          <cell r="B419" t="str">
            <v>고스 호크상</v>
          </cell>
        </row>
        <row r="420">
          <cell r="A420">
            <v>70100868</v>
          </cell>
          <cell r="B420" t="str">
            <v>긴수염고래상</v>
          </cell>
        </row>
        <row r="421">
          <cell r="A421">
            <v>70100869</v>
          </cell>
          <cell r="B421" t="str">
            <v>매너티의 상</v>
          </cell>
        </row>
        <row r="422">
          <cell r="A422">
            <v>70100870</v>
          </cell>
          <cell r="B422" t="str">
            <v>케스트랄상</v>
          </cell>
        </row>
        <row r="423">
          <cell r="A423">
            <v>70100871</v>
          </cell>
          <cell r="B423" t="str">
            <v>스패로 호크상</v>
          </cell>
        </row>
        <row r="424">
          <cell r="A424">
            <v>70100872</v>
          </cell>
          <cell r="B424" t="str">
            <v>고급 천사상</v>
          </cell>
        </row>
        <row r="425">
          <cell r="A425">
            <v>70100873</v>
          </cell>
          <cell r="B425" t="str">
            <v>벌쳐상</v>
          </cell>
        </row>
        <row r="426">
          <cell r="A426">
            <v>70100874</v>
          </cell>
          <cell r="B426" t="str">
            <v>세이렌상</v>
          </cell>
        </row>
        <row r="427">
          <cell r="A427">
            <v>70100875</v>
          </cell>
          <cell r="B427" t="str">
            <v>불사조상</v>
          </cell>
        </row>
        <row r="428">
          <cell r="A428">
            <v>70100876</v>
          </cell>
          <cell r="B428" t="str">
            <v>흰긴수염고래상</v>
          </cell>
        </row>
        <row r="429">
          <cell r="A429">
            <v>70100877</v>
          </cell>
          <cell r="B429" t="str">
            <v>바위새상</v>
          </cell>
        </row>
        <row r="430">
          <cell r="A430">
            <v>70100878</v>
          </cell>
          <cell r="B430" t="str">
            <v>고급 여신상</v>
          </cell>
        </row>
        <row r="431">
          <cell r="A431">
            <v>70100879</v>
          </cell>
          <cell r="B431" t="str">
            <v>고급 듀공상</v>
          </cell>
        </row>
        <row r="432">
          <cell r="A432">
            <v>70100880</v>
          </cell>
          <cell r="B432" t="str">
            <v>고급 금독수리상</v>
          </cell>
        </row>
        <row r="433">
          <cell r="A433">
            <v>70100881</v>
          </cell>
          <cell r="B433" t="str">
            <v>고급 해신상</v>
          </cell>
        </row>
        <row r="434">
          <cell r="A434">
            <v>70100882</v>
          </cell>
          <cell r="B434" t="str">
            <v>고급 성모상</v>
          </cell>
        </row>
        <row r="435">
          <cell r="A435">
            <v>70100883</v>
          </cell>
          <cell r="B435" t="str">
            <v>고급 왕자상</v>
          </cell>
        </row>
        <row r="436">
          <cell r="A436">
            <v>70100884</v>
          </cell>
          <cell r="B436" t="str">
            <v>고급 용사상</v>
          </cell>
        </row>
        <row r="437">
          <cell r="A437">
            <v>70100885</v>
          </cell>
          <cell r="B437" t="str">
            <v>고급 에우로페상</v>
          </cell>
        </row>
        <row r="438">
          <cell r="A438">
            <v>70100886</v>
          </cell>
          <cell r="B438" t="str">
            <v>고급 백상어상</v>
          </cell>
        </row>
        <row r="439">
          <cell r="A439">
            <v>70100887</v>
          </cell>
          <cell r="B439" t="str">
            <v>고급 위인상</v>
          </cell>
        </row>
        <row r="440">
          <cell r="A440">
            <v>70100888</v>
          </cell>
          <cell r="B440" t="str">
            <v>고급 톱상어상</v>
          </cell>
        </row>
        <row r="441">
          <cell r="A441">
            <v>70100889</v>
          </cell>
          <cell r="B441" t="str">
            <v>고급 안드로메다상</v>
          </cell>
        </row>
        <row r="442">
          <cell r="A442">
            <v>70100890</v>
          </cell>
          <cell r="B442" t="str">
            <v>고급 샌드타이거상</v>
          </cell>
        </row>
        <row r="443">
          <cell r="A443">
            <v>70100891</v>
          </cell>
          <cell r="B443" t="str">
            <v>고급 해수상</v>
          </cell>
        </row>
        <row r="444">
          <cell r="A444">
            <v>70100892</v>
          </cell>
          <cell r="B444" t="str">
            <v>고급 에로스상</v>
          </cell>
        </row>
        <row r="445">
          <cell r="A445">
            <v>70100893</v>
          </cell>
          <cell r="B445" t="str">
            <v>고급 파리스상</v>
          </cell>
        </row>
        <row r="446">
          <cell r="A446">
            <v>70100894</v>
          </cell>
          <cell r="B446" t="str">
            <v>고급 네르바 황제상</v>
          </cell>
        </row>
        <row r="447">
          <cell r="A447">
            <v>70100895</v>
          </cell>
          <cell r="B447" t="str">
            <v>고급 피우스 황제상</v>
          </cell>
        </row>
        <row r="448">
          <cell r="A448">
            <v>70100896</v>
          </cell>
          <cell r="B448" t="str">
            <v>고급 하드리아누스 황제상</v>
          </cell>
        </row>
        <row r="449">
          <cell r="A449">
            <v>70100897</v>
          </cell>
          <cell r="B449" t="str">
            <v>고급 아가멤논상</v>
          </cell>
        </row>
        <row r="450">
          <cell r="A450">
            <v>70100898</v>
          </cell>
          <cell r="B450" t="str">
            <v>고급 큐피트상</v>
          </cell>
        </row>
        <row r="451">
          <cell r="A451">
            <v>70100899</v>
          </cell>
          <cell r="B451" t="str">
            <v>고급 미다스왕의 선수상</v>
          </cell>
        </row>
        <row r="452">
          <cell r="A452">
            <v>70100900</v>
          </cell>
          <cell r="B452" t="str">
            <v>고급 아르키메데스상</v>
          </cell>
        </row>
        <row r="453">
          <cell r="A453">
            <v>70100901</v>
          </cell>
          <cell r="B453" t="str">
            <v>고급 트라야누스 황제상</v>
          </cell>
        </row>
        <row r="454">
          <cell r="A454">
            <v>70100902</v>
          </cell>
          <cell r="B454" t="str">
            <v>고급 흰머리 독수리상</v>
          </cell>
        </row>
        <row r="455">
          <cell r="A455">
            <v>70100903</v>
          </cell>
          <cell r="B455" t="str">
            <v>고급 천룡상</v>
          </cell>
        </row>
        <row r="456">
          <cell r="A456">
            <v>70100904</v>
          </cell>
          <cell r="B456" t="str">
            <v>고급 판도라상</v>
          </cell>
        </row>
        <row r="457">
          <cell r="A457">
            <v>70100905</v>
          </cell>
          <cell r="B457" t="str">
            <v>고급 벤누의상</v>
          </cell>
        </row>
        <row r="458">
          <cell r="A458">
            <v>70100906</v>
          </cell>
          <cell r="B458" t="str">
            <v>고급 와이번상</v>
          </cell>
        </row>
        <row r="459">
          <cell r="A459">
            <v>70100907</v>
          </cell>
          <cell r="B459" t="str">
            <v>고급 성인상</v>
          </cell>
        </row>
        <row r="460">
          <cell r="A460">
            <v>70100908</v>
          </cell>
          <cell r="B460" t="str">
            <v>고급 티아마트상</v>
          </cell>
        </row>
        <row r="461">
          <cell r="A461">
            <v>70100909</v>
          </cell>
          <cell r="B461" t="str">
            <v>고급 양쯔강돌고래상</v>
          </cell>
        </row>
        <row r="462">
          <cell r="A462">
            <v>70100910</v>
          </cell>
          <cell r="B462" t="str">
            <v>고급 리바이어던상</v>
          </cell>
        </row>
        <row r="463">
          <cell r="A463">
            <v>70100911</v>
          </cell>
          <cell r="B463" t="str">
            <v>고급 케살코아틀상</v>
          </cell>
        </row>
        <row r="464">
          <cell r="A464">
            <v>70100912</v>
          </cell>
          <cell r="B464" t="str">
            <v>고급 아르테미스상</v>
          </cell>
        </row>
        <row r="465">
          <cell r="A465">
            <v>70100913</v>
          </cell>
          <cell r="B465" t="str">
            <v>고급 가고일상</v>
          </cell>
        </row>
        <row r="466">
          <cell r="A466">
            <v>70100914</v>
          </cell>
          <cell r="B466" t="str">
            <v>고급 아이네이아스상</v>
          </cell>
        </row>
        <row r="467">
          <cell r="A467">
            <v>70100915</v>
          </cell>
          <cell r="B467" t="str">
            <v>고급 익스타브상</v>
          </cell>
        </row>
        <row r="468">
          <cell r="A468">
            <v>70100916</v>
          </cell>
          <cell r="B468" t="str">
            <v>고급 디아나상</v>
          </cell>
        </row>
        <row r="469">
          <cell r="A469">
            <v>70100917</v>
          </cell>
          <cell r="B469" t="str">
            <v>고급 아디 다하카상</v>
          </cell>
        </row>
        <row r="470">
          <cell r="A470">
            <v>70100918</v>
          </cell>
          <cell r="B470" t="str">
            <v>고급 성안드레상</v>
          </cell>
        </row>
        <row r="471">
          <cell r="A471">
            <v>70100919</v>
          </cell>
          <cell r="B471" t="str">
            <v>고급 시서펜트상</v>
          </cell>
        </row>
        <row r="472">
          <cell r="A472">
            <v>70100920</v>
          </cell>
          <cell r="B472" t="str">
            <v>고급 아난타상</v>
          </cell>
        </row>
        <row r="473">
          <cell r="A473">
            <v>70100921</v>
          </cell>
          <cell r="B473" t="str">
            <v>고급 라 선수상</v>
          </cell>
        </row>
        <row r="474">
          <cell r="A474">
            <v>70100922</v>
          </cell>
          <cell r="B474" t="str">
            <v>고급 정화함대의 선수상</v>
          </cell>
        </row>
        <row r="475">
          <cell r="A475">
            <v>70100923</v>
          </cell>
          <cell r="B475" t="str">
            <v>고급 브리트라상</v>
          </cell>
        </row>
        <row r="476">
          <cell r="A476">
            <v>70100924</v>
          </cell>
          <cell r="B476" t="str">
            <v>고급 성페테로상</v>
          </cell>
        </row>
        <row r="477">
          <cell r="A477">
            <v>70100925</v>
          </cell>
          <cell r="B477" t="str">
            <v>고급 플라톤상</v>
          </cell>
        </row>
        <row r="478">
          <cell r="A478">
            <v>70100926</v>
          </cell>
          <cell r="B478" t="str">
            <v>고급 마우상</v>
          </cell>
        </row>
        <row r="479">
          <cell r="A479">
            <v>70100927</v>
          </cell>
          <cell r="B479" t="str">
            <v>고급 살라딘의 상</v>
          </cell>
        </row>
        <row r="480">
          <cell r="A480">
            <v>70100928</v>
          </cell>
          <cell r="B480" t="str">
            <v>고급 한니발상</v>
          </cell>
        </row>
        <row r="481">
          <cell r="A481">
            <v>70100929</v>
          </cell>
          <cell r="B481" t="str">
            <v>고급 용머리 선수상</v>
          </cell>
        </row>
        <row r="482">
          <cell r="A482">
            <v>70100930</v>
          </cell>
          <cell r="B482" t="str">
            <v>고급 아누비스 선수상</v>
          </cell>
        </row>
        <row r="483">
          <cell r="A483">
            <v>70100931</v>
          </cell>
          <cell r="B483" t="str">
            <v>고급 성브렌던상</v>
          </cell>
        </row>
        <row r="484">
          <cell r="A484">
            <v>70100932</v>
          </cell>
          <cell r="B484" t="str">
            <v>고급 다누상</v>
          </cell>
        </row>
        <row r="485">
          <cell r="A485">
            <v>70100933</v>
          </cell>
          <cell r="B485" t="str">
            <v>고급 파프니르상</v>
          </cell>
        </row>
        <row r="486">
          <cell r="A486">
            <v>70100934</v>
          </cell>
          <cell r="B486" t="str">
            <v>고급 쿠크르칸상</v>
          </cell>
        </row>
        <row r="487">
          <cell r="A487">
            <v>70100935</v>
          </cell>
          <cell r="B487" t="str">
            <v>고급 오디세우스의 상</v>
          </cell>
        </row>
        <row r="488">
          <cell r="A488">
            <v>70100936</v>
          </cell>
          <cell r="B488" t="str">
            <v>고급 소크라테스상</v>
          </cell>
        </row>
        <row r="489">
          <cell r="A489">
            <v>70100937</v>
          </cell>
          <cell r="B489" t="str">
            <v>고급 성커스버트상</v>
          </cell>
        </row>
        <row r="490">
          <cell r="A490">
            <v>70100938</v>
          </cell>
          <cell r="B490" t="str">
            <v>고급 잔 다르크상</v>
          </cell>
        </row>
        <row r="491">
          <cell r="A491">
            <v>70100939</v>
          </cell>
          <cell r="B491" t="str">
            <v>고급 아우렐리우스 황제상</v>
          </cell>
        </row>
        <row r="492">
          <cell r="A492">
            <v>70100940</v>
          </cell>
          <cell r="B492" t="str">
            <v>고급 알라시드상</v>
          </cell>
        </row>
        <row r="493">
          <cell r="A493">
            <v>70100941</v>
          </cell>
          <cell r="B493" t="str">
            <v>고급 그리폰상</v>
          </cell>
        </row>
        <row r="494">
          <cell r="A494">
            <v>70100942</v>
          </cell>
          <cell r="B494" t="str">
            <v>고급 요르문간드상</v>
          </cell>
        </row>
        <row r="495">
          <cell r="A495">
            <v>70100943</v>
          </cell>
          <cell r="B495" t="str">
            <v>고급 이슈타르상</v>
          </cell>
        </row>
        <row r="496">
          <cell r="A496">
            <v>70100944</v>
          </cell>
          <cell r="B496" t="str">
            <v>고급 아나히타상</v>
          </cell>
        </row>
        <row r="497">
          <cell r="A497">
            <v>70100945</v>
          </cell>
          <cell r="B497" t="str">
            <v>고급 프레이아상</v>
          </cell>
        </row>
        <row r="498">
          <cell r="A498">
            <v>70100946</v>
          </cell>
          <cell r="B498" t="str">
            <v>고급 포세이돈상</v>
          </cell>
        </row>
        <row r="499">
          <cell r="A499">
            <v>70100947</v>
          </cell>
          <cell r="B499" t="str">
            <v>고급 성마르코상</v>
          </cell>
        </row>
        <row r="500">
          <cell r="A500">
            <v>70100948</v>
          </cell>
          <cell r="B500" t="str">
            <v>고급 성크리스토퍼상</v>
          </cell>
        </row>
        <row r="501">
          <cell r="A501">
            <v>70100949</v>
          </cell>
          <cell r="B501" t="str">
            <v>고급 아쇼카왕상</v>
          </cell>
        </row>
        <row r="502">
          <cell r="A502">
            <v>70100950</v>
          </cell>
          <cell r="B502" t="str">
            <v>고급 사라스바티의 상</v>
          </cell>
        </row>
        <row r="503">
          <cell r="A503">
            <v>70100951</v>
          </cell>
          <cell r="B503" t="str">
            <v>고급 잉어상</v>
          </cell>
        </row>
        <row r="504">
          <cell r="A504">
            <v>70100952</v>
          </cell>
          <cell r="B504" t="str">
            <v>고급 람세스 2세의 상</v>
          </cell>
        </row>
        <row r="505">
          <cell r="A505">
            <v>70100953</v>
          </cell>
          <cell r="B505" t="str">
            <v>고급 해골상</v>
          </cell>
        </row>
        <row r="506">
          <cell r="A506">
            <v>70100954</v>
          </cell>
          <cell r="B506" t="str">
            <v>고급 코끼리상</v>
          </cell>
        </row>
        <row r="507">
          <cell r="A507">
            <v>70100955</v>
          </cell>
          <cell r="B507" t="str">
            <v>고급 넵투누스상</v>
          </cell>
        </row>
        <row r="508">
          <cell r="A508">
            <v>70100956</v>
          </cell>
          <cell r="B508" t="str">
            <v>고급 문어상</v>
          </cell>
        </row>
        <row r="509">
          <cell r="A509">
            <v>70100957</v>
          </cell>
          <cell r="B509" t="str">
            <v>고급 곰상</v>
          </cell>
        </row>
        <row r="510">
          <cell r="A510">
            <v>70100958</v>
          </cell>
          <cell r="B510" t="str">
            <v>고급 성마그달레나상</v>
          </cell>
        </row>
        <row r="511">
          <cell r="A511">
            <v>70100959</v>
          </cell>
          <cell r="B511" t="str">
            <v>고급 헤라상</v>
          </cell>
        </row>
        <row r="512">
          <cell r="A512">
            <v>70100960</v>
          </cell>
          <cell r="B512" t="str">
            <v>고급 펜리르상</v>
          </cell>
        </row>
        <row r="513">
          <cell r="A513">
            <v>70100961</v>
          </cell>
          <cell r="B513" t="str">
            <v>고급 비너스상</v>
          </cell>
        </row>
        <row r="514">
          <cell r="A514">
            <v>70100962</v>
          </cell>
          <cell r="B514" t="str">
            <v>고급 용상</v>
          </cell>
        </row>
        <row r="515">
          <cell r="A515">
            <v>70100963</v>
          </cell>
          <cell r="B515" t="str">
            <v>고급 성아가타상</v>
          </cell>
        </row>
        <row r="516">
          <cell r="A516">
            <v>70100964</v>
          </cell>
          <cell r="B516" t="str">
            <v>고급 가루다상</v>
          </cell>
        </row>
        <row r="517">
          <cell r="A517">
            <v>70100965</v>
          </cell>
          <cell r="B517" t="str">
            <v>고급 아프로디테상</v>
          </cell>
        </row>
        <row r="518">
          <cell r="A518">
            <v>70100966</v>
          </cell>
          <cell r="B518" t="str">
            <v>고급 동자승상</v>
          </cell>
        </row>
        <row r="519">
          <cell r="A519">
            <v>70100967</v>
          </cell>
          <cell r="B519" t="str">
            <v>고급 맨티코어상</v>
          </cell>
        </row>
        <row r="520">
          <cell r="A520">
            <v>70100968</v>
          </cell>
          <cell r="B520" t="str">
            <v>고급 라크슈미의상</v>
          </cell>
        </row>
        <row r="521">
          <cell r="A521">
            <v>70100969</v>
          </cell>
          <cell r="B521" t="str">
            <v>고급 유노상</v>
          </cell>
        </row>
        <row r="522">
          <cell r="A522">
            <v>70100970</v>
          </cell>
          <cell r="B522" t="str">
            <v>고급 성니코라우스상</v>
          </cell>
        </row>
        <row r="523">
          <cell r="A523">
            <v>70100971</v>
          </cell>
          <cell r="B523" t="str">
            <v>고급 팔바티상</v>
          </cell>
        </row>
        <row r="524">
          <cell r="A524">
            <v>70100972</v>
          </cell>
          <cell r="B524" t="str">
            <v>고급 성게오르기우스상</v>
          </cell>
        </row>
        <row r="525">
          <cell r="A525">
            <v>70100973</v>
          </cell>
          <cell r="B525" t="str">
            <v>고급 성바바라상</v>
          </cell>
        </row>
        <row r="526">
          <cell r="A526">
            <v>70100974</v>
          </cell>
          <cell r="B526" t="str">
            <v>고급 물소상</v>
          </cell>
        </row>
        <row r="527">
          <cell r="A527">
            <v>70100975</v>
          </cell>
          <cell r="B527" t="str">
            <v>고급 이시스상</v>
          </cell>
        </row>
        <row r="528">
          <cell r="A528">
            <v>70100976</v>
          </cell>
          <cell r="B528" t="str">
            <v>고급 코뿔소상</v>
          </cell>
        </row>
        <row r="529">
          <cell r="A529">
            <v>70100977</v>
          </cell>
          <cell r="B529" t="str">
            <v>고급 아틀라스 선수상</v>
          </cell>
        </row>
        <row r="530">
          <cell r="A530">
            <v>70100978</v>
          </cell>
          <cell r="B530" t="str">
            <v>고급 해태상</v>
          </cell>
        </row>
        <row r="531">
          <cell r="A531">
            <v>70100979</v>
          </cell>
          <cell r="B531" t="str">
            <v>고급 관우상</v>
          </cell>
        </row>
        <row r="532">
          <cell r="A532">
            <v>70100980</v>
          </cell>
          <cell r="B532" t="str">
            <v>고급 세종대왕상</v>
          </cell>
        </row>
        <row r="533">
          <cell r="A533">
            <v>70100981</v>
          </cell>
          <cell r="B533" t="str">
            <v>고급 장비상</v>
          </cell>
        </row>
        <row r="534">
          <cell r="A534">
            <v>70100982</v>
          </cell>
          <cell r="B534" t="str">
            <v>고급 칭기즈칸 상</v>
          </cell>
        </row>
        <row r="535">
          <cell r="A535">
            <v>70100983</v>
          </cell>
          <cell r="B535" t="str">
            <v>고급 석가모니상</v>
          </cell>
        </row>
        <row r="536">
          <cell r="A536">
            <v>70100984</v>
          </cell>
          <cell r="B536" t="str">
            <v>고급 인어상</v>
          </cell>
        </row>
        <row r="537">
          <cell r="A537">
            <v>70100985</v>
          </cell>
          <cell r="B537" t="str">
            <v>고급 바하무트상</v>
          </cell>
        </row>
        <row r="538">
          <cell r="A538">
            <v>70100986</v>
          </cell>
          <cell r="B538" t="str">
            <v>고급 일루얀카스상</v>
          </cell>
        </row>
        <row r="539">
          <cell r="A539">
            <v>70100987</v>
          </cell>
          <cell r="B539" t="str">
            <v>고급 황제 독수리상</v>
          </cell>
        </row>
        <row r="540">
          <cell r="A540">
            <v>70100988</v>
          </cell>
          <cell r="B540" t="str">
            <v>고급 화랑상</v>
          </cell>
        </row>
        <row r="541">
          <cell r="A541">
            <v>70100989</v>
          </cell>
          <cell r="B541" t="str">
            <v>고급 오니상</v>
          </cell>
        </row>
        <row r="542">
          <cell r="A542">
            <v>70100990</v>
          </cell>
          <cell r="B542" t="str">
            <v>고급 사무라이상</v>
          </cell>
        </row>
        <row r="543">
          <cell r="A543">
            <v>70101373</v>
          </cell>
          <cell r="B543" t="str">
            <v>새내기 제독의 선수상</v>
          </cell>
        </row>
        <row r="544">
          <cell r="A544">
            <v>70100991</v>
          </cell>
          <cell r="B544" t="str">
            <v>특수 없음</v>
          </cell>
        </row>
        <row r="545">
          <cell r="A545">
            <v>70100992</v>
          </cell>
          <cell r="B545" t="str">
            <v>강화 스플릿</v>
          </cell>
        </row>
        <row r="546">
          <cell r="A546">
            <v>70100993</v>
          </cell>
          <cell r="B546" t="str">
            <v>강화 스팽커</v>
          </cell>
        </row>
        <row r="547">
          <cell r="A547">
            <v>70100994</v>
          </cell>
          <cell r="B547" t="str">
            <v>아카시아 노</v>
          </cell>
        </row>
        <row r="548">
          <cell r="A548">
            <v>70100995</v>
          </cell>
          <cell r="B548" t="str">
            <v>방향타</v>
          </cell>
        </row>
        <row r="549">
          <cell r="A549">
            <v>70100996</v>
          </cell>
          <cell r="B549" t="str">
            <v>강화 수조</v>
          </cell>
        </row>
        <row r="550">
          <cell r="A550">
            <v>70100997</v>
          </cell>
          <cell r="B550" t="str">
            <v>개조 현장</v>
          </cell>
        </row>
        <row r="551">
          <cell r="A551">
            <v>70100998</v>
          </cell>
          <cell r="B551" t="str">
            <v>강화 수밀격벽</v>
          </cell>
        </row>
        <row r="552">
          <cell r="A552">
            <v>70100999</v>
          </cell>
          <cell r="B552" t="str">
            <v>특제 리깅</v>
          </cell>
        </row>
        <row r="553">
          <cell r="A553">
            <v>70101000</v>
          </cell>
          <cell r="B553" t="str">
            <v>악기 보관함</v>
          </cell>
        </row>
        <row r="554">
          <cell r="A554">
            <v>70101001</v>
          </cell>
          <cell r="B554" t="str">
            <v>강화 방벽</v>
          </cell>
        </row>
        <row r="555">
          <cell r="A555">
            <v>70101002</v>
          </cell>
          <cell r="B555" t="str">
            <v>강화 캡스턴</v>
          </cell>
        </row>
        <row r="556">
          <cell r="A556">
            <v>70101003</v>
          </cell>
          <cell r="B556" t="str">
            <v>정찰정</v>
          </cell>
        </row>
        <row r="557">
          <cell r="A557">
            <v>70101004</v>
          </cell>
          <cell r="B557" t="str">
            <v>구조정</v>
          </cell>
        </row>
        <row r="558">
          <cell r="A558">
            <v>70101005</v>
          </cell>
          <cell r="B558" t="str">
            <v>돛대등</v>
          </cell>
        </row>
        <row r="559">
          <cell r="A559">
            <v>70101006</v>
          </cell>
          <cell r="B559" t="str">
            <v>섬광등</v>
          </cell>
        </row>
        <row r="560">
          <cell r="A560">
            <v>70101007</v>
          </cell>
          <cell r="B560" t="str">
            <v>대형 선창</v>
          </cell>
        </row>
        <row r="561">
          <cell r="A561">
            <v>70101008</v>
          </cell>
          <cell r="B561" t="str">
            <v>소해정</v>
          </cell>
        </row>
        <row r="562">
          <cell r="A562">
            <v>70101009</v>
          </cell>
          <cell r="B562" t="str">
            <v>귀선 등갑</v>
          </cell>
        </row>
        <row r="563">
          <cell r="A563">
            <v>70101010</v>
          </cell>
          <cell r="B563" t="str">
            <v>선수포 개조</v>
          </cell>
        </row>
        <row r="564">
          <cell r="A564">
            <v>70101011</v>
          </cell>
          <cell r="B564" t="str">
            <v>선미포 개조</v>
          </cell>
        </row>
        <row r="565">
          <cell r="A565">
            <v>70101013</v>
          </cell>
          <cell r="B565" t="str">
            <v>신기전</v>
          </cell>
        </row>
        <row r="566">
          <cell r="A566">
            <v>70101014</v>
          </cell>
          <cell r="B566" t="str">
            <v>대신기전</v>
          </cell>
        </row>
        <row r="567">
          <cell r="A567">
            <v>70101015</v>
          </cell>
          <cell r="B567" t="str">
            <v>용머리 화포</v>
          </cell>
        </row>
        <row r="568">
          <cell r="A568">
            <v>70101016</v>
          </cell>
          <cell r="B568" t="str">
            <v>그리스의 불</v>
          </cell>
        </row>
        <row r="569">
          <cell r="A569">
            <v>70101017</v>
          </cell>
          <cell r="B569" t="str">
            <v>화염방사기</v>
          </cell>
        </row>
        <row r="570">
          <cell r="A570">
            <v>70101018</v>
          </cell>
          <cell r="B570" t="str">
            <v>갈고리 발사대</v>
          </cell>
        </row>
        <row r="571">
          <cell r="A571">
            <v>70101019</v>
          </cell>
          <cell r="B571" t="str">
            <v>내화벽</v>
          </cell>
        </row>
        <row r="572">
          <cell r="A572">
            <v>70101020</v>
          </cell>
          <cell r="B572" t="str">
            <v>풍등</v>
          </cell>
        </row>
        <row r="573">
          <cell r="A573">
            <v>70101021</v>
          </cell>
          <cell r="B573" t="str">
            <v>연</v>
          </cell>
        </row>
        <row r="574">
          <cell r="A574">
            <v>70101022</v>
          </cell>
          <cell r="B574" t="str">
            <v>#선박 특성 부품(탱커)</v>
          </cell>
        </row>
        <row r="575">
          <cell r="A575">
            <v>70101023</v>
          </cell>
          <cell r="B575" t="str">
            <v>#포격 특성 부품(원딜)</v>
          </cell>
        </row>
        <row r="576">
          <cell r="A576">
            <v>70101024</v>
          </cell>
          <cell r="B576" t="str">
            <v>#백병 특성 부품(근딜)</v>
          </cell>
        </row>
        <row r="577">
          <cell r="A577">
            <v>70101025</v>
          </cell>
          <cell r="B577" t="str">
            <v>#지원 특성 부품(힐러)</v>
          </cell>
        </row>
        <row r="578">
          <cell r="A578">
            <v>70101385</v>
          </cell>
          <cell r="B578" t="str">
            <v>파랑용 덧판</v>
          </cell>
        </row>
        <row r="579">
          <cell r="A579">
            <v>70101386</v>
          </cell>
          <cell r="B579" t="str">
            <v>해류용 덧판</v>
          </cell>
        </row>
        <row r="580">
          <cell r="A580">
            <v>70101387</v>
          </cell>
          <cell r="B580" t="str">
            <v>해빙용 덧판</v>
          </cell>
        </row>
        <row r="581">
          <cell r="A581">
            <v>70101388</v>
          </cell>
          <cell r="B581" t="str">
            <v>허름한 노</v>
          </cell>
        </row>
        <row r="582">
          <cell r="A582">
            <v>70101389</v>
          </cell>
          <cell r="B582" t="str">
            <v>소형 가로 연돛</v>
          </cell>
        </row>
        <row r="583">
          <cell r="A583">
            <v>70101390</v>
          </cell>
          <cell r="B583" t="str">
            <v>소형 세로 연돛</v>
          </cell>
        </row>
        <row r="584">
          <cell r="A584">
            <v>70101391</v>
          </cell>
          <cell r="B584" t="str">
            <v>적재용 보따리</v>
          </cell>
        </row>
        <row r="585">
          <cell r="A585">
            <v>70101392</v>
          </cell>
          <cell r="B585" t="str">
            <v>지휘용 단상</v>
          </cell>
        </row>
        <row r="586">
          <cell r="A586">
            <v>70101393</v>
          </cell>
          <cell r="B586" t="str">
            <v>간이 침상</v>
          </cell>
        </row>
        <row r="587">
          <cell r="A587">
            <v>70101394</v>
          </cell>
          <cell r="B587" t="str">
            <v>파랑용 외판</v>
          </cell>
        </row>
        <row r="588">
          <cell r="A588">
            <v>70101395</v>
          </cell>
          <cell r="B588" t="str">
            <v>해류용 외판</v>
          </cell>
        </row>
        <row r="589">
          <cell r="A589">
            <v>70101396</v>
          </cell>
          <cell r="B589" t="str">
            <v>해빙용 외판</v>
          </cell>
        </row>
        <row r="590">
          <cell r="A590">
            <v>70101397</v>
          </cell>
          <cell r="B590" t="str">
            <v>튼튼한 노</v>
          </cell>
        </row>
        <row r="591">
          <cell r="A591">
            <v>70101398</v>
          </cell>
          <cell r="B591" t="str">
            <v>중형 가로 연돛</v>
          </cell>
        </row>
        <row r="592">
          <cell r="A592">
            <v>70101399</v>
          </cell>
          <cell r="B592" t="str">
            <v>중형 세로 연돛</v>
          </cell>
        </row>
        <row r="593">
          <cell r="A593">
            <v>70101400</v>
          </cell>
          <cell r="B593" t="str">
            <v>적재용 상자</v>
          </cell>
        </row>
        <row r="594">
          <cell r="A594">
            <v>70101401</v>
          </cell>
          <cell r="B594" t="str">
            <v>지휘용 연단</v>
          </cell>
        </row>
        <row r="595">
          <cell r="A595">
            <v>70101402</v>
          </cell>
          <cell r="B595" t="str">
            <v>이인용 간이 침상</v>
          </cell>
        </row>
        <row r="596">
          <cell r="A596">
            <v>70101403</v>
          </cell>
          <cell r="B596" t="str">
            <v>파랑용 외골격</v>
          </cell>
        </row>
        <row r="597">
          <cell r="A597">
            <v>70101404</v>
          </cell>
          <cell r="B597" t="str">
            <v>해류용 외골격</v>
          </cell>
        </row>
        <row r="598">
          <cell r="A598">
            <v>70101405</v>
          </cell>
          <cell r="B598" t="str">
            <v>해빙용 외골격</v>
          </cell>
        </row>
        <row r="599">
          <cell r="A599">
            <v>70101406</v>
          </cell>
          <cell r="B599" t="str">
            <v>튼튼한 자단나무 노</v>
          </cell>
        </row>
        <row r="600">
          <cell r="A600">
            <v>70101407</v>
          </cell>
          <cell r="B600" t="str">
            <v>대형 가로 연돛</v>
          </cell>
        </row>
        <row r="601">
          <cell r="A601">
            <v>70101408</v>
          </cell>
          <cell r="B601" t="str">
            <v>대형 세로 연돛</v>
          </cell>
        </row>
        <row r="602">
          <cell r="A602">
            <v>70101409</v>
          </cell>
          <cell r="B602" t="str">
            <v>대량 적재용 상자</v>
          </cell>
        </row>
        <row r="603">
          <cell r="A603">
            <v>70101410</v>
          </cell>
          <cell r="B603" t="str">
            <v>지휘용 대형 연단</v>
          </cell>
        </row>
        <row r="604">
          <cell r="A604">
            <v>70101411</v>
          </cell>
          <cell r="B604" t="str">
            <v>삼인용 간이 침상</v>
          </cell>
        </row>
        <row r="605">
          <cell r="A605">
            <v>70101026</v>
          </cell>
          <cell r="B605" t="str">
            <v>낡은 솔개상</v>
          </cell>
        </row>
        <row r="606">
          <cell r="A606">
            <v>70101027</v>
          </cell>
          <cell r="B606" t="str">
            <v>강화 솔개상</v>
          </cell>
        </row>
        <row r="607">
          <cell r="A607">
            <v>70101028</v>
          </cell>
          <cell r="B607" t="str">
            <v>낡은 라나팰콘상</v>
          </cell>
        </row>
        <row r="608">
          <cell r="A608">
            <v>70101029</v>
          </cell>
          <cell r="B608" t="str">
            <v>강화 라나팰콘상</v>
          </cell>
        </row>
        <row r="609">
          <cell r="A609">
            <v>70101030</v>
          </cell>
          <cell r="B609" t="str">
            <v>낡은 상어상</v>
          </cell>
        </row>
        <row r="610">
          <cell r="A610">
            <v>70101031</v>
          </cell>
          <cell r="B610" t="str">
            <v>강화 상어상</v>
          </cell>
        </row>
        <row r="611">
          <cell r="A611">
            <v>70101032</v>
          </cell>
          <cell r="B611" t="str">
            <v>낡은 화이트사이드의상</v>
          </cell>
        </row>
        <row r="612">
          <cell r="A612">
            <v>70101033</v>
          </cell>
          <cell r="B612" t="str">
            <v>강화 화이트사이드의상</v>
          </cell>
        </row>
        <row r="613">
          <cell r="A613">
            <v>70101034</v>
          </cell>
          <cell r="B613" t="str">
            <v>낡은 독수리상</v>
          </cell>
        </row>
        <row r="614">
          <cell r="A614">
            <v>70101035</v>
          </cell>
          <cell r="B614" t="str">
            <v>강화 독수리상</v>
          </cell>
        </row>
        <row r="615">
          <cell r="A615">
            <v>70101036</v>
          </cell>
          <cell r="B615" t="str">
            <v>낡은 거북상</v>
          </cell>
        </row>
        <row r="616">
          <cell r="A616">
            <v>70101037</v>
          </cell>
          <cell r="B616" t="str">
            <v>강화 거북상</v>
          </cell>
        </row>
        <row r="617">
          <cell r="A617">
            <v>70101038</v>
          </cell>
          <cell r="B617" t="str">
            <v>낡은 사자상</v>
          </cell>
        </row>
        <row r="618">
          <cell r="A618">
            <v>70101039</v>
          </cell>
          <cell r="B618" t="str">
            <v>강화 사자상</v>
          </cell>
        </row>
        <row r="619">
          <cell r="A619">
            <v>70101040</v>
          </cell>
          <cell r="B619" t="str">
            <v>낡은 쥐돌고래상</v>
          </cell>
        </row>
        <row r="620">
          <cell r="A620">
            <v>70101041</v>
          </cell>
          <cell r="B620" t="str">
            <v>강화 쥐돌고래상</v>
          </cell>
        </row>
        <row r="621">
          <cell r="A621">
            <v>70101042</v>
          </cell>
          <cell r="B621" t="str">
            <v>낡은 처녀상</v>
          </cell>
        </row>
        <row r="622">
          <cell r="A622">
            <v>70101043</v>
          </cell>
          <cell r="B622" t="str">
            <v>강화 처녀상</v>
          </cell>
        </row>
        <row r="623">
          <cell r="A623">
            <v>70101044</v>
          </cell>
          <cell r="B623" t="str">
            <v>낡은 흰돌고래상</v>
          </cell>
        </row>
        <row r="624">
          <cell r="A624">
            <v>70101045</v>
          </cell>
          <cell r="B624" t="str">
            <v>강화 흰돌고래상</v>
          </cell>
        </row>
        <row r="625">
          <cell r="A625">
            <v>70101046</v>
          </cell>
          <cell r="B625" t="str">
            <v>낡은 나고래상</v>
          </cell>
        </row>
        <row r="626">
          <cell r="A626">
            <v>70101047</v>
          </cell>
          <cell r="B626" t="str">
            <v>강화 나고래상</v>
          </cell>
        </row>
        <row r="627">
          <cell r="A627">
            <v>70101048</v>
          </cell>
          <cell r="B627" t="str">
            <v>낡은 나이트 호크상</v>
          </cell>
        </row>
        <row r="628">
          <cell r="A628">
            <v>70101049</v>
          </cell>
          <cell r="B628" t="str">
            <v>강화 나이트 호크상</v>
          </cell>
        </row>
        <row r="629">
          <cell r="A629">
            <v>70101050</v>
          </cell>
          <cell r="B629" t="str">
            <v>낡은 고스 호크상</v>
          </cell>
        </row>
        <row r="630">
          <cell r="A630">
            <v>70101051</v>
          </cell>
          <cell r="B630" t="str">
            <v>강화 고스 호크상</v>
          </cell>
        </row>
        <row r="631">
          <cell r="A631">
            <v>70101052</v>
          </cell>
          <cell r="B631" t="str">
            <v>낡은 긴수염고래상</v>
          </cell>
        </row>
        <row r="632">
          <cell r="A632">
            <v>70101053</v>
          </cell>
          <cell r="B632" t="str">
            <v>강화 긴수염고래상</v>
          </cell>
        </row>
        <row r="633">
          <cell r="A633">
            <v>70101054</v>
          </cell>
          <cell r="B633" t="str">
            <v>낡은 매너티의 상</v>
          </cell>
        </row>
        <row r="634">
          <cell r="A634">
            <v>70101055</v>
          </cell>
          <cell r="B634" t="str">
            <v>강화 매너티의 상</v>
          </cell>
        </row>
        <row r="635">
          <cell r="A635">
            <v>70101056</v>
          </cell>
          <cell r="B635" t="str">
            <v>낡은 케스트랄상</v>
          </cell>
        </row>
        <row r="636">
          <cell r="A636">
            <v>70101057</v>
          </cell>
          <cell r="B636" t="str">
            <v>강화 케스트랄상</v>
          </cell>
        </row>
        <row r="637">
          <cell r="A637">
            <v>70101058</v>
          </cell>
          <cell r="B637" t="str">
            <v>낡은 스패로 호크상</v>
          </cell>
        </row>
        <row r="638">
          <cell r="A638">
            <v>70101059</v>
          </cell>
          <cell r="B638" t="str">
            <v>강화 스패로 호크상</v>
          </cell>
        </row>
        <row r="639">
          <cell r="A639">
            <v>70101060</v>
          </cell>
          <cell r="B639" t="str">
            <v>천사상</v>
          </cell>
        </row>
        <row r="640">
          <cell r="A640">
            <v>70101061</v>
          </cell>
          <cell r="B640" t="str">
            <v>강화 천사상</v>
          </cell>
        </row>
        <row r="641">
          <cell r="A641">
            <v>70101062</v>
          </cell>
          <cell r="B641" t="str">
            <v>낡은 벌쳐상</v>
          </cell>
        </row>
        <row r="642">
          <cell r="A642">
            <v>70101063</v>
          </cell>
          <cell r="B642" t="str">
            <v>강화 벌쳐상</v>
          </cell>
        </row>
        <row r="643">
          <cell r="A643">
            <v>70101064</v>
          </cell>
          <cell r="B643" t="str">
            <v>낡은 세이렌상</v>
          </cell>
        </row>
        <row r="644">
          <cell r="A644">
            <v>70101065</v>
          </cell>
          <cell r="B644" t="str">
            <v>강화 세이렌상</v>
          </cell>
        </row>
        <row r="645">
          <cell r="A645">
            <v>70101066</v>
          </cell>
          <cell r="B645" t="str">
            <v>낡은 불사조상</v>
          </cell>
        </row>
        <row r="646">
          <cell r="A646">
            <v>70101067</v>
          </cell>
          <cell r="B646" t="str">
            <v>강화 불사조상</v>
          </cell>
        </row>
        <row r="647">
          <cell r="A647">
            <v>70101068</v>
          </cell>
          <cell r="B647" t="str">
            <v>낡은 흰긴수염고래상</v>
          </cell>
        </row>
        <row r="648">
          <cell r="A648">
            <v>70101069</v>
          </cell>
          <cell r="B648" t="str">
            <v>강화 흰긴수염고래상</v>
          </cell>
        </row>
        <row r="649">
          <cell r="A649">
            <v>70101070</v>
          </cell>
          <cell r="B649" t="str">
            <v>낡은 바위새상</v>
          </cell>
        </row>
        <row r="650">
          <cell r="A650">
            <v>70101071</v>
          </cell>
          <cell r="B650" t="str">
            <v>강화 바위새상</v>
          </cell>
        </row>
        <row r="651">
          <cell r="A651">
            <v>70101072</v>
          </cell>
          <cell r="B651" t="str">
            <v>여신상</v>
          </cell>
        </row>
        <row r="652">
          <cell r="A652">
            <v>70101073</v>
          </cell>
          <cell r="B652" t="str">
            <v>강화 여신상</v>
          </cell>
        </row>
        <row r="653">
          <cell r="A653">
            <v>70101074</v>
          </cell>
          <cell r="B653" t="str">
            <v>듀공상</v>
          </cell>
        </row>
        <row r="654">
          <cell r="A654">
            <v>70101075</v>
          </cell>
          <cell r="B654" t="str">
            <v>강화 듀공상</v>
          </cell>
        </row>
        <row r="655">
          <cell r="A655">
            <v>70101076</v>
          </cell>
          <cell r="B655" t="str">
            <v>금독수리상</v>
          </cell>
        </row>
        <row r="656">
          <cell r="A656">
            <v>70101077</v>
          </cell>
          <cell r="B656" t="str">
            <v>강화 금독수리상</v>
          </cell>
        </row>
        <row r="657">
          <cell r="A657">
            <v>70101078</v>
          </cell>
          <cell r="B657" t="str">
            <v>해신상</v>
          </cell>
        </row>
        <row r="658">
          <cell r="A658">
            <v>70101079</v>
          </cell>
          <cell r="B658" t="str">
            <v>강화 해신상</v>
          </cell>
        </row>
        <row r="659">
          <cell r="A659">
            <v>70101080</v>
          </cell>
          <cell r="B659" t="str">
            <v>성모상</v>
          </cell>
        </row>
        <row r="660">
          <cell r="A660">
            <v>70101081</v>
          </cell>
          <cell r="B660" t="str">
            <v>강화 성모상</v>
          </cell>
        </row>
        <row r="661">
          <cell r="A661">
            <v>70101082</v>
          </cell>
          <cell r="B661" t="str">
            <v>왕자상</v>
          </cell>
        </row>
        <row r="662">
          <cell r="A662">
            <v>70101083</v>
          </cell>
          <cell r="B662" t="str">
            <v>강화 왕자상</v>
          </cell>
        </row>
        <row r="663">
          <cell r="A663">
            <v>70101084</v>
          </cell>
          <cell r="B663" t="str">
            <v>용사상</v>
          </cell>
        </row>
        <row r="664">
          <cell r="A664">
            <v>70101085</v>
          </cell>
          <cell r="B664" t="str">
            <v>강화 용사상</v>
          </cell>
        </row>
        <row r="665">
          <cell r="A665">
            <v>70101086</v>
          </cell>
          <cell r="B665" t="str">
            <v>에우로페상</v>
          </cell>
        </row>
        <row r="666">
          <cell r="A666">
            <v>70101087</v>
          </cell>
          <cell r="B666" t="str">
            <v>강화 에우로페상</v>
          </cell>
        </row>
        <row r="667">
          <cell r="A667">
            <v>70101088</v>
          </cell>
          <cell r="B667" t="str">
            <v>백상어상</v>
          </cell>
        </row>
        <row r="668">
          <cell r="A668">
            <v>70101089</v>
          </cell>
          <cell r="B668" t="str">
            <v>강화 백상어상</v>
          </cell>
        </row>
        <row r="669">
          <cell r="A669">
            <v>70101090</v>
          </cell>
          <cell r="B669" t="str">
            <v>위인상</v>
          </cell>
        </row>
        <row r="670">
          <cell r="A670">
            <v>70101091</v>
          </cell>
          <cell r="B670" t="str">
            <v>강화 위인상</v>
          </cell>
        </row>
        <row r="671">
          <cell r="A671">
            <v>70101092</v>
          </cell>
          <cell r="B671" t="str">
            <v>톱상어상</v>
          </cell>
        </row>
        <row r="672">
          <cell r="A672">
            <v>70101093</v>
          </cell>
          <cell r="B672" t="str">
            <v>강화 톱상어상</v>
          </cell>
        </row>
        <row r="673">
          <cell r="A673">
            <v>70101094</v>
          </cell>
          <cell r="B673" t="str">
            <v>안드로메다상</v>
          </cell>
        </row>
        <row r="674">
          <cell r="A674">
            <v>70101095</v>
          </cell>
          <cell r="B674" t="str">
            <v>강화 안드로메다상</v>
          </cell>
        </row>
        <row r="675">
          <cell r="A675">
            <v>70101096</v>
          </cell>
          <cell r="B675" t="str">
            <v>샌드타이거상</v>
          </cell>
        </row>
        <row r="676">
          <cell r="A676">
            <v>70101097</v>
          </cell>
          <cell r="B676" t="str">
            <v>강화 샌드타이거상</v>
          </cell>
        </row>
        <row r="677">
          <cell r="A677">
            <v>70101098</v>
          </cell>
          <cell r="B677" t="str">
            <v>해수상</v>
          </cell>
        </row>
        <row r="678">
          <cell r="A678">
            <v>70101099</v>
          </cell>
          <cell r="B678" t="str">
            <v>강화 해수상</v>
          </cell>
        </row>
        <row r="679">
          <cell r="A679">
            <v>70101100</v>
          </cell>
          <cell r="B679" t="str">
            <v>에로스상</v>
          </cell>
        </row>
        <row r="680">
          <cell r="A680">
            <v>70101101</v>
          </cell>
          <cell r="B680" t="str">
            <v>강화 에로스상</v>
          </cell>
        </row>
        <row r="681">
          <cell r="A681">
            <v>70101102</v>
          </cell>
          <cell r="B681" t="str">
            <v>파리스상</v>
          </cell>
        </row>
        <row r="682">
          <cell r="A682">
            <v>70101103</v>
          </cell>
          <cell r="B682" t="str">
            <v>강화 파리스상</v>
          </cell>
        </row>
        <row r="683">
          <cell r="A683">
            <v>70101104</v>
          </cell>
          <cell r="B683" t="str">
            <v>네르바 황제상</v>
          </cell>
        </row>
        <row r="684">
          <cell r="A684">
            <v>70101105</v>
          </cell>
          <cell r="B684" t="str">
            <v>강화 네르바 황제상</v>
          </cell>
        </row>
        <row r="685">
          <cell r="A685">
            <v>70101106</v>
          </cell>
          <cell r="B685" t="str">
            <v>피우스 황제상</v>
          </cell>
        </row>
        <row r="686">
          <cell r="A686">
            <v>70101107</v>
          </cell>
          <cell r="B686" t="str">
            <v>강화 피우스 황제상</v>
          </cell>
        </row>
        <row r="687">
          <cell r="A687">
            <v>70101108</v>
          </cell>
          <cell r="B687" t="str">
            <v>하드리아누스 황제상</v>
          </cell>
        </row>
        <row r="688">
          <cell r="A688">
            <v>70101109</v>
          </cell>
          <cell r="B688" t="str">
            <v>강화 하드리아누스 황제상</v>
          </cell>
        </row>
        <row r="689">
          <cell r="A689">
            <v>70101110</v>
          </cell>
          <cell r="B689" t="str">
            <v>아가멤논상</v>
          </cell>
        </row>
        <row r="690">
          <cell r="A690">
            <v>70101111</v>
          </cell>
          <cell r="B690" t="str">
            <v>강화 아가멤논상</v>
          </cell>
        </row>
        <row r="691">
          <cell r="A691">
            <v>70101112</v>
          </cell>
          <cell r="B691" t="str">
            <v>큐피트상</v>
          </cell>
        </row>
        <row r="692">
          <cell r="A692">
            <v>70101113</v>
          </cell>
          <cell r="B692" t="str">
            <v>강화 큐피트상</v>
          </cell>
        </row>
        <row r="693">
          <cell r="A693">
            <v>70101114</v>
          </cell>
          <cell r="B693" t="str">
            <v>미다스왕의 선수상</v>
          </cell>
        </row>
        <row r="694">
          <cell r="A694">
            <v>70101115</v>
          </cell>
          <cell r="B694" t="str">
            <v>강화 미다스왕의 선수상</v>
          </cell>
        </row>
        <row r="695">
          <cell r="A695">
            <v>70101116</v>
          </cell>
          <cell r="B695" t="str">
            <v>아르키메데스상</v>
          </cell>
        </row>
        <row r="696">
          <cell r="A696">
            <v>70101117</v>
          </cell>
          <cell r="B696" t="str">
            <v>강화 아르키메데스상</v>
          </cell>
        </row>
        <row r="697">
          <cell r="A697">
            <v>70101118</v>
          </cell>
          <cell r="B697" t="str">
            <v>트라야누스 황제상</v>
          </cell>
        </row>
        <row r="698">
          <cell r="A698">
            <v>70101119</v>
          </cell>
          <cell r="B698" t="str">
            <v>강화 트라야누스 황제상</v>
          </cell>
        </row>
        <row r="699">
          <cell r="A699">
            <v>70101120</v>
          </cell>
          <cell r="B699" t="str">
            <v>흰머리 독수리상</v>
          </cell>
        </row>
        <row r="700">
          <cell r="A700">
            <v>70101121</v>
          </cell>
          <cell r="B700" t="str">
            <v>강화 흰머리 독수리상</v>
          </cell>
        </row>
        <row r="701">
          <cell r="A701">
            <v>70101122</v>
          </cell>
          <cell r="B701" t="str">
            <v>천룡상</v>
          </cell>
        </row>
        <row r="702">
          <cell r="A702">
            <v>70101123</v>
          </cell>
          <cell r="B702" t="str">
            <v>강화 천룡상</v>
          </cell>
        </row>
        <row r="703">
          <cell r="A703">
            <v>70101124</v>
          </cell>
          <cell r="B703" t="str">
            <v>판도라상</v>
          </cell>
        </row>
        <row r="704">
          <cell r="A704">
            <v>70101125</v>
          </cell>
          <cell r="B704" t="str">
            <v>강화 판도라상</v>
          </cell>
        </row>
        <row r="705">
          <cell r="A705">
            <v>70101126</v>
          </cell>
          <cell r="B705" t="str">
            <v>벤누의상</v>
          </cell>
        </row>
        <row r="706">
          <cell r="A706">
            <v>70101127</v>
          </cell>
          <cell r="B706" t="str">
            <v>강화 벤누의상</v>
          </cell>
        </row>
        <row r="707">
          <cell r="A707">
            <v>70101128</v>
          </cell>
          <cell r="B707" t="str">
            <v>와이번상</v>
          </cell>
        </row>
        <row r="708">
          <cell r="A708">
            <v>70101129</v>
          </cell>
          <cell r="B708" t="str">
            <v>강화 와이번상</v>
          </cell>
        </row>
        <row r="709">
          <cell r="A709">
            <v>70101130</v>
          </cell>
          <cell r="B709" t="str">
            <v>성인상</v>
          </cell>
        </row>
        <row r="710">
          <cell r="A710">
            <v>70101131</v>
          </cell>
          <cell r="B710" t="str">
            <v>강화 성인상</v>
          </cell>
        </row>
        <row r="711">
          <cell r="A711">
            <v>70101132</v>
          </cell>
          <cell r="B711" t="str">
            <v>티아마트상</v>
          </cell>
        </row>
        <row r="712">
          <cell r="A712">
            <v>70101133</v>
          </cell>
          <cell r="B712" t="str">
            <v>강화 티아마트상</v>
          </cell>
        </row>
        <row r="713">
          <cell r="A713">
            <v>70101134</v>
          </cell>
          <cell r="B713" t="str">
            <v>양쯔강돌고래상</v>
          </cell>
        </row>
        <row r="714">
          <cell r="A714">
            <v>70101135</v>
          </cell>
          <cell r="B714" t="str">
            <v>강화 양쯔강돌고래상</v>
          </cell>
        </row>
        <row r="715">
          <cell r="A715">
            <v>70101136</v>
          </cell>
          <cell r="B715" t="str">
            <v>리바이어던상</v>
          </cell>
        </row>
        <row r="716">
          <cell r="A716">
            <v>70101137</v>
          </cell>
          <cell r="B716" t="str">
            <v>강화 리바이어던상</v>
          </cell>
        </row>
        <row r="717">
          <cell r="A717">
            <v>70101138</v>
          </cell>
          <cell r="B717" t="str">
            <v>케살코아틀상</v>
          </cell>
        </row>
        <row r="718">
          <cell r="A718">
            <v>70101139</v>
          </cell>
          <cell r="B718" t="str">
            <v>강화 케살코아틀상</v>
          </cell>
        </row>
        <row r="719">
          <cell r="A719">
            <v>70101140</v>
          </cell>
          <cell r="B719" t="str">
            <v>아르테미스상</v>
          </cell>
        </row>
        <row r="720">
          <cell r="A720">
            <v>70101141</v>
          </cell>
          <cell r="B720" t="str">
            <v>강화 아르테미스상</v>
          </cell>
        </row>
        <row r="721">
          <cell r="A721">
            <v>70101142</v>
          </cell>
          <cell r="B721" t="str">
            <v>가고일상</v>
          </cell>
        </row>
        <row r="722">
          <cell r="A722">
            <v>70101143</v>
          </cell>
          <cell r="B722" t="str">
            <v>강화 가고일상</v>
          </cell>
        </row>
        <row r="723">
          <cell r="A723">
            <v>70101144</v>
          </cell>
          <cell r="B723" t="str">
            <v>아이네이아스상</v>
          </cell>
        </row>
        <row r="724">
          <cell r="A724">
            <v>70101145</v>
          </cell>
          <cell r="B724" t="str">
            <v>강화 아이네이아스상</v>
          </cell>
        </row>
        <row r="725">
          <cell r="A725">
            <v>70101146</v>
          </cell>
          <cell r="B725" t="str">
            <v>익스타브상</v>
          </cell>
        </row>
        <row r="726">
          <cell r="A726">
            <v>70101147</v>
          </cell>
          <cell r="B726" t="str">
            <v>강화 익스타브상</v>
          </cell>
        </row>
        <row r="727">
          <cell r="A727">
            <v>70101148</v>
          </cell>
          <cell r="B727" t="str">
            <v>디아나상</v>
          </cell>
        </row>
        <row r="728">
          <cell r="A728">
            <v>70101149</v>
          </cell>
          <cell r="B728" t="str">
            <v>강화 디아나상</v>
          </cell>
        </row>
        <row r="729">
          <cell r="A729">
            <v>70101150</v>
          </cell>
          <cell r="B729" t="str">
            <v>아디 다하카상</v>
          </cell>
        </row>
        <row r="730">
          <cell r="A730">
            <v>70101151</v>
          </cell>
          <cell r="B730" t="str">
            <v>강화 아디 다하카상</v>
          </cell>
        </row>
        <row r="731">
          <cell r="A731">
            <v>70101152</v>
          </cell>
          <cell r="B731" t="str">
            <v>성안드레상</v>
          </cell>
        </row>
        <row r="732">
          <cell r="A732">
            <v>70101153</v>
          </cell>
          <cell r="B732" t="str">
            <v>강화 성안드레상</v>
          </cell>
        </row>
        <row r="733">
          <cell r="A733">
            <v>70101154</v>
          </cell>
          <cell r="B733" t="str">
            <v>시서펜트상</v>
          </cell>
        </row>
        <row r="734">
          <cell r="A734">
            <v>70101155</v>
          </cell>
          <cell r="B734" t="str">
            <v>강화 시서펜트상</v>
          </cell>
        </row>
        <row r="735">
          <cell r="A735">
            <v>70101156</v>
          </cell>
          <cell r="B735" t="str">
            <v>아난타상</v>
          </cell>
        </row>
        <row r="736">
          <cell r="A736">
            <v>70101157</v>
          </cell>
          <cell r="B736" t="str">
            <v>강화 아난타상</v>
          </cell>
        </row>
        <row r="737">
          <cell r="A737">
            <v>70101158</v>
          </cell>
          <cell r="B737" t="str">
            <v>라 선수상</v>
          </cell>
        </row>
        <row r="738">
          <cell r="A738">
            <v>70101159</v>
          </cell>
          <cell r="B738" t="str">
            <v>강화 라 선수상</v>
          </cell>
        </row>
        <row r="739">
          <cell r="A739">
            <v>70101160</v>
          </cell>
          <cell r="B739" t="str">
            <v>정화함대의 선수상</v>
          </cell>
        </row>
        <row r="740">
          <cell r="A740">
            <v>70101161</v>
          </cell>
          <cell r="B740" t="str">
            <v>강화 정화함대의 선수상</v>
          </cell>
        </row>
        <row r="741">
          <cell r="A741">
            <v>70101162</v>
          </cell>
          <cell r="B741" t="str">
            <v>브리트라상</v>
          </cell>
        </row>
        <row r="742">
          <cell r="A742">
            <v>70101163</v>
          </cell>
          <cell r="B742" t="str">
            <v>강화 브리트라상</v>
          </cell>
        </row>
        <row r="743">
          <cell r="A743">
            <v>70101164</v>
          </cell>
          <cell r="B743" t="str">
            <v>성페테로상</v>
          </cell>
        </row>
        <row r="744">
          <cell r="A744">
            <v>70101165</v>
          </cell>
          <cell r="B744" t="str">
            <v>닻 없음</v>
          </cell>
        </row>
        <row r="745">
          <cell r="A745">
            <v>70101166</v>
          </cell>
          <cell r="B745" t="str">
            <v>목재 닻</v>
          </cell>
        </row>
        <row r="746">
          <cell r="A746">
            <v>70101167</v>
          </cell>
          <cell r="B746" t="str">
            <v>녹슨 철재 닻</v>
          </cell>
        </row>
        <row r="747">
          <cell r="A747">
            <v>70101168</v>
          </cell>
          <cell r="B747" t="str">
            <v>철재 닻</v>
          </cell>
        </row>
        <row r="748">
          <cell r="A748">
            <v>70101169</v>
          </cell>
          <cell r="B748" t="str">
            <v>철재 도검 닻</v>
          </cell>
        </row>
        <row r="749">
          <cell r="A749">
            <v>70101170</v>
          </cell>
          <cell r="B749" t="str">
            <v>무쇠 닻</v>
          </cell>
        </row>
        <row r="750">
          <cell r="A750">
            <v>70101171</v>
          </cell>
          <cell r="B750" t="str">
            <v>하트 닻</v>
          </cell>
        </row>
        <row r="751">
          <cell r="A751">
            <v>70101172</v>
          </cell>
          <cell r="B751" t="str">
            <v>고급 쌍둥이 돌고래 닻</v>
          </cell>
        </row>
        <row r="752">
          <cell r="A752">
            <v>70101173</v>
          </cell>
          <cell r="B752" t="str">
            <v>고급 해골 닻</v>
          </cell>
        </row>
        <row r="753">
          <cell r="A753">
            <v>70101174</v>
          </cell>
          <cell r="B753" t="str">
            <v>고급 뱀 닻</v>
          </cell>
        </row>
        <row r="754">
          <cell r="A754">
            <v>70101175</v>
          </cell>
          <cell r="B754" t="str">
            <v>고급 석정</v>
          </cell>
        </row>
        <row r="755">
          <cell r="A755">
            <v>70101176</v>
          </cell>
          <cell r="B755" t="str">
            <v>고급 고대 닻</v>
          </cell>
        </row>
        <row r="756">
          <cell r="A756">
            <v>70101177</v>
          </cell>
          <cell r="B756" t="str">
            <v>고급 초승달 닻</v>
          </cell>
        </row>
        <row r="757">
          <cell r="A757">
            <v>70101178</v>
          </cell>
          <cell r="B757" t="str">
            <v>고급 상어 닻</v>
          </cell>
        </row>
        <row r="758">
          <cell r="A758">
            <v>70101179</v>
          </cell>
          <cell r="B758" t="str">
            <v>고급 쌍둥이 뱀 닻</v>
          </cell>
        </row>
        <row r="759">
          <cell r="A759">
            <v>70101180</v>
          </cell>
          <cell r="B759" t="str">
            <v>고급 조선 목묘</v>
          </cell>
        </row>
        <row r="760">
          <cell r="A760">
            <v>70101181</v>
          </cell>
          <cell r="B760" t="str">
            <v>고급 대형 목묘</v>
          </cell>
        </row>
        <row r="761">
          <cell r="A761">
            <v>70101182</v>
          </cell>
          <cell r="B761" t="str">
            <v>고급 사조철묘</v>
          </cell>
        </row>
        <row r="762">
          <cell r="A762">
            <v>70101183</v>
          </cell>
          <cell r="B762" t="str">
            <v>고급 인어 닻</v>
          </cell>
        </row>
        <row r="763">
          <cell r="A763">
            <v>70101184</v>
          </cell>
          <cell r="B763" t="str">
            <v>고급 사신 닻</v>
          </cell>
        </row>
        <row r="764">
          <cell r="A764">
            <v>70101185</v>
          </cell>
          <cell r="B764" t="str">
            <v>고급 크라켄 닻</v>
          </cell>
        </row>
        <row r="765">
          <cell r="A765">
            <v>70101186</v>
          </cell>
          <cell r="B765" t="str">
            <v>고급 카누 닻</v>
          </cell>
        </row>
        <row r="766">
          <cell r="A766">
            <v>70101187</v>
          </cell>
          <cell r="B766" t="str">
            <v>고급 다이아몬드 닻</v>
          </cell>
        </row>
        <row r="767">
          <cell r="A767">
            <v>70101188</v>
          </cell>
          <cell r="B767" t="str">
            <v>고급 돌고래 닻</v>
          </cell>
        </row>
        <row r="768">
          <cell r="A768">
            <v>70101189</v>
          </cell>
          <cell r="B768" t="str">
            <v>고급 쌍둥이 닻</v>
          </cell>
        </row>
        <row r="769">
          <cell r="A769">
            <v>70101190</v>
          </cell>
          <cell r="B769" t="str">
            <v>키장식 닻</v>
          </cell>
        </row>
        <row r="770">
          <cell r="A770">
            <v>70101191</v>
          </cell>
          <cell r="B770" t="str">
            <v>고급 목묘</v>
          </cell>
        </row>
        <row r="771">
          <cell r="A771">
            <v>70101192</v>
          </cell>
          <cell r="B771" t="str">
            <v>호미모양 닻</v>
          </cell>
        </row>
        <row r="772">
          <cell r="A772">
            <v>70101193</v>
          </cell>
          <cell r="B772" t="str">
            <v>강화 성페테로상</v>
          </cell>
        </row>
        <row r="773">
          <cell r="A773">
            <v>70101194</v>
          </cell>
          <cell r="B773" t="str">
            <v>플라톤상</v>
          </cell>
        </row>
        <row r="774">
          <cell r="A774">
            <v>70101195</v>
          </cell>
          <cell r="B774" t="str">
            <v>강화 플라톤상</v>
          </cell>
        </row>
        <row r="775">
          <cell r="A775">
            <v>70101196</v>
          </cell>
          <cell r="B775" t="str">
            <v>마우상</v>
          </cell>
        </row>
        <row r="776">
          <cell r="A776">
            <v>70101197</v>
          </cell>
          <cell r="B776" t="str">
            <v>강화 마우상</v>
          </cell>
        </row>
        <row r="777">
          <cell r="A777">
            <v>70101198</v>
          </cell>
          <cell r="B777" t="str">
            <v>살라딘의 상</v>
          </cell>
        </row>
        <row r="778">
          <cell r="A778">
            <v>70101199</v>
          </cell>
          <cell r="B778" t="str">
            <v>강화 살라딘의 상</v>
          </cell>
        </row>
        <row r="779">
          <cell r="A779">
            <v>70101200</v>
          </cell>
          <cell r="B779" t="str">
            <v>한니발상</v>
          </cell>
        </row>
        <row r="780">
          <cell r="A780">
            <v>70101201</v>
          </cell>
          <cell r="B780" t="str">
            <v>강화 한니발상</v>
          </cell>
        </row>
        <row r="781">
          <cell r="A781">
            <v>70101202</v>
          </cell>
          <cell r="B781" t="str">
            <v>용머리 선수상</v>
          </cell>
        </row>
        <row r="782">
          <cell r="A782">
            <v>70101203</v>
          </cell>
          <cell r="B782" t="str">
            <v>강화 용머리 선수상</v>
          </cell>
        </row>
        <row r="783">
          <cell r="A783">
            <v>70101204</v>
          </cell>
          <cell r="B783" t="str">
            <v>아누비스 선수상</v>
          </cell>
        </row>
        <row r="784">
          <cell r="A784">
            <v>70101205</v>
          </cell>
          <cell r="B784" t="str">
            <v>강화 아누비스 선수상</v>
          </cell>
        </row>
        <row r="785">
          <cell r="A785">
            <v>70101206</v>
          </cell>
          <cell r="B785" t="str">
            <v>성브렌던상</v>
          </cell>
        </row>
        <row r="786">
          <cell r="A786">
            <v>70101207</v>
          </cell>
          <cell r="B786" t="str">
            <v>강화 성브렌던상</v>
          </cell>
        </row>
        <row r="787">
          <cell r="A787">
            <v>70101208</v>
          </cell>
          <cell r="B787" t="str">
            <v>다누상</v>
          </cell>
        </row>
        <row r="788">
          <cell r="A788">
            <v>70101209</v>
          </cell>
          <cell r="B788" t="str">
            <v>강화 다누상</v>
          </cell>
        </row>
        <row r="789">
          <cell r="A789">
            <v>70101210</v>
          </cell>
          <cell r="B789" t="str">
            <v>파프니르상</v>
          </cell>
        </row>
        <row r="790">
          <cell r="A790">
            <v>70101211</v>
          </cell>
          <cell r="B790" t="str">
            <v>강화 파프니르상</v>
          </cell>
        </row>
        <row r="791">
          <cell r="A791">
            <v>70101212</v>
          </cell>
          <cell r="B791" t="str">
            <v>쿠크르칸상</v>
          </cell>
        </row>
        <row r="792">
          <cell r="A792">
            <v>70101213</v>
          </cell>
          <cell r="B792" t="str">
            <v>강화 쿠크르칸상</v>
          </cell>
        </row>
        <row r="793">
          <cell r="A793">
            <v>70101214</v>
          </cell>
          <cell r="B793" t="str">
            <v>오디세우스의 상</v>
          </cell>
        </row>
        <row r="794">
          <cell r="A794">
            <v>70101215</v>
          </cell>
          <cell r="B794" t="str">
            <v>강화 오디세우스의 상</v>
          </cell>
        </row>
        <row r="795">
          <cell r="A795">
            <v>70101216</v>
          </cell>
          <cell r="B795" t="str">
            <v>소크라테스상</v>
          </cell>
        </row>
        <row r="796">
          <cell r="A796">
            <v>70101217</v>
          </cell>
          <cell r="B796" t="str">
            <v>강화 소크라테스상</v>
          </cell>
        </row>
        <row r="797">
          <cell r="A797">
            <v>70101218</v>
          </cell>
          <cell r="B797" t="str">
            <v>성커스버트상</v>
          </cell>
        </row>
        <row r="798">
          <cell r="A798">
            <v>70101219</v>
          </cell>
          <cell r="B798" t="str">
            <v>강화 성커스버트상</v>
          </cell>
        </row>
        <row r="799">
          <cell r="A799">
            <v>70101220</v>
          </cell>
          <cell r="B799" t="str">
            <v>잔 다르크상</v>
          </cell>
        </row>
        <row r="800">
          <cell r="A800">
            <v>70101221</v>
          </cell>
          <cell r="B800" t="str">
            <v>강화 잔 다르크상</v>
          </cell>
        </row>
        <row r="801">
          <cell r="A801">
            <v>70101222</v>
          </cell>
          <cell r="B801" t="str">
            <v>아우렐리우스 황제상</v>
          </cell>
        </row>
        <row r="802">
          <cell r="A802">
            <v>70101223</v>
          </cell>
          <cell r="B802" t="str">
            <v>강화 아우렐리우스 황제상</v>
          </cell>
        </row>
        <row r="803">
          <cell r="A803">
            <v>70101224</v>
          </cell>
          <cell r="B803" t="str">
            <v>알라시드상</v>
          </cell>
        </row>
        <row r="804">
          <cell r="A804">
            <v>70101225</v>
          </cell>
          <cell r="B804" t="str">
            <v>강화 알라시드상</v>
          </cell>
        </row>
        <row r="805">
          <cell r="A805">
            <v>70101226</v>
          </cell>
          <cell r="B805" t="str">
            <v>그리폰상</v>
          </cell>
        </row>
        <row r="806">
          <cell r="A806">
            <v>70101227</v>
          </cell>
          <cell r="B806" t="str">
            <v>강화 그리폰상</v>
          </cell>
        </row>
        <row r="807">
          <cell r="A807">
            <v>70101228</v>
          </cell>
          <cell r="B807" t="str">
            <v>요르문간드상</v>
          </cell>
        </row>
        <row r="808">
          <cell r="A808">
            <v>70101229</v>
          </cell>
          <cell r="B808" t="str">
            <v>강화 요르문간드상</v>
          </cell>
        </row>
        <row r="809">
          <cell r="A809">
            <v>70101230</v>
          </cell>
          <cell r="B809" t="str">
            <v>이슈타르상</v>
          </cell>
        </row>
        <row r="810">
          <cell r="A810">
            <v>70101231</v>
          </cell>
          <cell r="B810" t="str">
            <v>강화 이슈타르상</v>
          </cell>
        </row>
        <row r="811">
          <cell r="A811">
            <v>70101232</v>
          </cell>
          <cell r="B811" t="str">
            <v>아나히타상</v>
          </cell>
        </row>
        <row r="812">
          <cell r="A812">
            <v>70101233</v>
          </cell>
          <cell r="B812" t="str">
            <v>강화 아나히타상</v>
          </cell>
        </row>
        <row r="813">
          <cell r="A813">
            <v>70101234</v>
          </cell>
          <cell r="B813" t="str">
            <v>프레이아상</v>
          </cell>
        </row>
        <row r="814">
          <cell r="A814">
            <v>70101235</v>
          </cell>
          <cell r="B814" t="str">
            <v>강화 프레이아상</v>
          </cell>
        </row>
        <row r="815">
          <cell r="A815">
            <v>70101236</v>
          </cell>
          <cell r="B815" t="str">
            <v>포세이돈상</v>
          </cell>
        </row>
        <row r="816">
          <cell r="A816">
            <v>70101237</v>
          </cell>
          <cell r="B816" t="str">
            <v>강화 포세이돈상</v>
          </cell>
        </row>
        <row r="817">
          <cell r="A817">
            <v>70101238</v>
          </cell>
          <cell r="B817" t="str">
            <v>성마르코상</v>
          </cell>
        </row>
        <row r="818">
          <cell r="A818">
            <v>70101239</v>
          </cell>
          <cell r="B818" t="str">
            <v>강화 성마르코상</v>
          </cell>
        </row>
        <row r="819">
          <cell r="A819">
            <v>70101240</v>
          </cell>
          <cell r="B819" t="str">
            <v>성크리스토퍼상</v>
          </cell>
        </row>
        <row r="820">
          <cell r="A820">
            <v>70101241</v>
          </cell>
          <cell r="B820" t="str">
            <v>강화 성크리스토퍼상</v>
          </cell>
        </row>
        <row r="821">
          <cell r="A821">
            <v>70101242</v>
          </cell>
          <cell r="B821" t="str">
            <v>아쇼카왕상</v>
          </cell>
        </row>
        <row r="822">
          <cell r="A822">
            <v>70101243</v>
          </cell>
          <cell r="B822" t="str">
            <v>강화 아쇼카왕상</v>
          </cell>
        </row>
        <row r="823">
          <cell r="A823">
            <v>70101244</v>
          </cell>
          <cell r="B823" t="str">
            <v>사라스바티의 상</v>
          </cell>
        </row>
        <row r="824">
          <cell r="A824">
            <v>70101245</v>
          </cell>
          <cell r="B824" t="str">
            <v>강화 사라스바티의 상</v>
          </cell>
        </row>
        <row r="825">
          <cell r="A825">
            <v>70101246</v>
          </cell>
          <cell r="B825" t="str">
            <v>잉어상</v>
          </cell>
        </row>
        <row r="826">
          <cell r="A826">
            <v>70101247</v>
          </cell>
          <cell r="B826" t="str">
            <v>강화 잉어상</v>
          </cell>
        </row>
        <row r="827">
          <cell r="A827">
            <v>70101248</v>
          </cell>
          <cell r="B827" t="str">
            <v>람세스 2세의 상</v>
          </cell>
        </row>
        <row r="828">
          <cell r="A828">
            <v>70101249</v>
          </cell>
          <cell r="B828" t="str">
            <v>강화 람세스 2세의 상</v>
          </cell>
        </row>
        <row r="829">
          <cell r="A829">
            <v>70101250</v>
          </cell>
          <cell r="B829" t="str">
            <v>해골상</v>
          </cell>
        </row>
        <row r="830">
          <cell r="A830">
            <v>70101251</v>
          </cell>
          <cell r="B830" t="str">
            <v>강화 해골상</v>
          </cell>
        </row>
        <row r="831">
          <cell r="A831">
            <v>70101252</v>
          </cell>
          <cell r="B831" t="str">
            <v>코끼리상</v>
          </cell>
        </row>
        <row r="832">
          <cell r="A832">
            <v>70101253</v>
          </cell>
          <cell r="B832" t="str">
            <v>강화 코끼리상</v>
          </cell>
        </row>
        <row r="833">
          <cell r="A833">
            <v>70101254</v>
          </cell>
          <cell r="B833" t="str">
            <v>넵투누스상</v>
          </cell>
        </row>
        <row r="834">
          <cell r="A834">
            <v>70101255</v>
          </cell>
          <cell r="B834" t="str">
            <v>강화 넵투누스상</v>
          </cell>
        </row>
        <row r="835">
          <cell r="A835">
            <v>70101256</v>
          </cell>
          <cell r="B835" t="str">
            <v>문어상</v>
          </cell>
        </row>
        <row r="836">
          <cell r="A836">
            <v>70101257</v>
          </cell>
          <cell r="B836" t="str">
            <v>강화 문어상</v>
          </cell>
        </row>
        <row r="837">
          <cell r="A837">
            <v>70101258</v>
          </cell>
          <cell r="B837" t="str">
            <v>곰상</v>
          </cell>
        </row>
        <row r="838">
          <cell r="A838">
            <v>70101259</v>
          </cell>
          <cell r="B838" t="str">
            <v>강화 곰상</v>
          </cell>
        </row>
        <row r="839">
          <cell r="A839">
            <v>70101260</v>
          </cell>
          <cell r="B839" t="str">
            <v>성마그달레나상</v>
          </cell>
        </row>
        <row r="840">
          <cell r="A840">
            <v>70101261</v>
          </cell>
          <cell r="B840" t="str">
            <v>강화 성마그달레나상</v>
          </cell>
        </row>
        <row r="841">
          <cell r="A841">
            <v>70101262</v>
          </cell>
          <cell r="B841" t="str">
            <v>헤라상</v>
          </cell>
        </row>
        <row r="842">
          <cell r="A842">
            <v>70101263</v>
          </cell>
          <cell r="B842" t="str">
            <v>강화 헤라상</v>
          </cell>
        </row>
        <row r="843">
          <cell r="A843">
            <v>70101264</v>
          </cell>
          <cell r="B843" t="str">
            <v>펜리르상</v>
          </cell>
        </row>
        <row r="844">
          <cell r="A844">
            <v>70101265</v>
          </cell>
          <cell r="B844" t="str">
            <v>강화 펜리르상</v>
          </cell>
        </row>
        <row r="845">
          <cell r="A845">
            <v>70101266</v>
          </cell>
          <cell r="B845" t="str">
            <v>비너스상</v>
          </cell>
        </row>
        <row r="846">
          <cell r="A846">
            <v>70101267</v>
          </cell>
          <cell r="B846" t="str">
            <v>강화 비너스상</v>
          </cell>
        </row>
        <row r="847">
          <cell r="A847">
            <v>70101268</v>
          </cell>
          <cell r="B847" t="str">
            <v>용상</v>
          </cell>
        </row>
        <row r="848">
          <cell r="A848">
            <v>70101269</v>
          </cell>
          <cell r="B848" t="str">
            <v>강화 용상</v>
          </cell>
        </row>
        <row r="849">
          <cell r="A849">
            <v>70101270</v>
          </cell>
          <cell r="B849" t="str">
            <v>성아가타상</v>
          </cell>
        </row>
        <row r="850">
          <cell r="A850">
            <v>70101271</v>
          </cell>
          <cell r="B850" t="str">
            <v>강화 성아가타상</v>
          </cell>
        </row>
        <row r="851">
          <cell r="A851">
            <v>70101272</v>
          </cell>
          <cell r="B851" t="str">
            <v>가루다상</v>
          </cell>
        </row>
        <row r="852">
          <cell r="A852">
            <v>70101273</v>
          </cell>
          <cell r="B852" t="str">
            <v>강화 가루다상</v>
          </cell>
        </row>
        <row r="853">
          <cell r="A853">
            <v>70101274</v>
          </cell>
          <cell r="B853" t="str">
            <v>아프로디테상</v>
          </cell>
        </row>
        <row r="854">
          <cell r="A854">
            <v>70101275</v>
          </cell>
          <cell r="B854" t="str">
            <v>강화 아프로디테상</v>
          </cell>
        </row>
        <row r="855">
          <cell r="A855">
            <v>70101276</v>
          </cell>
          <cell r="B855" t="str">
            <v>동자승상</v>
          </cell>
        </row>
        <row r="856">
          <cell r="A856">
            <v>70101277</v>
          </cell>
          <cell r="B856" t="str">
            <v>강화 동자승상</v>
          </cell>
        </row>
        <row r="857">
          <cell r="A857">
            <v>70101278</v>
          </cell>
          <cell r="B857" t="str">
            <v>맨티코어상</v>
          </cell>
        </row>
        <row r="858">
          <cell r="A858">
            <v>70101279</v>
          </cell>
          <cell r="B858" t="str">
            <v>강화 맨티코어상</v>
          </cell>
        </row>
        <row r="859">
          <cell r="A859">
            <v>70101280</v>
          </cell>
          <cell r="B859" t="str">
            <v>라크슈미의상</v>
          </cell>
        </row>
        <row r="860">
          <cell r="A860">
            <v>70101281</v>
          </cell>
          <cell r="B860" t="str">
            <v>강화 라크슈미의상</v>
          </cell>
        </row>
        <row r="861">
          <cell r="A861">
            <v>70101282</v>
          </cell>
          <cell r="B861" t="str">
            <v>유노상</v>
          </cell>
        </row>
        <row r="862">
          <cell r="A862">
            <v>70101283</v>
          </cell>
          <cell r="B862" t="str">
            <v>강화 유노상</v>
          </cell>
        </row>
        <row r="863">
          <cell r="A863">
            <v>70101284</v>
          </cell>
          <cell r="B863" t="str">
            <v>성니코라우스상</v>
          </cell>
        </row>
        <row r="864">
          <cell r="A864">
            <v>70101285</v>
          </cell>
          <cell r="B864" t="str">
            <v>강화 성니코라우스상</v>
          </cell>
        </row>
        <row r="865">
          <cell r="A865">
            <v>70101286</v>
          </cell>
          <cell r="B865" t="str">
            <v>팔바티상</v>
          </cell>
        </row>
        <row r="866">
          <cell r="A866">
            <v>70101287</v>
          </cell>
          <cell r="B866" t="str">
            <v>강화 팔바티상</v>
          </cell>
        </row>
        <row r="867">
          <cell r="A867">
            <v>70101288</v>
          </cell>
          <cell r="B867" t="str">
            <v>성게오르기우스상</v>
          </cell>
        </row>
        <row r="868">
          <cell r="A868">
            <v>70101289</v>
          </cell>
          <cell r="B868" t="str">
            <v>강화 성게오르기우스상</v>
          </cell>
        </row>
        <row r="869">
          <cell r="A869">
            <v>70101290</v>
          </cell>
          <cell r="B869" t="str">
            <v>성바바라상</v>
          </cell>
        </row>
        <row r="870">
          <cell r="A870">
            <v>70101291</v>
          </cell>
          <cell r="B870" t="str">
            <v>강화 성바바라상</v>
          </cell>
        </row>
        <row r="871">
          <cell r="A871">
            <v>70101292</v>
          </cell>
          <cell r="B871" t="str">
            <v>물소상</v>
          </cell>
        </row>
        <row r="872">
          <cell r="A872">
            <v>70101293</v>
          </cell>
          <cell r="B872" t="str">
            <v>강화 물소상</v>
          </cell>
        </row>
        <row r="873">
          <cell r="A873">
            <v>70101294</v>
          </cell>
          <cell r="B873" t="str">
            <v>이시스상</v>
          </cell>
        </row>
        <row r="874">
          <cell r="A874">
            <v>70101295</v>
          </cell>
          <cell r="B874" t="str">
            <v>강화 이시스상</v>
          </cell>
        </row>
        <row r="875">
          <cell r="A875">
            <v>70101296</v>
          </cell>
          <cell r="B875" t="str">
            <v>코뿔소상</v>
          </cell>
        </row>
        <row r="876">
          <cell r="A876">
            <v>70101297</v>
          </cell>
          <cell r="B876" t="str">
            <v>강화 코뿔소상</v>
          </cell>
        </row>
        <row r="877">
          <cell r="A877">
            <v>70101298</v>
          </cell>
          <cell r="B877" t="str">
            <v>아틀라스 선수상</v>
          </cell>
        </row>
        <row r="878">
          <cell r="A878">
            <v>70101299</v>
          </cell>
          <cell r="B878" t="str">
            <v>강화 아틀라스 선수상</v>
          </cell>
        </row>
        <row r="879">
          <cell r="A879">
            <v>70101300</v>
          </cell>
          <cell r="B879" t="str">
            <v>해태상</v>
          </cell>
        </row>
        <row r="880">
          <cell r="A880">
            <v>70101301</v>
          </cell>
          <cell r="B880" t="str">
            <v>강화 해태상</v>
          </cell>
        </row>
        <row r="881">
          <cell r="A881">
            <v>70101302</v>
          </cell>
          <cell r="B881" t="str">
            <v>관우상</v>
          </cell>
        </row>
        <row r="882">
          <cell r="A882">
            <v>70101303</v>
          </cell>
          <cell r="B882" t="str">
            <v>강화 관우상</v>
          </cell>
        </row>
        <row r="883">
          <cell r="A883">
            <v>70101304</v>
          </cell>
          <cell r="B883" t="str">
            <v>세종대왕상</v>
          </cell>
        </row>
        <row r="884">
          <cell r="A884">
            <v>70101305</v>
          </cell>
          <cell r="B884" t="str">
            <v>강화 세종대왕상</v>
          </cell>
        </row>
        <row r="885">
          <cell r="A885">
            <v>70101306</v>
          </cell>
          <cell r="B885" t="str">
            <v>장비상</v>
          </cell>
        </row>
        <row r="886">
          <cell r="A886">
            <v>70101307</v>
          </cell>
          <cell r="B886" t="str">
            <v>강화 장비상</v>
          </cell>
        </row>
        <row r="887">
          <cell r="A887">
            <v>70101308</v>
          </cell>
          <cell r="B887" t="str">
            <v>칭기즈칸 상</v>
          </cell>
        </row>
        <row r="888">
          <cell r="A888">
            <v>70101309</v>
          </cell>
          <cell r="B888" t="str">
            <v>강화 칭기즈칸 상</v>
          </cell>
        </row>
        <row r="889">
          <cell r="A889">
            <v>70101310</v>
          </cell>
          <cell r="B889" t="str">
            <v>석가모니상</v>
          </cell>
        </row>
        <row r="890">
          <cell r="A890">
            <v>70101311</v>
          </cell>
          <cell r="B890" t="str">
            <v>강화 석가모니상</v>
          </cell>
        </row>
        <row r="891">
          <cell r="A891">
            <v>70101312</v>
          </cell>
          <cell r="B891" t="str">
            <v>인어상</v>
          </cell>
        </row>
        <row r="892">
          <cell r="A892">
            <v>70101313</v>
          </cell>
          <cell r="B892" t="str">
            <v>강화 인어상</v>
          </cell>
        </row>
        <row r="893">
          <cell r="A893">
            <v>70101314</v>
          </cell>
          <cell r="B893" t="str">
            <v>바하무트상</v>
          </cell>
        </row>
        <row r="894">
          <cell r="A894">
            <v>70101315</v>
          </cell>
          <cell r="B894" t="str">
            <v>강화 바하무트상</v>
          </cell>
        </row>
        <row r="895">
          <cell r="A895">
            <v>70101316</v>
          </cell>
          <cell r="B895" t="str">
            <v>일루얀카스상</v>
          </cell>
        </row>
        <row r="896">
          <cell r="A896">
            <v>70101317</v>
          </cell>
          <cell r="B896" t="str">
            <v>강화 일루얀카스상</v>
          </cell>
        </row>
        <row r="897">
          <cell r="A897">
            <v>70101318</v>
          </cell>
          <cell r="B897" t="str">
            <v>황제 독수리상</v>
          </cell>
        </row>
        <row r="898">
          <cell r="A898">
            <v>70101319</v>
          </cell>
          <cell r="B898" t="str">
            <v>강화 황제 독수리상</v>
          </cell>
        </row>
        <row r="899">
          <cell r="A899">
            <v>70101320</v>
          </cell>
          <cell r="B899" t="str">
            <v>화랑상</v>
          </cell>
        </row>
        <row r="900">
          <cell r="A900">
            <v>70101321</v>
          </cell>
          <cell r="B900" t="str">
            <v>강화 화랑상</v>
          </cell>
        </row>
        <row r="901">
          <cell r="A901">
            <v>70101322</v>
          </cell>
          <cell r="B901" t="str">
            <v>오니상</v>
          </cell>
        </row>
        <row r="902">
          <cell r="A902">
            <v>70101323</v>
          </cell>
          <cell r="B902" t="str">
            <v>강화 오니상</v>
          </cell>
        </row>
        <row r="903">
          <cell r="A903">
            <v>70101324</v>
          </cell>
          <cell r="B903" t="str">
            <v>사무라이상</v>
          </cell>
        </row>
        <row r="904">
          <cell r="A904">
            <v>70101325</v>
          </cell>
          <cell r="B904" t="str">
            <v>강화 사무라이상</v>
          </cell>
        </row>
        <row r="905">
          <cell r="A905">
            <v>70101326</v>
          </cell>
          <cell r="B905" t="str">
            <v>낡은 철재 도검 닻</v>
          </cell>
        </row>
        <row r="906">
          <cell r="A906">
            <v>70101327</v>
          </cell>
          <cell r="B906" t="str">
            <v>강화 철재 도검 닻</v>
          </cell>
        </row>
        <row r="907">
          <cell r="A907">
            <v>70101328</v>
          </cell>
          <cell r="B907" t="str">
            <v>낡은 무쇠 닻</v>
          </cell>
        </row>
        <row r="908">
          <cell r="A908">
            <v>70101329</v>
          </cell>
          <cell r="B908" t="str">
            <v>강화 무쇠 닻</v>
          </cell>
        </row>
        <row r="909">
          <cell r="A909">
            <v>70101330</v>
          </cell>
          <cell r="B909" t="str">
            <v>낡은 하트 닻</v>
          </cell>
        </row>
        <row r="910">
          <cell r="A910">
            <v>70101331</v>
          </cell>
          <cell r="B910" t="str">
            <v>강화 하트 닻</v>
          </cell>
        </row>
        <row r="911">
          <cell r="A911">
            <v>70101332</v>
          </cell>
          <cell r="B911" t="str">
            <v>쌍둥이 돌고래 닻</v>
          </cell>
        </row>
        <row r="912">
          <cell r="A912">
            <v>70101333</v>
          </cell>
          <cell r="B912" t="str">
            <v>강화 쌍둥이 돌고래 닻</v>
          </cell>
        </row>
        <row r="913">
          <cell r="A913">
            <v>70101334</v>
          </cell>
          <cell r="B913" t="str">
            <v>해골 닻</v>
          </cell>
        </row>
        <row r="914">
          <cell r="A914">
            <v>70101335</v>
          </cell>
          <cell r="B914" t="str">
            <v>강화 해골 닻</v>
          </cell>
        </row>
        <row r="915">
          <cell r="A915">
            <v>70101336</v>
          </cell>
          <cell r="B915" t="str">
            <v>뱀 닻</v>
          </cell>
        </row>
        <row r="916">
          <cell r="A916">
            <v>70101337</v>
          </cell>
          <cell r="B916" t="str">
            <v>강화 뱀 닻</v>
          </cell>
        </row>
        <row r="917">
          <cell r="A917">
            <v>70101338</v>
          </cell>
          <cell r="B917" t="str">
            <v>석정</v>
          </cell>
        </row>
        <row r="918">
          <cell r="A918">
            <v>70101339</v>
          </cell>
          <cell r="B918" t="str">
            <v>강화 석정</v>
          </cell>
        </row>
        <row r="919">
          <cell r="A919">
            <v>70101340</v>
          </cell>
          <cell r="B919" t="str">
            <v>고대 닻</v>
          </cell>
        </row>
        <row r="920">
          <cell r="A920">
            <v>70101341</v>
          </cell>
          <cell r="B920" t="str">
            <v>강화 고대 닻</v>
          </cell>
        </row>
        <row r="921">
          <cell r="A921">
            <v>70101342</v>
          </cell>
          <cell r="B921" t="str">
            <v>초승달 닻</v>
          </cell>
        </row>
        <row r="922">
          <cell r="A922">
            <v>70101343</v>
          </cell>
          <cell r="B922" t="str">
            <v>강화 초승달 닻</v>
          </cell>
        </row>
        <row r="923">
          <cell r="A923">
            <v>70101344</v>
          </cell>
          <cell r="B923" t="str">
            <v>상어 닻</v>
          </cell>
        </row>
        <row r="924">
          <cell r="A924">
            <v>70101345</v>
          </cell>
          <cell r="B924" t="str">
            <v>강화 상어 닻</v>
          </cell>
        </row>
        <row r="925">
          <cell r="A925">
            <v>70101346</v>
          </cell>
          <cell r="B925" t="str">
            <v>쌍둥이 뱀 닻</v>
          </cell>
        </row>
        <row r="926">
          <cell r="A926">
            <v>70101347</v>
          </cell>
          <cell r="B926" t="str">
            <v>강화 쌍둥이 뱀 닻</v>
          </cell>
        </row>
        <row r="927">
          <cell r="A927">
            <v>70101348</v>
          </cell>
          <cell r="B927" t="str">
            <v>조선 목묘</v>
          </cell>
        </row>
        <row r="928">
          <cell r="A928">
            <v>70101349</v>
          </cell>
          <cell r="B928" t="str">
            <v>강화 조선 목묘</v>
          </cell>
        </row>
        <row r="929">
          <cell r="A929">
            <v>70101350</v>
          </cell>
          <cell r="B929" t="str">
            <v>대형 목묘</v>
          </cell>
        </row>
        <row r="930">
          <cell r="A930">
            <v>70101351</v>
          </cell>
          <cell r="B930" t="str">
            <v>강화 대형 목묘</v>
          </cell>
        </row>
        <row r="931">
          <cell r="A931">
            <v>70101352</v>
          </cell>
          <cell r="B931" t="str">
            <v>사조철묘</v>
          </cell>
        </row>
        <row r="932">
          <cell r="A932">
            <v>70101353</v>
          </cell>
          <cell r="B932" t="str">
            <v>강화 사조철묘</v>
          </cell>
        </row>
        <row r="933">
          <cell r="A933">
            <v>70101354</v>
          </cell>
          <cell r="B933" t="str">
            <v>인어 닻</v>
          </cell>
        </row>
        <row r="934">
          <cell r="A934">
            <v>70101355</v>
          </cell>
          <cell r="B934" t="str">
            <v>강화 인어 닻</v>
          </cell>
        </row>
        <row r="935">
          <cell r="A935">
            <v>70101356</v>
          </cell>
          <cell r="B935" t="str">
            <v>사신 닻</v>
          </cell>
        </row>
        <row r="936">
          <cell r="A936">
            <v>70101357</v>
          </cell>
          <cell r="B936" t="str">
            <v>강화 사신 닻</v>
          </cell>
        </row>
        <row r="937">
          <cell r="A937">
            <v>70101358</v>
          </cell>
          <cell r="B937" t="str">
            <v>크라켄 닻</v>
          </cell>
        </row>
        <row r="938">
          <cell r="A938">
            <v>70101359</v>
          </cell>
          <cell r="B938" t="str">
            <v>강화 크라켄 닻</v>
          </cell>
        </row>
        <row r="939">
          <cell r="A939">
            <v>70101360</v>
          </cell>
          <cell r="B939" t="str">
            <v>카누 닻</v>
          </cell>
        </row>
        <row r="940">
          <cell r="A940">
            <v>70101361</v>
          </cell>
          <cell r="B940" t="str">
            <v>강화 카누 닻</v>
          </cell>
        </row>
        <row r="941">
          <cell r="A941">
            <v>70101362</v>
          </cell>
          <cell r="B941" t="str">
            <v>다이아몬드 닻</v>
          </cell>
        </row>
        <row r="942">
          <cell r="A942">
            <v>70101363</v>
          </cell>
          <cell r="B942" t="str">
            <v>강화 다이아몬드 닻</v>
          </cell>
        </row>
        <row r="943">
          <cell r="A943">
            <v>70101364</v>
          </cell>
          <cell r="B943" t="str">
            <v>돌고래 닻</v>
          </cell>
        </row>
        <row r="944">
          <cell r="A944">
            <v>70101365</v>
          </cell>
          <cell r="B944" t="str">
            <v>강화 돌고래 닻</v>
          </cell>
        </row>
        <row r="945">
          <cell r="A945">
            <v>70101366</v>
          </cell>
          <cell r="B945" t="str">
            <v>쌍둥이 닻</v>
          </cell>
        </row>
        <row r="946">
          <cell r="A946">
            <v>70101367</v>
          </cell>
          <cell r="B946" t="str">
            <v>강화 쌍둥이 닻</v>
          </cell>
        </row>
        <row r="947">
          <cell r="A947">
            <v>70101368</v>
          </cell>
          <cell r="B947" t="str">
            <v>낡은 키장식 닻</v>
          </cell>
        </row>
        <row r="948">
          <cell r="A948">
            <v>70101369</v>
          </cell>
          <cell r="B948" t="str">
            <v>강화 키장식 닻</v>
          </cell>
        </row>
        <row r="949">
          <cell r="A949">
            <v>70101370</v>
          </cell>
          <cell r="B949" t="str">
            <v>목묘</v>
          </cell>
        </row>
        <row r="950">
          <cell r="A950">
            <v>70101371</v>
          </cell>
          <cell r="B950" t="str">
            <v>강화 목묘</v>
          </cell>
        </row>
        <row r="951">
          <cell r="A951">
            <v>70101372</v>
          </cell>
          <cell r="B951" t="str">
            <v>출항의 닻</v>
          </cell>
        </row>
        <row r="952">
          <cell r="A952">
            <v>70101374</v>
          </cell>
          <cell r="B952" t="str">
            <v>새내기 제독의 닻</v>
          </cell>
        </row>
        <row r="953">
          <cell r="A953">
            <v>70101375</v>
          </cell>
          <cell r="B953" t="str">
            <v>빙하 선단의 닻</v>
          </cell>
        </row>
        <row r="954">
          <cell r="A954">
            <v>70101376</v>
          </cell>
          <cell r="B954" t="str">
            <v>북해 연합의 닻</v>
          </cell>
        </row>
        <row r="955">
          <cell r="A955">
            <v>70101377</v>
          </cell>
          <cell r="B955" t="str">
            <v>붉은 산호섬의 수호상</v>
          </cell>
        </row>
        <row r="956">
          <cell r="A956">
            <v>70101378</v>
          </cell>
          <cell r="B956" t="str">
            <v>붉은 산호섬의 보호상</v>
          </cell>
        </row>
        <row r="957">
          <cell r="A957">
            <v>70101379</v>
          </cell>
          <cell r="B957" t="str">
            <v>붉은 산호섬의 자애상</v>
          </cell>
        </row>
        <row r="958">
          <cell r="A958">
            <v>70101380</v>
          </cell>
          <cell r="B958" t="str">
            <v>붉은 산호섬의 평화상</v>
          </cell>
        </row>
        <row r="959">
          <cell r="A959">
            <v>70101381</v>
          </cell>
          <cell r="B959" t="str">
            <v>진주섬의 보호상</v>
          </cell>
        </row>
        <row r="960">
          <cell r="A960">
            <v>70101382</v>
          </cell>
          <cell r="B960" t="str">
            <v>진주섬의 자애상</v>
          </cell>
        </row>
        <row r="961">
          <cell r="A961">
            <v>70101383</v>
          </cell>
          <cell r="B961" t="str">
            <v>진주섬의 평화상</v>
          </cell>
        </row>
        <row r="962">
          <cell r="A962">
            <v>70102001</v>
          </cell>
          <cell r="B962" t="str">
            <v>초소형 NPC 대포</v>
          </cell>
        </row>
        <row r="963">
          <cell r="A963">
            <v>70102002</v>
          </cell>
          <cell r="B963" t="str">
            <v>초소형 NPC 돛</v>
          </cell>
        </row>
        <row r="964">
          <cell r="A964">
            <v>70102003</v>
          </cell>
          <cell r="B964" t="str">
            <v>초소형 NPC 장갑 없음</v>
          </cell>
        </row>
        <row r="965">
          <cell r="A965">
            <v>70102004</v>
          </cell>
          <cell r="B965" t="str">
            <v>초소형 NPC 충각 없음</v>
          </cell>
        </row>
        <row r="966">
          <cell r="A966">
            <v>70103001</v>
          </cell>
          <cell r="B966" t="str">
            <v>공용 선장실</v>
          </cell>
        </row>
        <row r="967">
          <cell r="A967">
            <v>70103002</v>
          </cell>
          <cell r="B967" t="str">
            <v>C급 갑판</v>
          </cell>
        </row>
        <row r="968">
          <cell r="A968">
            <v>70103003</v>
          </cell>
          <cell r="B968" t="str">
            <v>C급 키</v>
          </cell>
        </row>
        <row r="969">
          <cell r="A969">
            <v>70103004</v>
          </cell>
          <cell r="B969" t="str">
            <v>C급 돛대</v>
          </cell>
        </row>
        <row r="970">
          <cell r="A970">
            <v>70103005</v>
          </cell>
          <cell r="B970" t="str">
            <v>C급 파수대</v>
          </cell>
        </row>
        <row r="971">
          <cell r="A971">
            <v>70103006</v>
          </cell>
          <cell r="B971" t="str">
            <v>C급 부관실</v>
          </cell>
        </row>
        <row r="972">
          <cell r="A972">
            <v>70103007</v>
          </cell>
          <cell r="B972" t="str">
            <v>C급 재목실</v>
          </cell>
        </row>
        <row r="973">
          <cell r="A973">
            <v>70103008</v>
          </cell>
          <cell r="B973" t="str">
            <v>C급 회계실</v>
          </cell>
        </row>
        <row r="974">
          <cell r="A974">
            <v>70103009</v>
          </cell>
          <cell r="B974" t="str">
            <v>C급 측량실</v>
          </cell>
        </row>
        <row r="975">
          <cell r="A975">
            <v>70103010</v>
          </cell>
          <cell r="B975" t="str">
            <v>C급 무장포대</v>
          </cell>
        </row>
        <row r="976">
          <cell r="A976">
            <v>70103011</v>
          </cell>
          <cell r="B976" t="str">
            <v>C급 해병대기실</v>
          </cell>
        </row>
        <row r="977">
          <cell r="A977">
            <v>70103012</v>
          </cell>
          <cell r="B977" t="str">
            <v>C급 개인실</v>
          </cell>
        </row>
        <row r="978">
          <cell r="A978">
            <v>70103013</v>
          </cell>
          <cell r="B978" t="str">
            <v>C급 예배실</v>
          </cell>
        </row>
        <row r="979">
          <cell r="A979">
            <v>70103014</v>
          </cell>
          <cell r="B979" t="str">
            <v>C급 조리실</v>
          </cell>
        </row>
        <row r="980">
          <cell r="A980">
            <v>70103015</v>
          </cell>
          <cell r="B980" t="str">
            <v>C급 진료실</v>
          </cell>
        </row>
        <row r="981">
          <cell r="A981">
            <v>70103016</v>
          </cell>
          <cell r="B981" t="str">
            <v>C급 체력단련실</v>
          </cell>
        </row>
        <row r="982">
          <cell r="A982">
            <v>70103017</v>
          </cell>
          <cell r="B982" t="str">
            <v>C급 참모실</v>
          </cell>
        </row>
        <row r="983">
          <cell r="A983">
            <v>70103018</v>
          </cell>
          <cell r="B983" t="str">
            <v>C급 오락실</v>
          </cell>
        </row>
        <row r="984">
          <cell r="A984">
            <v>70103019</v>
          </cell>
          <cell r="B984" t="str">
            <v>C급 사육실</v>
          </cell>
        </row>
        <row r="985">
          <cell r="A985">
            <v>70103020</v>
          </cell>
          <cell r="B985" t="str">
            <v>C급 연구실</v>
          </cell>
        </row>
        <row r="986">
          <cell r="A986">
            <v>70103021</v>
          </cell>
          <cell r="B986" t="str">
            <v>C급 도서실</v>
          </cell>
        </row>
        <row r="987">
          <cell r="A987">
            <v>70103022</v>
          </cell>
          <cell r="B987" t="str">
            <v>B급 갑판</v>
          </cell>
        </row>
        <row r="988">
          <cell r="A988">
            <v>70103023</v>
          </cell>
          <cell r="B988" t="str">
            <v>B급 키</v>
          </cell>
        </row>
        <row r="989">
          <cell r="A989">
            <v>70103024</v>
          </cell>
          <cell r="B989" t="str">
            <v>B급 돛대</v>
          </cell>
        </row>
        <row r="990">
          <cell r="A990">
            <v>70103025</v>
          </cell>
          <cell r="B990" t="str">
            <v>B급 파수대</v>
          </cell>
        </row>
        <row r="991">
          <cell r="A991">
            <v>70103026</v>
          </cell>
          <cell r="B991" t="str">
            <v>B급 부관실</v>
          </cell>
        </row>
        <row r="992">
          <cell r="A992">
            <v>70103027</v>
          </cell>
          <cell r="B992" t="str">
            <v>B급 재목실</v>
          </cell>
        </row>
        <row r="993">
          <cell r="A993">
            <v>70103028</v>
          </cell>
          <cell r="B993" t="str">
            <v>B급 회계실</v>
          </cell>
        </row>
        <row r="994">
          <cell r="A994">
            <v>70103029</v>
          </cell>
          <cell r="B994" t="str">
            <v>B급 측량실</v>
          </cell>
        </row>
        <row r="995">
          <cell r="A995">
            <v>70103030</v>
          </cell>
          <cell r="B995" t="str">
            <v>B급 무장포대</v>
          </cell>
        </row>
        <row r="996">
          <cell r="A996">
            <v>70103031</v>
          </cell>
          <cell r="B996" t="str">
            <v>B급 해병대기실</v>
          </cell>
        </row>
        <row r="997">
          <cell r="A997">
            <v>70103032</v>
          </cell>
          <cell r="B997" t="str">
            <v>B급 개인실</v>
          </cell>
        </row>
        <row r="998">
          <cell r="A998">
            <v>70103033</v>
          </cell>
          <cell r="B998" t="str">
            <v>B급 예배실</v>
          </cell>
        </row>
        <row r="999">
          <cell r="A999">
            <v>70103034</v>
          </cell>
          <cell r="B999" t="str">
            <v>B급 조리실</v>
          </cell>
        </row>
        <row r="1000">
          <cell r="A1000">
            <v>70103035</v>
          </cell>
          <cell r="B1000" t="str">
            <v>B급 진료실</v>
          </cell>
        </row>
        <row r="1001">
          <cell r="A1001">
            <v>70103036</v>
          </cell>
          <cell r="B1001" t="str">
            <v>B급 체력단련실</v>
          </cell>
        </row>
        <row r="1002">
          <cell r="A1002">
            <v>70103037</v>
          </cell>
          <cell r="B1002" t="str">
            <v>B급 참모실</v>
          </cell>
        </row>
        <row r="1003">
          <cell r="A1003">
            <v>70103038</v>
          </cell>
          <cell r="B1003" t="str">
            <v>B급 오락실</v>
          </cell>
        </row>
        <row r="1004">
          <cell r="A1004">
            <v>70103039</v>
          </cell>
          <cell r="B1004" t="str">
            <v>B급 사육실</v>
          </cell>
        </row>
        <row r="1005">
          <cell r="A1005">
            <v>70103040</v>
          </cell>
          <cell r="B1005" t="str">
            <v>B급 연구실</v>
          </cell>
        </row>
        <row r="1006">
          <cell r="A1006">
            <v>70103041</v>
          </cell>
          <cell r="B1006" t="str">
            <v>B급 도서실</v>
          </cell>
        </row>
        <row r="1007">
          <cell r="A1007">
            <v>70103042</v>
          </cell>
          <cell r="B1007" t="str">
            <v>A급 갑판</v>
          </cell>
        </row>
        <row r="1008">
          <cell r="A1008">
            <v>70103043</v>
          </cell>
          <cell r="B1008" t="str">
            <v>A급 키</v>
          </cell>
        </row>
        <row r="1009">
          <cell r="A1009">
            <v>70103044</v>
          </cell>
          <cell r="B1009" t="str">
            <v>A급 돛대</v>
          </cell>
        </row>
        <row r="1010">
          <cell r="A1010">
            <v>70103045</v>
          </cell>
          <cell r="B1010" t="str">
            <v>A급 파수대</v>
          </cell>
        </row>
        <row r="1011">
          <cell r="A1011">
            <v>70103046</v>
          </cell>
          <cell r="B1011" t="str">
            <v>A급 부관실</v>
          </cell>
        </row>
        <row r="1012">
          <cell r="A1012">
            <v>70103047</v>
          </cell>
          <cell r="B1012" t="str">
            <v>A급 재목실</v>
          </cell>
        </row>
        <row r="1013">
          <cell r="A1013">
            <v>70103048</v>
          </cell>
          <cell r="B1013" t="str">
            <v>A급 회계실</v>
          </cell>
        </row>
        <row r="1014">
          <cell r="A1014">
            <v>70103049</v>
          </cell>
          <cell r="B1014" t="str">
            <v>A급 측량실</v>
          </cell>
        </row>
        <row r="1015">
          <cell r="A1015">
            <v>70103050</v>
          </cell>
          <cell r="B1015" t="str">
            <v>A급 무장포대</v>
          </cell>
        </row>
        <row r="1016">
          <cell r="A1016">
            <v>70103051</v>
          </cell>
          <cell r="B1016" t="str">
            <v>A급 해병대기실</v>
          </cell>
        </row>
        <row r="1017">
          <cell r="A1017">
            <v>70103052</v>
          </cell>
          <cell r="B1017" t="str">
            <v>A급 개인실</v>
          </cell>
        </row>
        <row r="1018">
          <cell r="A1018">
            <v>70103053</v>
          </cell>
          <cell r="B1018" t="str">
            <v>A급 예배실</v>
          </cell>
        </row>
        <row r="1019">
          <cell r="A1019">
            <v>70103054</v>
          </cell>
          <cell r="B1019" t="str">
            <v>A급 조리실</v>
          </cell>
        </row>
        <row r="1020">
          <cell r="A1020">
            <v>70103055</v>
          </cell>
          <cell r="B1020" t="str">
            <v>A급 진료실</v>
          </cell>
        </row>
        <row r="1021">
          <cell r="A1021">
            <v>70103056</v>
          </cell>
          <cell r="B1021" t="str">
            <v>A급 체력단련실</v>
          </cell>
        </row>
        <row r="1022">
          <cell r="A1022">
            <v>70103057</v>
          </cell>
          <cell r="B1022" t="str">
            <v>A급 참모실</v>
          </cell>
        </row>
        <row r="1023">
          <cell r="A1023">
            <v>70103058</v>
          </cell>
          <cell r="B1023" t="str">
            <v>A급 오락실</v>
          </cell>
        </row>
        <row r="1024">
          <cell r="A1024">
            <v>70103059</v>
          </cell>
          <cell r="B1024" t="str">
            <v>A급 사육실</v>
          </cell>
        </row>
        <row r="1025">
          <cell r="A1025">
            <v>70103060</v>
          </cell>
          <cell r="B1025" t="str">
            <v>A급 연구실</v>
          </cell>
        </row>
        <row r="1026">
          <cell r="A1026">
            <v>70103061</v>
          </cell>
          <cell r="B1026" t="str">
            <v>A급 도서실</v>
          </cell>
        </row>
        <row r="1027">
          <cell r="A1027">
            <v>70103062</v>
          </cell>
          <cell r="B1027" t="str">
            <v>S급 갑판</v>
          </cell>
        </row>
        <row r="1028">
          <cell r="A1028">
            <v>70103063</v>
          </cell>
          <cell r="B1028" t="str">
            <v>S급 키</v>
          </cell>
        </row>
        <row r="1029">
          <cell r="A1029">
            <v>70103064</v>
          </cell>
          <cell r="B1029" t="str">
            <v>S급 돛대</v>
          </cell>
        </row>
        <row r="1030">
          <cell r="A1030">
            <v>70103065</v>
          </cell>
          <cell r="B1030" t="str">
            <v>S급 파수대</v>
          </cell>
        </row>
        <row r="1031">
          <cell r="A1031">
            <v>70103066</v>
          </cell>
          <cell r="B1031" t="str">
            <v>S급 부관실</v>
          </cell>
        </row>
        <row r="1032">
          <cell r="A1032">
            <v>70103067</v>
          </cell>
          <cell r="B1032" t="str">
            <v>S급 재목실</v>
          </cell>
        </row>
        <row r="1033">
          <cell r="A1033">
            <v>70103068</v>
          </cell>
          <cell r="B1033" t="str">
            <v>S급 회계실</v>
          </cell>
        </row>
        <row r="1034">
          <cell r="A1034">
            <v>70103069</v>
          </cell>
          <cell r="B1034" t="str">
            <v>S급 측량실</v>
          </cell>
        </row>
        <row r="1035">
          <cell r="A1035">
            <v>70103070</v>
          </cell>
          <cell r="B1035" t="str">
            <v>S급 무장포대</v>
          </cell>
        </row>
        <row r="1036">
          <cell r="A1036">
            <v>70103071</v>
          </cell>
          <cell r="B1036" t="str">
            <v>S급 해병대기실</v>
          </cell>
        </row>
        <row r="1037">
          <cell r="A1037">
            <v>70103072</v>
          </cell>
          <cell r="B1037" t="str">
            <v>S급 개인실</v>
          </cell>
        </row>
        <row r="1038">
          <cell r="A1038">
            <v>70103073</v>
          </cell>
          <cell r="B1038" t="str">
            <v>S급 예배실</v>
          </cell>
        </row>
        <row r="1039">
          <cell r="A1039">
            <v>70103074</v>
          </cell>
          <cell r="B1039" t="str">
            <v>S급 조리실</v>
          </cell>
        </row>
        <row r="1040">
          <cell r="A1040">
            <v>70103075</v>
          </cell>
          <cell r="B1040" t="str">
            <v>S급 진료실</v>
          </cell>
        </row>
        <row r="1041">
          <cell r="A1041">
            <v>70103076</v>
          </cell>
          <cell r="B1041" t="str">
            <v>S급 체력단련실</v>
          </cell>
        </row>
        <row r="1042">
          <cell r="A1042">
            <v>70103077</v>
          </cell>
          <cell r="B1042" t="str">
            <v>S급 참모실</v>
          </cell>
        </row>
        <row r="1043">
          <cell r="A1043">
            <v>70103078</v>
          </cell>
          <cell r="B1043" t="str">
            <v>S급 오락실</v>
          </cell>
        </row>
        <row r="1044">
          <cell r="A1044">
            <v>70103079</v>
          </cell>
          <cell r="B1044" t="str">
            <v>S급 사육실</v>
          </cell>
        </row>
        <row r="1045">
          <cell r="A1045">
            <v>70103080</v>
          </cell>
          <cell r="B1045" t="str">
            <v>S급 연구실</v>
          </cell>
        </row>
        <row r="1046">
          <cell r="A1046">
            <v>70103081</v>
          </cell>
          <cell r="B1046" t="str">
            <v>S급 도서실</v>
          </cell>
        </row>
        <row r="1047">
          <cell r="A1047">
            <v>70104001</v>
          </cell>
          <cell r="B1047" t="str">
            <v>C급 소형 물자창고</v>
          </cell>
        </row>
        <row r="1048">
          <cell r="A1048">
            <v>70104002</v>
          </cell>
          <cell r="B1048" t="str">
            <v>C급 소형 식료품 창고</v>
          </cell>
        </row>
        <row r="1049">
          <cell r="A1049">
            <v>70104003</v>
          </cell>
          <cell r="B1049" t="str">
            <v>C급 소형 조미료 창고</v>
          </cell>
        </row>
        <row r="1050">
          <cell r="A1050">
            <v>70104004</v>
          </cell>
          <cell r="B1050" t="str">
            <v>C급 소형 가축 창고</v>
          </cell>
        </row>
        <row r="1051">
          <cell r="A1051">
            <v>70104005</v>
          </cell>
          <cell r="B1051" t="str">
            <v>C급 소형 의약품 창고</v>
          </cell>
        </row>
        <row r="1052">
          <cell r="A1052">
            <v>70104006</v>
          </cell>
          <cell r="B1052" t="str">
            <v>C급 소형 잡화 창고</v>
          </cell>
        </row>
        <row r="1053">
          <cell r="A1053">
            <v>70104007</v>
          </cell>
          <cell r="B1053" t="str">
            <v>C급 소형 주류 창고</v>
          </cell>
        </row>
        <row r="1054">
          <cell r="A1054">
            <v>70104008</v>
          </cell>
          <cell r="B1054" t="str">
            <v>C급 소형 염료 창고</v>
          </cell>
        </row>
        <row r="1055">
          <cell r="A1055">
            <v>70104009</v>
          </cell>
          <cell r="B1055" t="str">
            <v>C급 소형 광석 창고</v>
          </cell>
        </row>
        <row r="1056">
          <cell r="A1056">
            <v>70104010</v>
          </cell>
          <cell r="B1056" t="str">
            <v>C급 소형 공업품 창고</v>
          </cell>
        </row>
        <row r="1057">
          <cell r="A1057">
            <v>70104011</v>
          </cell>
          <cell r="B1057" t="str">
            <v>C급 소형 기호품 창고</v>
          </cell>
        </row>
        <row r="1058">
          <cell r="A1058">
            <v>70104012</v>
          </cell>
          <cell r="B1058" t="str">
            <v>C급 소형 섬유 창고</v>
          </cell>
        </row>
        <row r="1059">
          <cell r="A1059">
            <v>70104013</v>
          </cell>
          <cell r="B1059" t="str">
            <v>C급 소형 직물 창고</v>
          </cell>
        </row>
        <row r="1060">
          <cell r="A1060">
            <v>70104014</v>
          </cell>
          <cell r="B1060" t="str">
            <v>C급 소형 공예품 창고</v>
          </cell>
        </row>
        <row r="1061">
          <cell r="A1061">
            <v>70104015</v>
          </cell>
          <cell r="B1061" t="str">
            <v>C급 소형 미술품 창고</v>
          </cell>
        </row>
        <row r="1062">
          <cell r="A1062">
            <v>70104016</v>
          </cell>
          <cell r="B1062" t="str">
            <v>C급 소형 향신료 창고</v>
          </cell>
        </row>
        <row r="1063">
          <cell r="A1063">
            <v>70104017</v>
          </cell>
          <cell r="B1063" t="str">
            <v>C급 소형 귀금속 창고</v>
          </cell>
        </row>
        <row r="1064">
          <cell r="A1064">
            <v>70104018</v>
          </cell>
          <cell r="B1064" t="str">
            <v>C급 소형 향료 창고</v>
          </cell>
        </row>
        <row r="1065">
          <cell r="A1065">
            <v>70104019</v>
          </cell>
          <cell r="B1065" t="str">
            <v>C급 소형 보석 창고</v>
          </cell>
        </row>
        <row r="1066">
          <cell r="A1066">
            <v>70104020</v>
          </cell>
          <cell r="B1066" t="str">
            <v>C급 소형 무기류 창고</v>
          </cell>
        </row>
        <row r="1067">
          <cell r="A1067">
            <v>70104021</v>
          </cell>
          <cell r="B1067" t="str">
            <v>C급 소형 총포류 창고</v>
          </cell>
        </row>
        <row r="1068">
          <cell r="A1068">
            <v>70104022</v>
          </cell>
          <cell r="B1068" t="str">
            <v>C급 소형 짐창고</v>
          </cell>
        </row>
        <row r="1069">
          <cell r="A1069">
            <v>70104023</v>
          </cell>
          <cell r="B1069" t="str">
            <v>C급 소형 조수실</v>
          </cell>
        </row>
        <row r="1070">
          <cell r="A1070">
            <v>70104024</v>
          </cell>
          <cell r="B1070" t="str">
            <v>C급 소형 선원실</v>
          </cell>
        </row>
        <row r="1071">
          <cell r="A1071">
            <v>70104025</v>
          </cell>
          <cell r="B1071" t="str">
            <v>C급 소형 탄약창고</v>
          </cell>
        </row>
        <row r="1072">
          <cell r="A1072">
            <v>70104026</v>
          </cell>
          <cell r="B1072" t="str">
            <v>C급 소형 무기창고</v>
          </cell>
        </row>
        <row r="1073">
          <cell r="A1073">
            <v>70104027</v>
          </cell>
          <cell r="B1073" t="str">
            <v>C급 소형 휴게실</v>
          </cell>
        </row>
        <row r="1074">
          <cell r="A1074">
            <v>70104028</v>
          </cell>
          <cell r="B1074" t="str">
            <v>C급 소형 연회장</v>
          </cell>
        </row>
        <row r="1075">
          <cell r="A1075">
            <v>70104029</v>
          </cell>
          <cell r="B1075" t="str">
            <v>C급 소형 위장창고</v>
          </cell>
        </row>
        <row r="1076">
          <cell r="A1076">
            <v>70104030</v>
          </cell>
          <cell r="B1076" t="str">
            <v>C급 소형 강화창고</v>
          </cell>
        </row>
        <row r="1077">
          <cell r="A1077">
            <v>70104031</v>
          </cell>
          <cell r="B1077" t="str">
            <v>B급 소형 물자창고</v>
          </cell>
        </row>
        <row r="1078">
          <cell r="A1078">
            <v>70104032</v>
          </cell>
          <cell r="B1078" t="str">
            <v>B급 소형 식료품 창고</v>
          </cell>
        </row>
        <row r="1079">
          <cell r="A1079">
            <v>70104033</v>
          </cell>
          <cell r="B1079" t="str">
            <v>B급 소형 조미료 창고</v>
          </cell>
        </row>
        <row r="1080">
          <cell r="A1080">
            <v>70104034</v>
          </cell>
          <cell r="B1080" t="str">
            <v>B급 소형 가축 창고</v>
          </cell>
        </row>
        <row r="1081">
          <cell r="A1081">
            <v>70104035</v>
          </cell>
          <cell r="B1081" t="str">
            <v>B급 소형 의약품 창고</v>
          </cell>
        </row>
        <row r="1082">
          <cell r="A1082">
            <v>70104036</v>
          </cell>
          <cell r="B1082" t="str">
            <v>B급 소형 잡화 창고</v>
          </cell>
        </row>
        <row r="1083">
          <cell r="A1083">
            <v>70104037</v>
          </cell>
          <cell r="B1083" t="str">
            <v>B급 소형 주류 창고</v>
          </cell>
        </row>
        <row r="1084">
          <cell r="A1084">
            <v>70104038</v>
          </cell>
          <cell r="B1084" t="str">
            <v>B급 소형 염료 창고</v>
          </cell>
        </row>
        <row r="1085">
          <cell r="A1085">
            <v>70104039</v>
          </cell>
          <cell r="B1085" t="str">
            <v>B급 소형 광석 창고</v>
          </cell>
        </row>
        <row r="1086">
          <cell r="A1086">
            <v>70104040</v>
          </cell>
          <cell r="B1086" t="str">
            <v>B급 소형 공업품 창고</v>
          </cell>
        </row>
        <row r="1087">
          <cell r="A1087">
            <v>70104041</v>
          </cell>
          <cell r="B1087" t="str">
            <v>B급 소형 기호품 창고</v>
          </cell>
        </row>
        <row r="1088">
          <cell r="A1088">
            <v>70104042</v>
          </cell>
          <cell r="B1088" t="str">
            <v>B급 소형 섬유 창고</v>
          </cell>
        </row>
        <row r="1089">
          <cell r="A1089">
            <v>70104043</v>
          </cell>
          <cell r="B1089" t="str">
            <v>B급 소형 직물 창고</v>
          </cell>
        </row>
        <row r="1090">
          <cell r="A1090">
            <v>70104044</v>
          </cell>
          <cell r="B1090" t="str">
            <v>B급 소형 공예품 창고</v>
          </cell>
        </row>
        <row r="1091">
          <cell r="A1091">
            <v>70104045</v>
          </cell>
          <cell r="B1091" t="str">
            <v>B급 소형 미술품 창고</v>
          </cell>
        </row>
        <row r="1092">
          <cell r="A1092">
            <v>70104046</v>
          </cell>
          <cell r="B1092" t="str">
            <v>B급 소형 향신료 창고</v>
          </cell>
        </row>
        <row r="1093">
          <cell r="A1093">
            <v>70104047</v>
          </cell>
          <cell r="B1093" t="str">
            <v>B급 소형 귀금속 창고</v>
          </cell>
        </row>
        <row r="1094">
          <cell r="A1094">
            <v>70104048</v>
          </cell>
          <cell r="B1094" t="str">
            <v>B급 소형 향료 창고</v>
          </cell>
        </row>
        <row r="1095">
          <cell r="A1095">
            <v>70104049</v>
          </cell>
          <cell r="B1095" t="str">
            <v>B급 소형 보석 창고</v>
          </cell>
        </row>
        <row r="1096">
          <cell r="A1096">
            <v>70104050</v>
          </cell>
          <cell r="B1096" t="str">
            <v>B급 소형 무기류 창고</v>
          </cell>
        </row>
        <row r="1097">
          <cell r="A1097">
            <v>70104051</v>
          </cell>
          <cell r="B1097" t="str">
            <v>B급 소형 총포류 창고</v>
          </cell>
        </row>
        <row r="1098">
          <cell r="A1098">
            <v>70104052</v>
          </cell>
          <cell r="B1098" t="str">
            <v>B급 소형 짐창고</v>
          </cell>
        </row>
        <row r="1099">
          <cell r="A1099">
            <v>70104053</v>
          </cell>
          <cell r="B1099" t="str">
            <v>B급 소형 조수실</v>
          </cell>
        </row>
        <row r="1100">
          <cell r="A1100">
            <v>70104054</v>
          </cell>
          <cell r="B1100" t="str">
            <v>B급 소형 선원실</v>
          </cell>
        </row>
        <row r="1101">
          <cell r="A1101">
            <v>70104055</v>
          </cell>
          <cell r="B1101" t="str">
            <v>B급 소형 탄약창고</v>
          </cell>
        </row>
        <row r="1102">
          <cell r="A1102">
            <v>70104056</v>
          </cell>
          <cell r="B1102" t="str">
            <v>B급 소형 무기창고</v>
          </cell>
        </row>
        <row r="1103">
          <cell r="A1103">
            <v>70104057</v>
          </cell>
          <cell r="B1103" t="str">
            <v>B급 소형 휴게실</v>
          </cell>
        </row>
        <row r="1104">
          <cell r="A1104">
            <v>70104058</v>
          </cell>
          <cell r="B1104" t="str">
            <v>B급 소형 연회장</v>
          </cell>
        </row>
        <row r="1105">
          <cell r="A1105">
            <v>70104059</v>
          </cell>
          <cell r="B1105" t="str">
            <v>B급 소형 위장창고</v>
          </cell>
        </row>
        <row r="1106">
          <cell r="A1106">
            <v>70104060</v>
          </cell>
          <cell r="B1106" t="str">
            <v>B급 소형 강화창고</v>
          </cell>
        </row>
        <row r="1107">
          <cell r="A1107">
            <v>70104061</v>
          </cell>
          <cell r="B1107" t="str">
            <v>A급 소형 물자창고</v>
          </cell>
        </row>
        <row r="1108">
          <cell r="A1108">
            <v>70104062</v>
          </cell>
          <cell r="B1108" t="str">
            <v>A급 소형 식료품 창고</v>
          </cell>
        </row>
        <row r="1109">
          <cell r="A1109">
            <v>70104063</v>
          </cell>
          <cell r="B1109" t="str">
            <v>A급 소형 조미료 창고</v>
          </cell>
        </row>
        <row r="1110">
          <cell r="A1110">
            <v>70104064</v>
          </cell>
          <cell r="B1110" t="str">
            <v>A급 소형 가축 창고</v>
          </cell>
        </row>
        <row r="1111">
          <cell r="A1111">
            <v>70104065</v>
          </cell>
          <cell r="B1111" t="str">
            <v>A급 소형 의약품 창고</v>
          </cell>
        </row>
        <row r="1112">
          <cell r="A1112">
            <v>70104066</v>
          </cell>
          <cell r="B1112" t="str">
            <v>A급 소형 잡화 창고</v>
          </cell>
        </row>
        <row r="1113">
          <cell r="A1113">
            <v>70104067</v>
          </cell>
          <cell r="B1113" t="str">
            <v>A급 소형 주류 창고</v>
          </cell>
        </row>
        <row r="1114">
          <cell r="A1114">
            <v>70104068</v>
          </cell>
          <cell r="B1114" t="str">
            <v>A급 소형 염료 창고</v>
          </cell>
        </row>
        <row r="1115">
          <cell r="A1115">
            <v>70104069</v>
          </cell>
          <cell r="B1115" t="str">
            <v>A급 소형 광석 창고</v>
          </cell>
        </row>
        <row r="1116">
          <cell r="A1116">
            <v>70104070</v>
          </cell>
          <cell r="B1116" t="str">
            <v>A급 소형 공업품 창고</v>
          </cell>
        </row>
        <row r="1117">
          <cell r="A1117">
            <v>70104071</v>
          </cell>
          <cell r="B1117" t="str">
            <v>A급 소형 기호품 창고</v>
          </cell>
        </row>
        <row r="1118">
          <cell r="A1118">
            <v>70104072</v>
          </cell>
          <cell r="B1118" t="str">
            <v>A급 소형 섬유 창고</v>
          </cell>
        </row>
        <row r="1119">
          <cell r="A1119">
            <v>70104073</v>
          </cell>
          <cell r="B1119" t="str">
            <v>A급 소형 직물 창고</v>
          </cell>
        </row>
        <row r="1120">
          <cell r="A1120">
            <v>70104074</v>
          </cell>
          <cell r="B1120" t="str">
            <v>A급 소형 공예품 창고</v>
          </cell>
        </row>
        <row r="1121">
          <cell r="A1121">
            <v>70104075</v>
          </cell>
          <cell r="B1121" t="str">
            <v>A급 소형 미술품 창고</v>
          </cell>
        </row>
        <row r="1122">
          <cell r="A1122">
            <v>70104076</v>
          </cell>
          <cell r="B1122" t="str">
            <v>A급 소형 향신료 창고</v>
          </cell>
        </row>
        <row r="1123">
          <cell r="A1123">
            <v>70104077</v>
          </cell>
          <cell r="B1123" t="str">
            <v>A급 소형 귀금속 창고</v>
          </cell>
        </row>
        <row r="1124">
          <cell r="A1124">
            <v>70104078</v>
          </cell>
          <cell r="B1124" t="str">
            <v>A급 소형 향료 창고</v>
          </cell>
        </row>
        <row r="1125">
          <cell r="A1125">
            <v>70104079</v>
          </cell>
          <cell r="B1125" t="str">
            <v>A급 소형 보석 창고</v>
          </cell>
        </row>
        <row r="1126">
          <cell r="A1126">
            <v>70104080</v>
          </cell>
          <cell r="B1126" t="str">
            <v>A급 소형 무기류 창고</v>
          </cell>
        </row>
        <row r="1127">
          <cell r="A1127">
            <v>70104081</v>
          </cell>
          <cell r="B1127" t="str">
            <v>A급 소형 총포류 창고</v>
          </cell>
        </row>
        <row r="1128">
          <cell r="A1128">
            <v>70104082</v>
          </cell>
          <cell r="B1128" t="str">
            <v>A급 소형 짐창고</v>
          </cell>
        </row>
        <row r="1129">
          <cell r="A1129">
            <v>70104083</v>
          </cell>
          <cell r="B1129" t="str">
            <v>A급 소형 조수실</v>
          </cell>
        </row>
        <row r="1130">
          <cell r="A1130">
            <v>70104084</v>
          </cell>
          <cell r="B1130" t="str">
            <v>A급 소형 선원실</v>
          </cell>
        </row>
        <row r="1131">
          <cell r="A1131">
            <v>70104085</v>
          </cell>
          <cell r="B1131" t="str">
            <v>A급 소형 탄약창고</v>
          </cell>
        </row>
        <row r="1132">
          <cell r="A1132">
            <v>70104086</v>
          </cell>
          <cell r="B1132" t="str">
            <v>A급 소형 무기창고</v>
          </cell>
        </row>
        <row r="1133">
          <cell r="A1133">
            <v>70104087</v>
          </cell>
          <cell r="B1133" t="str">
            <v>A급 소형 휴게실</v>
          </cell>
        </row>
        <row r="1134">
          <cell r="A1134">
            <v>70104088</v>
          </cell>
          <cell r="B1134" t="str">
            <v>A급 소형 연회장</v>
          </cell>
        </row>
        <row r="1135">
          <cell r="A1135">
            <v>70104089</v>
          </cell>
          <cell r="B1135" t="str">
            <v>A급 소형 위장창고</v>
          </cell>
        </row>
        <row r="1136">
          <cell r="A1136">
            <v>70104090</v>
          </cell>
          <cell r="B1136" t="str">
            <v>A급 소형 강화창고</v>
          </cell>
        </row>
        <row r="1137">
          <cell r="A1137">
            <v>70104091</v>
          </cell>
          <cell r="B1137" t="str">
            <v>S급 소형 물자창고</v>
          </cell>
        </row>
        <row r="1138">
          <cell r="A1138">
            <v>70104092</v>
          </cell>
          <cell r="B1138" t="str">
            <v>S급 소형 식료품 창고</v>
          </cell>
        </row>
        <row r="1139">
          <cell r="A1139">
            <v>70104093</v>
          </cell>
          <cell r="B1139" t="str">
            <v>S급 소형 조미료 창고</v>
          </cell>
        </row>
        <row r="1140">
          <cell r="A1140">
            <v>70104094</v>
          </cell>
          <cell r="B1140" t="str">
            <v>S급 소형 가축 창고</v>
          </cell>
        </row>
        <row r="1141">
          <cell r="A1141">
            <v>70104095</v>
          </cell>
          <cell r="B1141" t="str">
            <v>S급 소형 의약품 창고</v>
          </cell>
        </row>
        <row r="1142">
          <cell r="A1142">
            <v>70104096</v>
          </cell>
          <cell r="B1142" t="str">
            <v>S급 소형 잡화 창고</v>
          </cell>
        </row>
        <row r="1143">
          <cell r="A1143">
            <v>70104097</v>
          </cell>
          <cell r="B1143" t="str">
            <v>S급 소형 주류 창고</v>
          </cell>
        </row>
        <row r="1144">
          <cell r="A1144">
            <v>70104098</v>
          </cell>
          <cell r="B1144" t="str">
            <v>S급 소형 염료 창고</v>
          </cell>
        </row>
        <row r="1145">
          <cell r="A1145">
            <v>70104099</v>
          </cell>
          <cell r="B1145" t="str">
            <v>S급 소형 광석 창고</v>
          </cell>
        </row>
        <row r="1146">
          <cell r="A1146">
            <v>70104100</v>
          </cell>
          <cell r="B1146" t="str">
            <v>S급 소형 공업품 창고</v>
          </cell>
        </row>
        <row r="1147">
          <cell r="A1147">
            <v>70104101</v>
          </cell>
          <cell r="B1147" t="str">
            <v>S급 소형 기호품 창고</v>
          </cell>
        </row>
        <row r="1148">
          <cell r="A1148">
            <v>70104102</v>
          </cell>
          <cell r="B1148" t="str">
            <v>S급 소형 섬유 창고</v>
          </cell>
        </row>
        <row r="1149">
          <cell r="A1149">
            <v>70104103</v>
          </cell>
          <cell r="B1149" t="str">
            <v>S급 소형 직물 창고</v>
          </cell>
        </row>
        <row r="1150">
          <cell r="A1150">
            <v>70104104</v>
          </cell>
          <cell r="B1150" t="str">
            <v>S급 소형 공예품 창고</v>
          </cell>
        </row>
        <row r="1151">
          <cell r="A1151">
            <v>70104105</v>
          </cell>
          <cell r="B1151" t="str">
            <v>S급 소형 미술품 창고</v>
          </cell>
        </row>
        <row r="1152">
          <cell r="A1152">
            <v>70104106</v>
          </cell>
          <cell r="B1152" t="str">
            <v>S급 소형 향신료 창고</v>
          </cell>
        </row>
        <row r="1153">
          <cell r="A1153">
            <v>70104107</v>
          </cell>
          <cell r="B1153" t="str">
            <v>S급 소형 귀금속 창고</v>
          </cell>
        </row>
        <row r="1154">
          <cell r="A1154">
            <v>70104108</v>
          </cell>
          <cell r="B1154" t="str">
            <v>S급 소형 향료 창고</v>
          </cell>
        </row>
        <row r="1155">
          <cell r="A1155">
            <v>70104109</v>
          </cell>
          <cell r="B1155" t="str">
            <v>S급 소형 보석 창고</v>
          </cell>
        </row>
        <row r="1156">
          <cell r="A1156">
            <v>70104110</v>
          </cell>
          <cell r="B1156" t="str">
            <v>S급 소형 무기류 창고</v>
          </cell>
        </row>
        <row r="1157">
          <cell r="A1157">
            <v>70104111</v>
          </cell>
          <cell r="B1157" t="str">
            <v>S급 소형 총포류 창고</v>
          </cell>
        </row>
        <row r="1158">
          <cell r="A1158">
            <v>70104112</v>
          </cell>
          <cell r="B1158" t="str">
            <v>S급 소형 짐창고</v>
          </cell>
        </row>
        <row r="1159">
          <cell r="A1159">
            <v>70104113</v>
          </cell>
          <cell r="B1159" t="str">
            <v>S급 소형 조수실</v>
          </cell>
        </row>
        <row r="1160">
          <cell r="A1160">
            <v>70104114</v>
          </cell>
          <cell r="B1160" t="str">
            <v>S급 소형 선원실</v>
          </cell>
        </row>
        <row r="1161">
          <cell r="A1161">
            <v>70104115</v>
          </cell>
          <cell r="B1161" t="str">
            <v>S급 소형 탄약창고</v>
          </cell>
        </row>
        <row r="1162">
          <cell r="A1162">
            <v>70104116</v>
          </cell>
          <cell r="B1162" t="str">
            <v>S급 소형 무기창고</v>
          </cell>
        </row>
        <row r="1163">
          <cell r="A1163">
            <v>70104117</v>
          </cell>
          <cell r="B1163" t="str">
            <v>S급 소형 휴게실</v>
          </cell>
        </row>
        <row r="1164">
          <cell r="A1164">
            <v>70104118</v>
          </cell>
          <cell r="B1164" t="str">
            <v>S급 소형 연회장</v>
          </cell>
        </row>
        <row r="1165">
          <cell r="A1165">
            <v>70104119</v>
          </cell>
          <cell r="B1165" t="str">
            <v>S급 소형 위장창고</v>
          </cell>
        </row>
        <row r="1166">
          <cell r="A1166">
            <v>70104120</v>
          </cell>
          <cell r="B1166" t="str">
            <v>S급 소형 강화창고</v>
          </cell>
        </row>
        <row r="1167">
          <cell r="A1167">
            <v>70104121</v>
          </cell>
          <cell r="B1167" t="str">
            <v>C급 중형 물자창고</v>
          </cell>
        </row>
        <row r="1168">
          <cell r="A1168">
            <v>70104122</v>
          </cell>
          <cell r="B1168" t="str">
            <v>C급 중형 식료품 창고</v>
          </cell>
        </row>
        <row r="1169">
          <cell r="A1169">
            <v>70104123</v>
          </cell>
          <cell r="B1169" t="str">
            <v>C급 중형 조미료 창고</v>
          </cell>
        </row>
        <row r="1170">
          <cell r="A1170">
            <v>70104124</v>
          </cell>
          <cell r="B1170" t="str">
            <v>C급 중형 가축 창고</v>
          </cell>
        </row>
        <row r="1171">
          <cell r="A1171">
            <v>70104125</v>
          </cell>
          <cell r="B1171" t="str">
            <v>C급 중형 의약품 창고</v>
          </cell>
        </row>
        <row r="1172">
          <cell r="A1172">
            <v>70104126</v>
          </cell>
          <cell r="B1172" t="str">
            <v>C급 중형 잡화 창고</v>
          </cell>
        </row>
        <row r="1173">
          <cell r="A1173">
            <v>70104127</v>
          </cell>
          <cell r="B1173" t="str">
            <v>C급 중형 주류 창고</v>
          </cell>
        </row>
        <row r="1174">
          <cell r="A1174">
            <v>70104128</v>
          </cell>
          <cell r="B1174" t="str">
            <v>C급 중형 염료 창고</v>
          </cell>
        </row>
        <row r="1175">
          <cell r="A1175">
            <v>70104129</v>
          </cell>
          <cell r="B1175" t="str">
            <v>C급 중형 광석 창고</v>
          </cell>
        </row>
        <row r="1176">
          <cell r="A1176">
            <v>70104130</v>
          </cell>
          <cell r="B1176" t="str">
            <v>C급 중형 공업품 창고</v>
          </cell>
        </row>
        <row r="1177">
          <cell r="A1177">
            <v>70104131</v>
          </cell>
          <cell r="B1177" t="str">
            <v>C급 중형 기호품 창고</v>
          </cell>
        </row>
        <row r="1178">
          <cell r="A1178">
            <v>70104132</v>
          </cell>
          <cell r="B1178" t="str">
            <v>C급 중형 섬유 창고</v>
          </cell>
        </row>
        <row r="1179">
          <cell r="A1179">
            <v>70104133</v>
          </cell>
          <cell r="B1179" t="str">
            <v>C급 중형 직물 창고</v>
          </cell>
        </row>
        <row r="1180">
          <cell r="A1180">
            <v>70104134</v>
          </cell>
          <cell r="B1180" t="str">
            <v>C급 중형 공예품 창고</v>
          </cell>
        </row>
        <row r="1181">
          <cell r="A1181">
            <v>70104135</v>
          </cell>
          <cell r="B1181" t="str">
            <v>C급 중형 미술품 창고</v>
          </cell>
        </row>
        <row r="1182">
          <cell r="A1182">
            <v>70104136</v>
          </cell>
          <cell r="B1182" t="str">
            <v>C급 중형 향신료 창고</v>
          </cell>
        </row>
        <row r="1183">
          <cell r="A1183">
            <v>70104137</v>
          </cell>
          <cell r="B1183" t="str">
            <v>C급 중형 귀금속 창고</v>
          </cell>
        </row>
        <row r="1184">
          <cell r="A1184">
            <v>70104138</v>
          </cell>
          <cell r="B1184" t="str">
            <v>C급 중형 향료 창고</v>
          </cell>
        </row>
        <row r="1185">
          <cell r="A1185">
            <v>70104139</v>
          </cell>
          <cell r="B1185" t="str">
            <v>C급 중형 보석 창고</v>
          </cell>
        </row>
        <row r="1186">
          <cell r="A1186">
            <v>70104140</v>
          </cell>
          <cell r="B1186" t="str">
            <v>C급 중형 무기류 창고</v>
          </cell>
        </row>
        <row r="1187">
          <cell r="A1187">
            <v>70104141</v>
          </cell>
          <cell r="B1187" t="str">
            <v>C급 중형 총포류 창고</v>
          </cell>
        </row>
        <row r="1188">
          <cell r="A1188">
            <v>70104142</v>
          </cell>
          <cell r="B1188" t="str">
            <v>C급 중형 짐창고</v>
          </cell>
        </row>
        <row r="1189">
          <cell r="A1189">
            <v>70104143</v>
          </cell>
          <cell r="B1189" t="str">
            <v>C급 중형 조수실</v>
          </cell>
        </row>
        <row r="1190">
          <cell r="A1190">
            <v>70104144</v>
          </cell>
          <cell r="B1190" t="str">
            <v>C급 중형 선원실</v>
          </cell>
        </row>
        <row r="1191">
          <cell r="A1191">
            <v>70104145</v>
          </cell>
          <cell r="B1191" t="str">
            <v>C급 중형 탄약창고</v>
          </cell>
        </row>
        <row r="1192">
          <cell r="A1192">
            <v>70104146</v>
          </cell>
          <cell r="B1192" t="str">
            <v>C급 중형 무기창고</v>
          </cell>
        </row>
        <row r="1193">
          <cell r="A1193">
            <v>70104147</v>
          </cell>
          <cell r="B1193" t="str">
            <v>C급 중형 휴게실</v>
          </cell>
        </row>
        <row r="1194">
          <cell r="A1194">
            <v>70104148</v>
          </cell>
          <cell r="B1194" t="str">
            <v>C급 중형 연회장</v>
          </cell>
        </row>
        <row r="1195">
          <cell r="A1195">
            <v>70104149</v>
          </cell>
          <cell r="B1195" t="str">
            <v>C급 중형 위장창고</v>
          </cell>
        </row>
        <row r="1196">
          <cell r="A1196">
            <v>70104150</v>
          </cell>
          <cell r="B1196" t="str">
            <v>C급 중형 강화창고</v>
          </cell>
        </row>
        <row r="1197">
          <cell r="A1197">
            <v>70104151</v>
          </cell>
          <cell r="B1197" t="str">
            <v>B급 중형 물자창고</v>
          </cell>
        </row>
        <row r="1198">
          <cell r="A1198">
            <v>70104152</v>
          </cell>
          <cell r="B1198" t="str">
            <v>B급 중형 식료품 창고</v>
          </cell>
        </row>
        <row r="1199">
          <cell r="A1199">
            <v>70104153</v>
          </cell>
          <cell r="B1199" t="str">
            <v>B급 중형 조미료 창고</v>
          </cell>
        </row>
        <row r="1200">
          <cell r="A1200">
            <v>70104154</v>
          </cell>
          <cell r="B1200" t="str">
            <v>B급 중형 가축 창고</v>
          </cell>
        </row>
        <row r="1201">
          <cell r="A1201">
            <v>70104155</v>
          </cell>
          <cell r="B1201" t="str">
            <v>B급 중형 의약품 창고</v>
          </cell>
        </row>
        <row r="1202">
          <cell r="A1202">
            <v>70104156</v>
          </cell>
          <cell r="B1202" t="str">
            <v>B급 중형 잡화 창고</v>
          </cell>
        </row>
        <row r="1203">
          <cell r="A1203">
            <v>70104157</v>
          </cell>
          <cell r="B1203" t="str">
            <v>B급 중형 주류 창고</v>
          </cell>
        </row>
        <row r="1204">
          <cell r="A1204">
            <v>70104158</v>
          </cell>
          <cell r="B1204" t="str">
            <v>B급 중형 염료 창고</v>
          </cell>
        </row>
        <row r="1205">
          <cell r="A1205">
            <v>70104159</v>
          </cell>
          <cell r="B1205" t="str">
            <v>B급 중형 광석 창고</v>
          </cell>
        </row>
        <row r="1206">
          <cell r="A1206">
            <v>70104160</v>
          </cell>
          <cell r="B1206" t="str">
            <v>B급 중형 공업품 창고</v>
          </cell>
        </row>
        <row r="1207">
          <cell r="A1207">
            <v>70104161</v>
          </cell>
          <cell r="B1207" t="str">
            <v>B급 중형 기호품 창고</v>
          </cell>
        </row>
        <row r="1208">
          <cell r="A1208">
            <v>70104162</v>
          </cell>
          <cell r="B1208" t="str">
            <v>B급 중형 섬유 창고</v>
          </cell>
        </row>
        <row r="1209">
          <cell r="A1209">
            <v>70104163</v>
          </cell>
          <cell r="B1209" t="str">
            <v>B급 중형 직물 창고</v>
          </cell>
        </row>
        <row r="1210">
          <cell r="A1210">
            <v>70104164</v>
          </cell>
          <cell r="B1210" t="str">
            <v>B급 중형 공예품 창고</v>
          </cell>
        </row>
        <row r="1211">
          <cell r="A1211">
            <v>70104165</v>
          </cell>
          <cell r="B1211" t="str">
            <v>B급 중형 미술품 창고</v>
          </cell>
        </row>
        <row r="1212">
          <cell r="A1212">
            <v>70104166</v>
          </cell>
          <cell r="B1212" t="str">
            <v>B급 중형 향신료 창고</v>
          </cell>
        </row>
        <row r="1213">
          <cell r="A1213">
            <v>70104167</v>
          </cell>
          <cell r="B1213" t="str">
            <v>B급 중형 귀금속 창고</v>
          </cell>
        </row>
        <row r="1214">
          <cell r="A1214">
            <v>70104168</v>
          </cell>
          <cell r="B1214" t="str">
            <v>B급 중형 향료 창고</v>
          </cell>
        </row>
        <row r="1215">
          <cell r="A1215">
            <v>70104169</v>
          </cell>
          <cell r="B1215" t="str">
            <v>B급 중형 보석 창고</v>
          </cell>
        </row>
        <row r="1216">
          <cell r="A1216">
            <v>70104170</v>
          </cell>
          <cell r="B1216" t="str">
            <v>B급 중형 무기류 창고</v>
          </cell>
        </row>
        <row r="1217">
          <cell r="A1217">
            <v>70104171</v>
          </cell>
          <cell r="B1217" t="str">
            <v>B급 중형 총포류 창고</v>
          </cell>
        </row>
        <row r="1218">
          <cell r="A1218">
            <v>70104172</v>
          </cell>
          <cell r="B1218" t="str">
            <v>B급 중형 짐창고</v>
          </cell>
        </row>
        <row r="1219">
          <cell r="A1219">
            <v>70104173</v>
          </cell>
          <cell r="B1219" t="str">
            <v>B급 중형 조수실</v>
          </cell>
        </row>
        <row r="1220">
          <cell r="A1220">
            <v>70104174</v>
          </cell>
          <cell r="B1220" t="str">
            <v>B급 중형 선원실</v>
          </cell>
        </row>
        <row r="1221">
          <cell r="A1221">
            <v>70104175</v>
          </cell>
          <cell r="B1221" t="str">
            <v>B급 중형 탄약창고</v>
          </cell>
        </row>
        <row r="1222">
          <cell r="A1222">
            <v>70104176</v>
          </cell>
          <cell r="B1222" t="str">
            <v>B급 중형 무기창고</v>
          </cell>
        </row>
        <row r="1223">
          <cell r="A1223">
            <v>70104177</v>
          </cell>
          <cell r="B1223" t="str">
            <v>B급 중형 휴게실</v>
          </cell>
        </row>
        <row r="1224">
          <cell r="A1224">
            <v>70104178</v>
          </cell>
          <cell r="B1224" t="str">
            <v>B급 중형 연회장</v>
          </cell>
        </row>
        <row r="1225">
          <cell r="A1225">
            <v>70104179</v>
          </cell>
          <cell r="B1225" t="str">
            <v>B급 중형 위장창고</v>
          </cell>
        </row>
        <row r="1226">
          <cell r="A1226">
            <v>70104180</v>
          </cell>
          <cell r="B1226" t="str">
            <v>B급 중형 강화창고</v>
          </cell>
        </row>
        <row r="1227">
          <cell r="A1227">
            <v>70104181</v>
          </cell>
          <cell r="B1227" t="str">
            <v>A급 중형 물자창고</v>
          </cell>
        </row>
        <row r="1228">
          <cell r="A1228">
            <v>70104182</v>
          </cell>
          <cell r="B1228" t="str">
            <v>A급 중형 식료품 창고</v>
          </cell>
        </row>
        <row r="1229">
          <cell r="A1229">
            <v>70104183</v>
          </cell>
          <cell r="B1229" t="str">
            <v>A급 중형 조미료 창고</v>
          </cell>
        </row>
        <row r="1230">
          <cell r="A1230">
            <v>70104184</v>
          </cell>
          <cell r="B1230" t="str">
            <v>A급 중형 가축 창고</v>
          </cell>
        </row>
        <row r="1231">
          <cell r="A1231">
            <v>70104185</v>
          </cell>
          <cell r="B1231" t="str">
            <v>A급 중형 의약품 창고</v>
          </cell>
        </row>
        <row r="1232">
          <cell r="A1232">
            <v>70104186</v>
          </cell>
          <cell r="B1232" t="str">
            <v>A급 중형 잡화 창고</v>
          </cell>
        </row>
        <row r="1233">
          <cell r="A1233">
            <v>70104187</v>
          </cell>
          <cell r="B1233" t="str">
            <v>A급 중형 주류 창고</v>
          </cell>
        </row>
        <row r="1234">
          <cell r="A1234">
            <v>70104188</v>
          </cell>
          <cell r="B1234" t="str">
            <v>A급 중형 염료 창고</v>
          </cell>
        </row>
        <row r="1235">
          <cell r="A1235">
            <v>70104189</v>
          </cell>
          <cell r="B1235" t="str">
            <v>A급 중형 광석 창고</v>
          </cell>
        </row>
        <row r="1236">
          <cell r="A1236">
            <v>70104190</v>
          </cell>
          <cell r="B1236" t="str">
            <v>A급 중형 공업품 창고</v>
          </cell>
        </row>
        <row r="1237">
          <cell r="A1237">
            <v>70104191</v>
          </cell>
          <cell r="B1237" t="str">
            <v>A급 중형 기호품 창고</v>
          </cell>
        </row>
        <row r="1238">
          <cell r="A1238">
            <v>70104192</v>
          </cell>
          <cell r="B1238" t="str">
            <v>A급 중형 섬유 창고</v>
          </cell>
        </row>
        <row r="1239">
          <cell r="A1239">
            <v>70104193</v>
          </cell>
          <cell r="B1239" t="str">
            <v>A급 중형 직물 창고</v>
          </cell>
        </row>
        <row r="1240">
          <cell r="A1240">
            <v>70104194</v>
          </cell>
          <cell r="B1240" t="str">
            <v>A급 중형 공예품 창고</v>
          </cell>
        </row>
        <row r="1241">
          <cell r="A1241">
            <v>70104195</v>
          </cell>
          <cell r="B1241" t="str">
            <v>A급 중형 미술품 창고</v>
          </cell>
        </row>
        <row r="1242">
          <cell r="A1242">
            <v>70104196</v>
          </cell>
          <cell r="B1242" t="str">
            <v>A급 중형 향신료 창고</v>
          </cell>
        </row>
        <row r="1243">
          <cell r="A1243">
            <v>70104197</v>
          </cell>
          <cell r="B1243" t="str">
            <v>A급 중형 귀금속 창고</v>
          </cell>
        </row>
        <row r="1244">
          <cell r="A1244">
            <v>70104198</v>
          </cell>
          <cell r="B1244" t="str">
            <v>A급 중형 향료 창고</v>
          </cell>
        </row>
        <row r="1245">
          <cell r="A1245">
            <v>70104199</v>
          </cell>
          <cell r="B1245" t="str">
            <v>A급 중형 보석 창고</v>
          </cell>
        </row>
        <row r="1246">
          <cell r="A1246">
            <v>70104200</v>
          </cell>
          <cell r="B1246" t="str">
            <v>A급 중형 무기류 창고</v>
          </cell>
        </row>
        <row r="1247">
          <cell r="A1247">
            <v>70104201</v>
          </cell>
          <cell r="B1247" t="str">
            <v>A급 중형 총포류 창고</v>
          </cell>
        </row>
        <row r="1248">
          <cell r="A1248">
            <v>70104202</v>
          </cell>
          <cell r="B1248" t="str">
            <v>A급 중형 짐창고</v>
          </cell>
        </row>
        <row r="1249">
          <cell r="A1249">
            <v>70104203</v>
          </cell>
          <cell r="B1249" t="str">
            <v>A급 중형 조수실</v>
          </cell>
        </row>
        <row r="1250">
          <cell r="A1250">
            <v>70104204</v>
          </cell>
          <cell r="B1250" t="str">
            <v>A급 중형 선원실</v>
          </cell>
        </row>
        <row r="1251">
          <cell r="A1251">
            <v>70104205</v>
          </cell>
          <cell r="B1251" t="str">
            <v>A급 중형 탄약창고</v>
          </cell>
        </row>
        <row r="1252">
          <cell r="A1252">
            <v>70104206</v>
          </cell>
          <cell r="B1252" t="str">
            <v>A급 중형 무기창고</v>
          </cell>
        </row>
        <row r="1253">
          <cell r="A1253">
            <v>70104207</v>
          </cell>
          <cell r="B1253" t="str">
            <v>A급 중형 휴게실</v>
          </cell>
        </row>
        <row r="1254">
          <cell r="A1254">
            <v>70104208</v>
          </cell>
          <cell r="B1254" t="str">
            <v>A급 중형 연회장</v>
          </cell>
        </row>
        <row r="1255">
          <cell r="A1255">
            <v>70104209</v>
          </cell>
          <cell r="B1255" t="str">
            <v>A급 중형 위장창고</v>
          </cell>
        </row>
        <row r="1256">
          <cell r="A1256">
            <v>70104210</v>
          </cell>
          <cell r="B1256" t="str">
            <v>A급 중형 강화창고</v>
          </cell>
        </row>
        <row r="1257">
          <cell r="A1257">
            <v>70104211</v>
          </cell>
          <cell r="B1257" t="str">
            <v>S급 중형 물자창고</v>
          </cell>
        </row>
        <row r="1258">
          <cell r="A1258">
            <v>70104212</v>
          </cell>
          <cell r="B1258" t="str">
            <v>S급 중형 식료품 창고</v>
          </cell>
        </row>
        <row r="1259">
          <cell r="A1259">
            <v>70104213</v>
          </cell>
          <cell r="B1259" t="str">
            <v>S급 중형 조미료 창고</v>
          </cell>
        </row>
        <row r="1260">
          <cell r="A1260">
            <v>70104214</v>
          </cell>
          <cell r="B1260" t="str">
            <v>S급 중형 가축 창고</v>
          </cell>
        </row>
        <row r="1261">
          <cell r="A1261">
            <v>70104215</v>
          </cell>
          <cell r="B1261" t="str">
            <v>S급 중형 의약품 창고</v>
          </cell>
        </row>
        <row r="1262">
          <cell r="A1262">
            <v>70104216</v>
          </cell>
          <cell r="B1262" t="str">
            <v>S급 중형 잡화 창고</v>
          </cell>
        </row>
        <row r="1263">
          <cell r="A1263">
            <v>70104217</v>
          </cell>
          <cell r="B1263" t="str">
            <v>S급 중형 주류 창고</v>
          </cell>
        </row>
        <row r="1264">
          <cell r="A1264">
            <v>70104218</v>
          </cell>
          <cell r="B1264" t="str">
            <v>S급 중형 염료 창고</v>
          </cell>
        </row>
        <row r="1265">
          <cell r="A1265">
            <v>70104219</v>
          </cell>
          <cell r="B1265" t="str">
            <v>S급 중형 광석 창고</v>
          </cell>
        </row>
        <row r="1266">
          <cell r="A1266">
            <v>70104220</v>
          </cell>
          <cell r="B1266" t="str">
            <v>S급 중형 공업품 창고</v>
          </cell>
        </row>
        <row r="1267">
          <cell r="A1267">
            <v>70104221</v>
          </cell>
          <cell r="B1267" t="str">
            <v>S급 중형 기호품 창고</v>
          </cell>
        </row>
        <row r="1268">
          <cell r="A1268">
            <v>70104222</v>
          </cell>
          <cell r="B1268" t="str">
            <v>S급 중형 섬유 창고</v>
          </cell>
        </row>
        <row r="1269">
          <cell r="A1269">
            <v>70104223</v>
          </cell>
          <cell r="B1269" t="str">
            <v>S급 중형 직물 창고</v>
          </cell>
        </row>
        <row r="1270">
          <cell r="A1270">
            <v>70104224</v>
          </cell>
          <cell r="B1270" t="str">
            <v>S급 중형 공예품 창고</v>
          </cell>
        </row>
        <row r="1271">
          <cell r="A1271">
            <v>70104225</v>
          </cell>
          <cell r="B1271" t="str">
            <v>S급 중형 미술품 창고</v>
          </cell>
        </row>
        <row r="1272">
          <cell r="A1272">
            <v>70104226</v>
          </cell>
          <cell r="B1272" t="str">
            <v>S급 중형 향신료 창고</v>
          </cell>
        </row>
        <row r="1273">
          <cell r="A1273">
            <v>70104227</v>
          </cell>
          <cell r="B1273" t="str">
            <v>S급 중형 귀금속 창고</v>
          </cell>
        </row>
        <row r="1274">
          <cell r="A1274">
            <v>70104228</v>
          </cell>
          <cell r="B1274" t="str">
            <v>S급 중형 향료 창고</v>
          </cell>
        </row>
        <row r="1275">
          <cell r="A1275">
            <v>70104229</v>
          </cell>
          <cell r="B1275" t="str">
            <v>S급 중형 보석 창고</v>
          </cell>
        </row>
        <row r="1276">
          <cell r="A1276">
            <v>70104230</v>
          </cell>
          <cell r="B1276" t="str">
            <v>S급 중형 무기류 창고</v>
          </cell>
        </row>
        <row r="1277">
          <cell r="A1277">
            <v>70104231</v>
          </cell>
          <cell r="B1277" t="str">
            <v>S급 중형 총포류 창고</v>
          </cell>
        </row>
        <row r="1278">
          <cell r="A1278">
            <v>70104232</v>
          </cell>
          <cell r="B1278" t="str">
            <v>S급 중형 짐창고</v>
          </cell>
        </row>
        <row r="1279">
          <cell r="A1279">
            <v>70104233</v>
          </cell>
          <cell r="B1279" t="str">
            <v>S급 중형 조수실</v>
          </cell>
        </row>
        <row r="1280">
          <cell r="A1280">
            <v>70104234</v>
          </cell>
          <cell r="B1280" t="str">
            <v>S급 중형 선원실</v>
          </cell>
        </row>
        <row r="1281">
          <cell r="A1281">
            <v>70104235</v>
          </cell>
          <cell r="B1281" t="str">
            <v>S급 중형 탄약창고</v>
          </cell>
        </row>
        <row r="1282">
          <cell r="A1282">
            <v>70104236</v>
          </cell>
          <cell r="B1282" t="str">
            <v>S급 중형 무기창고</v>
          </cell>
        </row>
        <row r="1283">
          <cell r="A1283">
            <v>70104237</v>
          </cell>
          <cell r="B1283" t="str">
            <v>S급 중형 휴게실</v>
          </cell>
        </row>
        <row r="1284">
          <cell r="A1284">
            <v>70104238</v>
          </cell>
          <cell r="B1284" t="str">
            <v>S급 중형 연회장</v>
          </cell>
        </row>
        <row r="1285">
          <cell r="A1285">
            <v>70104239</v>
          </cell>
          <cell r="B1285" t="str">
            <v>S급 중형 위장창고</v>
          </cell>
        </row>
        <row r="1286">
          <cell r="A1286">
            <v>70104240</v>
          </cell>
          <cell r="B1286" t="str">
            <v>S급 중형 강화창고</v>
          </cell>
        </row>
        <row r="1287">
          <cell r="A1287">
            <v>70104241</v>
          </cell>
          <cell r="B1287" t="str">
            <v>C급 대형 물자창고</v>
          </cell>
        </row>
        <row r="1288">
          <cell r="A1288">
            <v>70104242</v>
          </cell>
          <cell r="B1288" t="str">
            <v>C급 대형 식료품 창고</v>
          </cell>
        </row>
        <row r="1289">
          <cell r="A1289">
            <v>70104243</v>
          </cell>
          <cell r="B1289" t="str">
            <v>C급 대형 조미료 창고</v>
          </cell>
        </row>
        <row r="1290">
          <cell r="A1290">
            <v>70104244</v>
          </cell>
          <cell r="B1290" t="str">
            <v>C급 대형 가축 창고</v>
          </cell>
        </row>
        <row r="1291">
          <cell r="A1291">
            <v>70104245</v>
          </cell>
          <cell r="B1291" t="str">
            <v>C급 대형 의약품 창고</v>
          </cell>
        </row>
        <row r="1292">
          <cell r="A1292">
            <v>70104246</v>
          </cell>
          <cell r="B1292" t="str">
            <v>C급 대형 잡화 창고</v>
          </cell>
        </row>
        <row r="1293">
          <cell r="A1293">
            <v>70104247</v>
          </cell>
          <cell r="B1293" t="str">
            <v>C급 대형 주류 창고</v>
          </cell>
        </row>
        <row r="1294">
          <cell r="A1294">
            <v>70104248</v>
          </cell>
          <cell r="B1294" t="str">
            <v>C급 대형 염료 창고</v>
          </cell>
        </row>
        <row r="1295">
          <cell r="A1295">
            <v>70104249</v>
          </cell>
          <cell r="B1295" t="str">
            <v>C급 대형 광석 창고</v>
          </cell>
        </row>
        <row r="1296">
          <cell r="A1296">
            <v>70104250</v>
          </cell>
          <cell r="B1296" t="str">
            <v>C급 대형 공업품 창고</v>
          </cell>
        </row>
        <row r="1297">
          <cell r="A1297">
            <v>70104251</v>
          </cell>
          <cell r="B1297" t="str">
            <v>C급 대형 기호품 창고</v>
          </cell>
        </row>
        <row r="1298">
          <cell r="A1298">
            <v>70104252</v>
          </cell>
          <cell r="B1298" t="str">
            <v>C급 대형 섬유 창고</v>
          </cell>
        </row>
        <row r="1299">
          <cell r="A1299">
            <v>70104253</v>
          </cell>
          <cell r="B1299" t="str">
            <v>C급 대형 직물 창고</v>
          </cell>
        </row>
        <row r="1300">
          <cell r="A1300">
            <v>70104254</v>
          </cell>
          <cell r="B1300" t="str">
            <v>C급 대형 공예품 창고</v>
          </cell>
        </row>
        <row r="1301">
          <cell r="A1301">
            <v>70104255</v>
          </cell>
          <cell r="B1301" t="str">
            <v>C급 대형 미술품 창고</v>
          </cell>
        </row>
        <row r="1302">
          <cell r="A1302">
            <v>70104256</v>
          </cell>
          <cell r="B1302" t="str">
            <v>C급 대형 향신료 창고</v>
          </cell>
        </row>
        <row r="1303">
          <cell r="A1303">
            <v>70104257</v>
          </cell>
          <cell r="B1303" t="str">
            <v>C급 대형 귀금속 창고</v>
          </cell>
        </row>
        <row r="1304">
          <cell r="A1304">
            <v>70104258</v>
          </cell>
          <cell r="B1304" t="str">
            <v>C급 대형 향료 창고</v>
          </cell>
        </row>
        <row r="1305">
          <cell r="A1305">
            <v>70104259</v>
          </cell>
          <cell r="B1305" t="str">
            <v>C급 대형 보석 창고</v>
          </cell>
        </row>
        <row r="1306">
          <cell r="A1306">
            <v>70104260</v>
          </cell>
          <cell r="B1306" t="str">
            <v>C급 대형 무기류 창고</v>
          </cell>
        </row>
        <row r="1307">
          <cell r="A1307">
            <v>70104261</v>
          </cell>
          <cell r="B1307" t="str">
            <v>C급 대형 총포류 창고</v>
          </cell>
        </row>
        <row r="1308">
          <cell r="A1308">
            <v>70104262</v>
          </cell>
          <cell r="B1308" t="str">
            <v>C급 대형 짐창고</v>
          </cell>
        </row>
        <row r="1309">
          <cell r="A1309">
            <v>70104263</v>
          </cell>
          <cell r="B1309" t="str">
            <v>C급 대형 조수실</v>
          </cell>
        </row>
        <row r="1310">
          <cell r="A1310">
            <v>70104264</v>
          </cell>
          <cell r="B1310" t="str">
            <v>C급 대형 선원실</v>
          </cell>
        </row>
        <row r="1311">
          <cell r="A1311">
            <v>70104265</v>
          </cell>
          <cell r="B1311" t="str">
            <v>C급 대형 탄약창고</v>
          </cell>
        </row>
        <row r="1312">
          <cell r="A1312">
            <v>70104266</v>
          </cell>
          <cell r="B1312" t="str">
            <v>C급 대형 무기창고</v>
          </cell>
        </row>
        <row r="1313">
          <cell r="A1313">
            <v>70104267</v>
          </cell>
          <cell r="B1313" t="str">
            <v>C급 대형 휴게실</v>
          </cell>
        </row>
        <row r="1314">
          <cell r="A1314">
            <v>70104268</v>
          </cell>
          <cell r="B1314" t="str">
            <v>C급 대형 연회장</v>
          </cell>
        </row>
        <row r="1315">
          <cell r="A1315">
            <v>70104269</v>
          </cell>
          <cell r="B1315" t="str">
            <v>C급 대형 위장창고</v>
          </cell>
        </row>
        <row r="1316">
          <cell r="A1316">
            <v>70104270</v>
          </cell>
          <cell r="B1316" t="str">
            <v>C급 대형 강화창고</v>
          </cell>
        </row>
        <row r="1317">
          <cell r="A1317">
            <v>70104271</v>
          </cell>
          <cell r="B1317" t="str">
            <v>B급 대형 물자창고</v>
          </cell>
        </row>
        <row r="1318">
          <cell r="A1318">
            <v>70104272</v>
          </cell>
          <cell r="B1318" t="str">
            <v>B급 대형 식료품 창고</v>
          </cell>
        </row>
        <row r="1319">
          <cell r="A1319">
            <v>70104273</v>
          </cell>
          <cell r="B1319" t="str">
            <v>B급 대형 조미료 창고</v>
          </cell>
        </row>
        <row r="1320">
          <cell r="A1320">
            <v>70104274</v>
          </cell>
          <cell r="B1320" t="str">
            <v>B급 대형 가축 창고</v>
          </cell>
        </row>
        <row r="1321">
          <cell r="A1321">
            <v>70104275</v>
          </cell>
          <cell r="B1321" t="str">
            <v>B급 대형 의약품 창고</v>
          </cell>
        </row>
        <row r="1322">
          <cell r="A1322">
            <v>70104276</v>
          </cell>
          <cell r="B1322" t="str">
            <v>B급 대형 잡화 창고</v>
          </cell>
        </row>
        <row r="1323">
          <cell r="A1323">
            <v>70104277</v>
          </cell>
          <cell r="B1323" t="str">
            <v>B급 대형 주류 창고</v>
          </cell>
        </row>
        <row r="1324">
          <cell r="A1324">
            <v>70104278</v>
          </cell>
          <cell r="B1324" t="str">
            <v>B급 대형 염료 창고</v>
          </cell>
        </row>
        <row r="1325">
          <cell r="A1325">
            <v>70104279</v>
          </cell>
          <cell r="B1325" t="str">
            <v>B급 대형 광석 창고</v>
          </cell>
        </row>
        <row r="1326">
          <cell r="A1326">
            <v>70104280</v>
          </cell>
          <cell r="B1326" t="str">
            <v>B급 대형 공업품 창고</v>
          </cell>
        </row>
        <row r="1327">
          <cell r="A1327">
            <v>70104281</v>
          </cell>
          <cell r="B1327" t="str">
            <v>B급 대형 기호품 창고</v>
          </cell>
        </row>
        <row r="1328">
          <cell r="A1328">
            <v>70104282</v>
          </cell>
          <cell r="B1328" t="str">
            <v>B급 대형 섬유 창고</v>
          </cell>
        </row>
        <row r="1329">
          <cell r="A1329">
            <v>70104283</v>
          </cell>
          <cell r="B1329" t="str">
            <v>B급 대형 직물 창고</v>
          </cell>
        </row>
        <row r="1330">
          <cell r="A1330">
            <v>70104284</v>
          </cell>
          <cell r="B1330" t="str">
            <v>B급 대형 공예품 창고</v>
          </cell>
        </row>
        <row r="1331">
          <cell r="A1331">
            <v>70104285</v>
          </cell>
          <cell r="B1331" t="str">
            <v>B급 대형 미술품 창고</v>
          </cell>
        </row>
        <row r="1332">
          <cell r="A1332">
            <v>70104286</v>
          </cell>
          <cell r="B1332" t="str">
            <v>B급 대형 향신료 창고</v>
          </cell>
        </row>
        <row r="1333">
          <cell r="A1333">
            <v>70104287</v>
          </cell>
          <cell r="B1333" t="str">
            <v>B급 대형 귀금속 창고</v>
          </cell>
        </row>
        <row r="1334">
          <cell r="A1334">
            <v>70104288</v>
          </cell>
          <cell r="B1334" t="str">
            <v>B급 대형 향료 창고</v>
          </cell>
        </row>
        <row r="1335">
          <cell r="A1335">
            <v>70104289</v>
          </cell>
          <cell r="B1335" t="str">
            <v>B급 대형 보석 창고</v>
          </cell>
        </row>
        <row r="1336">
          <cell r="A1336">
            <v>70104290</v>
          </cell>
          <cell r="B1336" t="str">
            <v>B급 대형 무기류 창고</v>
          </cell>
        </row>
        <row r="1337">
          <cell r="A1337">
            <v>70104291</v>
          </cell>
          <cell r="B1337" t="str">
            <v>B급 대형 총포류 창고</v>
          </cell>
        </row>
        <row r="1338">
          <cell r="A1338">
            <v>70104292</v>
          </cell>
          <cell r="B1338" t="str">
            <v>B급 대형 짐창고</v>
          </cell>
        </row>
        <row r="1339">
          <cell r="A1339">
            <v>70104293</v>
          </cell>
          <cell r="B1339" t="str">
            <v>B급 대형 조수실</v>
          </cell>
        </row>
        <row r="1340">
          <cell r="A1340">
            <v>70104294</v>
          </cell>
          <cell r="B1340" t="str">
            <v>B급 대형 선원실</v>
          </cell>
        </row>
        <row r="1341">
          <cell r="A1341">
            <v>70104295</v>
          </cell>
          <cell r="B1341" t="str">
            <v>B급 대형 탄약창고</v>
          </cell>
        </row>
        <row r="1342">
          <cell r="A1342">
            <v>70104296</v>
          </cell>
          <cell r="B1342" t="str">
            <v>B급 대형 무기창고</v>
          </cell>
        </row>
        <row r="1343">
          <cell r="A1343">
            <v>70104297</v>
          </cell>
          <cell r="B1343" t="str">
            <v>B급 대형 휴게실</v>
          </cell>
        </row>
        <row r="1344">
          <cell r="A1344">
            <v>70104298</v>
          </cell>
          <cell r="B1344" t="str">
            <v>B급 대형 연회장</v>
          </cell>
        </row>
        <row r="1345">
          <cell r="A1345">
            <v>70104299</v>
          </cell>
          <cell r="B1345" t="str">
            <v>B급 대형 위장창고</v>
          </cell>
        </row>
        <row r="1346">
          <cell r="A1346">
            <v>70104300</v>
          </cell>
          <cell r="B1346" t="str">
            <v>B급 대형 강화창고</v>
          </cell>
        </row>
        <row r="1347">
          <cell r="A1347">
            <v>70104301</v>
          </cell>
          <cell r="B1347" t="str">
            <v>A급 대형 물자창고</v>
          </cell>
        </row>
        <row r="1348">
          <cell r="A1348">
            <v>70104302</v>
          </cell>
          <cell r="B1348" t="str">
            <v>A급 대형 식료품 창고</v>
          </cell>
        </row>
        <row r="1349">
          <cell r="A1349">
            <v>70104303</v>
          </cell>
          <cell r="B1349" t="str">
            <v>A급 대형 조미료 창고</v>
          </cell>
        </row>
        <row r="1350">
          <cell r="A1350">
            <v>70104304</v>
          </cell>
          <cell r="B1350" t="str">
            <v>A급 대형 가축 창고</v>
          </cell>
        </row>
        <row r="1351">
          <cell r="A1351">
            <v>70104305</v>
          </cell>
          <cell r="B1351" t="str">
            <v>A급 대형 의약품 창고</v>
          </cell>
        </row>
        <row r="1352">
          <cell r="A1352">
            <v>70104306</v>
          </cell>
          <cell r="B1352" t="str">
            <v>A급 대형 잡화 창고</v>
          </cell>
        </row>
        <row r="1353">
          <cell r="A1353">
            <v>70104307</v>
          </cell>
          <cell r="B1353" t="str">
            <v>A급 대형 주류 창고</v>
          </cell>
        </row>
        <row r="1354">
          <cell r="A1354">
            <v>70104308</v>
          </cell>
          <cell r="B1354" t="str">
            <v>A급 대형 염료 창고</v>
          </cell>
        </row>
        <row r="1355">
          <cell r="A1355">
            <v>70104309</v>
          </cell>
          <cell r="B1355" t="str">
            <v>A급 대형 광석 창고</v>
          </cell>
        </row>
        <row r="1356">
          <cell r="A1356">
            <v>70104310</v>
          </cell>
          <cell r="B1356" t="str">
            <v>A급 대형 공업품 창고</v>
          </cell>
        </row>
        <row r="1357">
          <cell r="A1357">
            <v>70104311</v>
          </cell>
          <cell r="B1357" t="str">
            <v>A급 대형 기호품 창고</v>
          </cell>
        </row>
        <row r="1358">
          <cell r="A1358">
            <v>70104312</v>
          </cell>
          <cell r="B1358" t="str">
            <v>A급 대형 섬유 창고</v>
          </cell>
        </row>
        <row r="1359">
          <cell r="A1359">
            <v>70104313</v>
          </cell>
          <cell r="B1359" t="str">
            <v>A급 대형 직물 창고</v>
          </cell>
        </row>
        <row r="1360">
          <cell r="A1360">
            <v>70104314</v>
          </cell>
          <cell r="B1360" t="str">
            <v>A급 대형 공예품 창고</v>
          </cell>
        </row>
        <row r="1361">
          <cell r="A1361">
            <v>70104315</v>
          </cell>
          <cell r="B1361" t="str">
            <v>A급 대형 미술품 창고</v>
          </cell>
        </row>
        <row r="1362">
          <cell r="A1362">
            <v>70104316</v>
          </cell>
          <cell r="B1362" t="str">
            <v>A급 대형 향신료 창고</v>
          </cell>
        </row>
        <row r="1363">
          <cell r="A1363">
            <v>70104317</v>
          </cell>
          <cell r="B1363" t="str">
            <v>A급 대형 귀금속 창고</v>
          </cell>
        </row>
        <row r="1364">
          <cell r="A1364">
            <v>70104318</v>
          </cell>
          <cell r="B1364" t="str">
            <v>A급 대형 향료 창고</v>
          </cell>
        </row>
        <row r="1365">
          <cell r="A1365">
            <v>70104319</v>
          </cell>
          <cell r="B1365" t="str">
            <v>A급 대형 보석 창고</v>
          </cell>
        </row>
        <row r="1366">
          <cell r="A1366">
            <v>70104320</v>
          </cell>
          <cell r="B1366" t="str">
            <v>A급 대형 무기류 창고</v>
          </cell>
        </row>
        <row r="1367">
          <cell r="A1367">
            <v>70104321</v>
          </cell>
          <cell r="B1367" t="str">
            <v>A급 대형 총포류 창고</v>
          </cell>
        </row>
        <row r="1368">
          <cell r="A1368">
            <v>70104322</v>
          </cell>
          <cell r="B1368" t="str">
            <v>A급 대형 짐창고</v>
          </cell>
        </row>
        <row r="1369">
          <cell r="A1369">
            <v>70104323</v>
          </cell>
          <cell r="B1369" t="str">
            <v>A급 대형 조수실</v>
          </cell>
        </row>
        <row r="1370">
          <cell r="A1370">
            <v>70104324</v>
          </cell>
          <cell r="B1370" t="str">
            <v>A급 대형 선원실</v>
          </cell>
        </row>
        <row r="1371">
          <cell r="A1371">
            <v>70104325</v>
          </cell>
          <cell r="B1371" t="str">
            <v>A급 대형 탄약창고</v>
          </cell>
        </row>
        <row r="1372">
          <cell r="A1372">
            <v>70104326</v>
          </cell>
          <cell r="B1372" t="str">
            <v>A급 대형 무기창고</v>
          </cell>
        </row>
        <row r="1373">
          <cell r="A1373">
            <v>70104327</v>
          </cell>
          <cell r="B1373" t="str">
            <v>A급 대형 휴게실</v>
          </cell>
        </row>
        <row r="1374">
          <cell r="A1374">
            <v>70104328</v>
          </cell>
          <cell r="B1374" t="str">
            <v>A급 대형 연회장</v>
          </cell>
        </row>
        <row r="1375">
          <cell r="A1375">
            <v>70104329</v>
          </cell>
          <cell r="B1375" t="str">
            <v>A급 대형 위장창고</v>
          </cell>
        </row>
        <row r="1376">
          <cell r="A1376">
            <v>70104330</v>
          </cell>
          <cell r="B1376" t="str">
            <v>A급 대형 강화창고</v>
          </cell>
        </row>
        <row r="1377">
          <cell r="A1377">
            <v>70104331</v>
          </cell>
          <cell r="B1377" t="str">
            <v>S급 대형 물자창고</v>
          </cell>
        </row>
        <row r="1378">
          <cell r="A1378">
            <v>70104332</v>
          </cell>
          <cell r="B1378" t="str">
            <v>S급 대형 식료품 창고</v>
          </cell>
        </row>
        <row r="1379">
          <cell r="A1379">
            <v>70104333</v>
          </cell>
          <cell r="B1379" t="str">
            <v>S급 대형 조미료 창고</v>
          </cell>
        </row>
        <row r="1380">
          <cell r="A1380">
            <v>70104334</v>
          </cell>
          <cell r="B1380" t="str">
            <v>S급 대형 가축 창고</v>
          </cell>
        </row>
        <row r="1381">
          <cell r="A1381">
            <v>70104335</v>
          </cell>
          <cell r="B1381" t="str">
            <v>S급 대형 의약품 창고</v>
          </cell>
        </row>
        <row r="1382">
          <cell r="A1382">
            <v>70104336</v>
          </cell>
          <cell r="B1382" t="str">
            <v>S급 대형 잡화 창고</v>
          </cell>
        </row>
        <row r="1383">
          <cell r="A1383">
            <v>70104337</v>
          </cell>
          <cell r="B1383" t="str">
            <v>S급 대형 주류 창고</v>
          </cell>
        </row>
        <row r="1384">
          <cell r="A1384">
            <v>70104338</v>
          </cell>
          <cell r="B1384" t="str">
            <v>S급 대형 염료 창고</v>
          </cell>
        </row>
        <row r="1385">
          <cell r="A1385">
            <v>70104339</v>
          </cell>
          <cell r="B1385" t="str">
            <v>S급 대형 광석 창고</v>
          </cell>
        </row>
        <row r="1386">
          <cell r="A1386">
            <v>70104340</v>
          </cell>
          <cell r="B1386" t="str">
            <v>S급 대형 공업품 창고</v>
          </cell>
        </row>
        <row r="1387">
          <cell r="A1387">
            <v>70104341</v>
          </cell>
          <cell r="B1387" t="str">
            <v>S급 대형 기호품 창고</v>
          </cell>
        </row>
        <row r="1388">
          <cell r="A1388">
            <v>70104342</v>
          </cell>
          <cell r="B1388" t="str">
            <v>S급 대형 섬유 창고</v>
          </cell>
        </row>
        <row r="1389">
          <cell r="A1389">
            <v>70104343</v>
          </cell>
          <cell r="B1389" t="str">
            <v>S급 대형 직물 창고</v>
          </cell>
        </row>
        <row r="1390">
          <cell r="A1390">
            <v>70104344</v>
          </cell>
          <cell r="B1390" t="str">
            <v>S급 대형 공예품 창고</v>
          </cell>
        </row>
        <row r="1391">
          <cell r="A1391">
            <v>70104345</v>
          </cell>
          <cell r="B1391" t="str">
            <v>S급 대형 미술품 창고</v>
          </cell>
        </row>
        <row r="1392">
          <cell r="A1392">
            <v>70104346</v>
          </cell>
          <cell r="B1392" t="str">
            <v>S급 대형 향신료 창고</v>
          </cell>
        </row>
        <row r="1393">
          <cell r="A1393">
            <v>70104347</v>
          </cell>
          <cell r="B1393" t="str">
            <v>S급 대형 귀금속 창고</v>
          </cell>
        </row>
        <row r="1394">
          <cell r="A1394">
            <v>70104348</v>
          </cell>
          <cell r="B1394" t="str">
            <v>S급 대형 향료 창고</v>
          </cell>
        </row>
        <row r="1395">
          <cell r="A1395">
            <v>70104349</v>
          </cell>
          <cell r="B1395" t="str">
            <v>S급 대형 보석 창고</v>
          </cell>
        </row>
        <row r="1396">
          <cell r="A1396">
            <v>70104350</v>
          </cell>
          <cell r="B1396" t="str">
            <v>S급 대형 무기류 창고</v>
          </cell>
        </row>
        <row r="1397">
          <cell r="A1397">
            <v>70104351</v>
          </cell>
          <cell r="B1397" t="str">
            <v>S급 대형 총포류 창고</v>
          </cell>
        </row>
        <row r="1398">
          <cell r="A1398">
            <v>70104352</v>
          </cell>
          <cell r="B1398" t="str">
            <v>S급 대형 짐창고</v>
          </cell>
        </row>
        <row r="1399">
          <cell r="A1399">
            <v>70104353</v>
          </cell>
          <cell r="B1399" t="str">
            <v>S급 대형 조수실</v>
          </cell>
        </row>
        <row r="1400">
          <cell r="A1400">
            <v>70104354</v>
          </cell>
          <cell r="B1400" t="str">
            <v>S급 대형 선원실</v>
          </cell>
        </row>
        <row r="1401">
          <cell r="A1401">
            <v>70104355</v>
          </cell>
          <cell r="B1401" t="str">
            <v>S급 대형 탄약창고</v>
          </cell>
        </row>
        <row r="1402">
          <cell r="A1402">
            <v>70104356</v>
          </cell>
          <cell r="B1402" t="str">
            <v>S급 대형 무기창고</v>
          </cell>
        </row>
        <row r="1403">
          <cell r="A1403">
            <v>70104357</v>
          </cell>
          <cell r="B1403" t="str">
            <v>S급 대형 휴게실</v>
          </cell>
        </row>
        <row r="1404">
          <cell r="A1404">
            <v>70104358</v>
          </cell>
          <cell r="B1404" t="str">
            <v>S급 대형 연회장</v>
          </cell>
        </row>
        <row r="1405">
          <cell r="A1405">
            <v>70104359</v>
          </cell>
          <cell r="B1405" t="str">
            <v>S급 대형 위장창고</v>
          </cell>
        </row>
        <row r="1406">
          <cell r="A1406">
            <v>70104360</v>
          </cell>
          <cell r="B1406" t="str">
            <v>S급 대형 강화창고</v>
          </cell>
        </row>
        <row r="1407">
          <cell r="A1407">
            <v>70104361</v>
          </cell>
          <cell r="B1407" t="str">
            <v>C급 초대형 물자창고</v>
          </cell>
        </row>
        <row r="1408">
          <cell r="A1408">
            <v>70104362</v>
          </cell>
          <cell r="B1408" t="str">
            <v>C급 초대형 식료품 창고</v>
          </cell>
        </row>
        <row r="1409">
          <cell r="A1409">
            <v>70104363</v>
          </cell>
          <cell r="B1409" t="str">
            <v>C급 초대형 조미료 창고</v>
          </cell>
        </row>
        <row r="1410">
          <cell r="A1410">
            <v>70104364</v>
          </cell>
          <cell r="B1410" t="str">
            <v>C급 초대형 가축 창고</v>
          </cell>
        </row>
        <row r="1411">
          <cell r="A1411">
            <v>70104365</v>
          </cell>
          <cell r="B1411" t="str">
            <v>C급 초대형 의약품 창고</v>
          </cell>
        </row>
        <row r="1412">
          <cell r="A1412">
            <v>70104366</v>
          </cell>
          <cell r="B1412" t="str">
            <v>C급 초대형 잡화 창고</v>
          </cell>
        </row>
        <row r="1413">
          <cell r="A1413">
            <v>70104367</v>
          </cell>
          <cell r="B1413" t="str">
            <v>C급 초대형 주류 창고</v>
          </cell>
        </row>
        <row r="1414">
          <cell r="A1414">
            <v>70104368</v>
          </cell>
          <cell r="B1414" t="str">
            <v>C급 초대형 염료 창고</v>
          </cell>
        </row>
        <row r="1415">
          <cell r="A1415">
            <v>70104369</v>
          </cell>
          <cell r="B1415" t="str">
            <v>C급 초대형 광석 창고</v>
          </cell>
        </row>
        <row r="1416">
          <cell r="A1416">
            <v>70104370</v>
          </cell>
          <cell r="B1416" t="str">
            <v>C급 초대형 공업품 창고</v>
          </cell>
        </row>
        <row r="1417">
          <cell r="A1417">
            <v>70104371</v>
          </cell>
          <cell r="B1417" t="str">
            <v>C급 초대형 기호품 창고</v>
          </cell>
        </row>
        <row r="1418">
          <cell r="A1418">
            <v>70104372</v>
          </cell>
          <cell r="B1418" t="str">
            <v>C급 초대형 섬유 창고</v>
          </cell>
        </row>
        <row r="1419">
          <cell r="A1419">
            <v>70104373</v>
          </cell>
          <cell r="B1419" t="str">
            <v>C급 초대형 직물 창고</v>
          </cell>
        </row>
        <row r="1420">
          <cell r="A1420">
            <v>70104374</v>
          </cell>
          <cell r="B1420" t="str">
            <v>C급 초대형 공예품 창고</v>
          </cell>
        </row>
        <row r="1421">
          <cell r="A1421">
            <v>70104375</v>
          </cell>
          <cell r="B1421" t="str">
            <v>C급 초대형 미술품 창고</v>
          </cell>
        </row>
        <row r="1422">
          <cell r="A1422">
            <v>70104376</v>
          </cell>
          <cell r="B1422" t="str">
            <v>C급 초대형 향신료 창고</v>
          </cell>
        </row>
        <row r="1423">
          <cell r="A1423">
            <v>70104377</v>
          </cell>
          <cell r="B1423" t="str">
            <v>C급 초대형 귀금속 창고</v>
          </cell>
        </row>
        <row r="1424">
          <cell r="A1424">
            <v>70104378</v>
          </cell>
          <cell r="B1424" t="str">
            <v>C급 초대형 향료 창고</v>
          </cell>
        </row>
        <row r="1425">
          <cell r="A1425">
            <v>70104379</v>
          </cell>
          <cell r="B1425" t="str">
            <v>C급 초대형 보석 창고</v>
          </cell>
        </row>
        <row r="1426">
          <cell r="A1426">
            <v>70104380</v>
          </cell>
          <cell r="B1426" t="str">
            <v>C급 초대형 무기류 창고</v>
          </cell>
        </row>
        <row r="1427">
          <cell r="A1427">
            <v>70104381</v>
          </cell>
          <cell r="B1427" t="str">
            <v>C급 초대형 총포류 창고</v>
          </cell>
        </row>
        <row r="1428">
          <cell r="A1428">
            <v>70104382</v>
          </cell>
          <cell r="B1428" t="str">
            <v>C급 초대형 짐창고</v>
          </cell>
        </row>
        <row r="1429">
          <cell r="A1429">
            <v>70104383</v>
          </cell>
          <cell r="B1429" t="str">
            <v>C급 초대형 조수실</v>
          </cell>
        </row>
        <row r="1430">
          <cell r="A1430">
            <v>70104384</v>
          </cell>
          <cell r="B1430" t="str">
            <v>C급 초대형 선원실</v>
          </cell>
        </row>
        <row r="1431">
          <cell r="A1431">
            <v>70104385</v>
          </cell>
          <cell r="B1431" t="str">
            <v>C급 초대형 탄약창고</v>
          </cell>
        </row>
        <row r="1432">
          <cell r="A1432">
            <v>70104386</v>
          </cell>
          <cell r="B1432" t="str">
            <v>C급 초대형 무기창고</v>
          </cell>
        </row>
        <row r="1433">
          <cell r="A1433">
            <v>70104387</v>
          </cell>
          <cell r="B1433" t="str">
            <v>C급 초대형 휴게실</v>
          </cell>
        </row>
        <row r="1434">
          <cell r="A1434">
            <v>70104388</v>
          </cell>
          <cell r="B1434" t="str">
            <v>C급 초대형 연회장</v>
          </cell>
        </row>
        <row r="1435">
          <cell r="A1435">
            <v>70104389</v>
          </cell>
          <cell r="B1435" t="str">
            <v>C급 초대형 위장창고</v>
          </cell>
        </row>
        <row r="1436">
          <cell r="A1436">
            <v>70104390</v>
          </cell>
          <cell r="B1436" t="str">
            <v>C급 초대형 강화창고</v>
          </cell>
        </row>
        <row r="1437">
          <cell r="A1437">
            <v>70104391</v>
          </cell>
          <cell r="B1437" t="str">
            <v>B급 초대형 물자창고</v>
          </cell>
        </row>
        <row r="1438">
          <cell r="A1438">
            <v>70104392</v>
          </cell>
          <cell r="B1438" t="str">
            <v>B급 초대형 식료품 창고</v>
          </cell>
        </row>
        <row r="1439">
          <cell r="A1439">
            <v>70104393</v>
          </cell>
          <cell r="B1439" t="str">
            <v>B급 초대형 조미료 창고</v>
          </cell>
        </row>
        <row r="1440">
          <cell r="A1440">
            <v>70104394</v>
          </cell>
          <cell r="B1440" t="str">
            <v>B급 초대형 가축 창고</v>
          </cell>
        </row>
        <row r="1441">
          <cell r="A1441">
            <v>70104395</v>
          </cell>
          <cell r="B1441" t="str">
            <v>B급 초대형 의약품 창고</v>
          </cell>
        </row>
        <row r="1442">
          <cell r="A1442">
            <v>70104396</v>
          </cell>
          <cell r="B1442" t="str">
            <v>B급 초대형 잡화 창고</v>
          </cell>
        </row>
        <row r="1443">
          <cell r="A1443">
            <v>70104397</v>
          </cell>
          <cell r="B1443" t="str">
            <v>B급 초대형 주류 창고</v>
          </cell>
        </row>
        <row r="1444">
          <cell r="A1444">
            <v>70104398</v>
          </cell>
          <cell r="B1444" t="str">
            <v>B급 초대형 염료 창고</v>
          </cell>
        </row>
        <row r="1445">
          <cell r="A1445">
            <v>70104399</v>
          </cell>
          <cell r="B1445" t="str">
            <v>B급 초대형 광석 창고</v>
          </cell>
        </row>
        <row r="1446">
          <cell r="A1446">
            <v>70104400</v>
          </cell>
          <cell r="B1446" t="str">
            <v>B급 초대형 공업품 창고</v>
          </cell>
        </row>
        <row r="1447">
          <cell r="A1447">
            <v>70104401</v>
          </cell>
          <cell r="B1447" t="str">
            <v>B급 초대형 기호품 창고</v>
          </cell>
        </row>
        <row r="1448">
          <cell r="A1448">
            <v>70104402</v>
          </cell>
          <cell r="B1448" t="str">
            <v>B급 초대형 섬유 창고</v>
          </cell>
        </row>
        <row r="1449">
          <cell r="A1449">
            <v>70104403</v>
          </cell>
          <cell r="B1449" t="str">
            <v>B급 초대형 직물 창고</v>
          </cell>
        </row>
        <row r="1450">
          <cell r="A1450">
            <v>70104404</v>
          </cell>
          <cell r="B1450" t="str">
            <v>B급 초대형 공예품 창고</v>
          </cell>
        </row>
        <row r="1451">
          <cell r="A1451">
            <v>70104405</v>
          </cell>
          <cell r="B1451" t="str">
            <v>B급 초대형 미술품 창고</v>
          </cell>
        </row>
        <row r="1452">
          <cell r="A1452">
            <v>70104406</v>
          </cell>
          <cell r="B1452" t="str">
            <v>B급 초대형 향신료 창고</v>
          </cell>
        </row>
        <row r="1453">
          <cell r="A1453">
            <v>70104407</v>
          </cell>
          <cell r="B1453" t="str">
            <v>B급 초대형 귀금속 창고</v>
          </cell>
        </row>
        <row r="1454">
          <cell r="A1454">
            <v>70104408</v>
          </cell>
          <cell r="B1454" t="str">
            <v>B급 초대형 향료 창고</v>
          </cell>
        </row>
        <row r="1455">
          <cell r="A1455">
            <v>70104409</v>
          </cell>
          <cell r="B1455" t="str">
            <v>B급 초대형 보석 창고</v>
          </cell>
        </row>
        <row r="1456">
          <cell r="A1456">
            <v>70104410</v>
          </cell>
          <cell r="B1456" t="str">
            <v>B급 초대형 무기류 창고</v>
          </cell>
        </row>
        <row r="1457">
          <cell r="A1457">
            <v>70104411</v>
          </cell>
          <cell r="B1457" t="str">
            <v>B급 초대형 총포류 창고</v>
          </cell>
        </row>
        <row r="1458">
          <cell r="A1458">
            <v>70104412</v>
          </cell>
          <cell r="B1458" t="str">
            <v>B급 초대형 짐창고</v>
          </cell>
        </row>
        <row r="1459">
          <cell r="A1459">
            <v>70104413</v>
          </cell>
          <cell r="B1459" t="str">
            <v>B급 초대형 조수실</v>
          </cell>
        </row>
        <row r="1460">
          <cell r="A1460">
            <v>70104414</v>
          </cell>
          <cell r="B1460" t="str">
            <v>B급 초대형 선원실</v>
          </cell>
        </row>
        <row r="1461">
          <cell r="A1461">
            <v>70104415</v>
          </cell>
          <cell r="B1461" t="str">
            <v>B급 초대형 탄약창고</v>
          </cell>
        </row>
        <row r="1462">
          <cell r="A1462">
            <v>70104416</v>
          </cell>
          <cell r="B1462" t="str">
            <v>B급 초대형 무기창고</v>
          </cell>
        </row>
        <row r="1463">
          <cell r="A1463">
            <v>70104417</v>
          </cell>
          <cell r="B1463" t="str">
            <v>B급 초대형 휴게실</v>
          </cell>
        </row>
        <row r="1464">
          <cell r="A1464">
            <v>70104418</v>
          </cell>
          <cell r="B1464" t="str">
            <v>B급 초대형 연회장</v>
          </cell>
        </row>
        <row r="1465">
          <cell r="A1465">
            <v>70104419</v>
          </cell>
          <cell r="B1465" t="str">
            <v>B급 초대형 위장창고</v>
          </cell>
        </row>
        <row r="1466">
          <cell r="A1466">
            <v>70104420</v>
          </cell>
          <cell r="B1466" t="str">
            <v>B급 초대형 강화창고</v>
          </cell>
        </row>
        <row r="1467">
          <cell r="A1467">
            <v>70104421</v>
          </cell>
          <cell r="B1467" t="str">
            <v>A급 초대형 물자창고</v>
          </cell>
        </row>
        <row r="1468">
          <cell r="A1468">
            <v>70104422</v>
          </cell>
          <cell r="B1468" t="str">
            <v>A급 초대형 식료품 창고</v>
          </cell>
        </row>
        <row r="1469">
          <cell r="A1469">
            <v>70104423</v>
          </cell>
          <cell r="B1469" t="str">
            <v>A급 초대형 조미료 창고</v>
          </cell>
        </row>
        <row r="1470">
          <cell r="A1470">
            <v>70104424</v>
          </cell>
          <cell r="B1470" t="str">
            <v>A급 초대형 가축 창고</v>
          </cell>
        </row>
        <row r="1471">
          <cell r="A1471">
            <v>70104425</v>
          </cell>
          <cell r="B1471" t="str">
            <v>A급 초대형 의약품 창고</v>
          </cell>
        </row>
        <row r="1472">
          <cell r="A1472">
            <v>70104426</v>
          </cell>
          <cell r="B1472" t="str">
            <v>A급 초대형 잡화 창고</v>
          </cell>
        </row>
        <row r="1473">
          <cell r="A1473">
            <v>70104427</v>
          </cell>
          <cell r="B1473" t="str">
            <v>A급 초대형 주류 창고</v>
          </cell>
        </row>
        <row r="1474">
          <cell r="A1474">
            <v>70104428</v>
          </cell>
          <cell r="B1474" t="str">
            <v>A급 초대형 염료 창고</v>
          </cell>
        </row>
        <row r="1475">
          <cell r="A1475">
            <v>70104429</v>
          </cell>
          <cell r="B1475" t="str">
            <v>A급 초대형 광석 창고</v>
          </cell>
        </row>
        <row r="1476">
          <cell r="A1476">
            <v>70104430</v>
          </cell>
          <cell r="B1476" t="str">
            <v>A급 초대형 공업품 창고</v>
          </cell>
        </row>
        <row r="1477">
          <cell r="A1477">
            <v>70104431</v>
          </cell>
          <cell r="B1477" t="str">
            <v>A급 초대형 기호품 창고</v>
          </cell>
        </row>
        <row r="1478">
          <cell r="A1478">
            <v>70104432</v>
          </cell>
          <cell r="B1478" t="str">
            <v>A급 초대형 섬유 창고</v>
          </cell>
        </row>
        <row r="1479">
          <cell r="A1479">
            <v>70104433</v>
          </cell>
          <cell r="B1479" t="str">
            <v>A급 초대형 직물 창고</v>
          </cell>
        </row>
        <row r="1480">
          <cell r="A1480">
            <v>70104434</v>
          </cell>
          <cell r="B1480" t="str">
            <v>A급 초대형 공예품 창고</v>
          </cell>
        </row>
        <row r="1481">
          <cell r="A1481">
            <v>70104435</v>
          </cell>
          <cell r="B1481" t="str">
            <v>A급 초대형 미술품 창고</v>
          </cell>
        </row>
        <row r="1482">
          <cell r="A1482">
            <v>70104436</v>
          </cell>
          <cell r="B1482" t="str">
            <v>A급 초대형 향신료 창고</v>
          </cell>
        </row>
        <row r="1483">
          <cell r="A1483">
            <v>70104437</v>
          </cell>
          <cell r="B1483" t="str">
            <v>A급 초대형 귀금속 창고</v>
          </cell>
        </row>
        <row r="1484">
          <cell r="A1484">
            <v>70104438</v>
          </cell>
          <cell r="B1484" t="str">
            <v>A급 초대형 향료 창고</v>
          </cell>
        </row>
        <row r="1485">
          <cell r="A1485">
            <v>70104439</v>
          </cell>
          <cell r="B1485" t="str">
            <v>A급 초대형 보석 창고</v>
          </cell>
        </row>
        <row r="1486">
          <cell r="A1486">
            <v>70104440</v>
          </cell>
          <cell r="B1486" t="str">
            <v>A급 초대형 무기류 창고</v>
          </cell>
        </row>
        <row r="1487">
          <cell r="A1487">
            <v>70104441</v>
          </cell>
          <cell r="B1487" t="str">
            <v>A급 초대형 총포류 창고</v>
          </cell>
        </row>
        <row r="1488">
          <cell r="A1488">
            <v>70104442</v>
          </cell>
          <cell r="B1488" t="str">
            <v>A급 초대형 짐창고</v>
          </cell>
        </row>
        <row r="1489">
          <cell r="A1489">
            <v>70104443</v>
          </cell>
          <cell r="B1489" t="str">
            <v>A급 초대형 조수실</v>
          </cell>
        </row>
        <row r="1490">
          <cell r="A1490">
            <v>70104444</v>
          </cell>
          <cell r="B1490" t="str">
            <v>A급 초대형 선원실</v>
          </cell>
        </row>
        <row r="1491">
          <cell r="A1491">
            <v>70104445</v>
          </cell>
          <cell r="B1491" t="str">
            <v>A급 초대형 탄약창고</v>
          </cell>
        </row>
        <row r="1492">
          <cell r="A1492">
            <v>70104446</v>
          </cell>
          <cell r="B1492" t="str">
            <v>A급 초대형 무기창고</v>
          </cell>
        </row>
        <row r="1493">
          <cell r="A1493">
            <v>70104447</v>
          </cell>
          <cell r="B1493" t="str">
            <v>A급 초대형 휴게실</v>
          </cell>
        </row>
        <row r="1494">
          <cell r="A1494">
            <v>70104448</v>
          </cell>
          <cell r="B1494" t="str">
            <v>A급 초대형 연회장</v>
          </cell>
        </row>
        <row r="1495">
          <cell r="A1495">
            <v>70104449</v>
          </cell>
          <cell r="B1495" t="str">
            <v>A급 초대형 위장창고</v>
          </cell>
        </row>
        <row r="1496">
          <cell r="A1496">
            <v>70104450</v>
          </cell>
          <cell r="B1496" t="str">
            <v>A급 초대형 강화창고</v>
          </cell>
        </row>
        <row r="1497">
          <cell r="A1497">
            <v>70104451</v>
          </cell>
          <cell r="B1497" t="str">
            <v>S급 초대형 물자창고</v>
          </cell>
        </row>
        <row r="1498">
          <cell r="A1498">
            <v>70104452</v>
          </cell>
          <cell r="B1498" t="str">
            <v>S급 초대형 식료품 창고</v>
          </cell>
        </row>
        <row r="1499">
          <cell r="A1499">
            <v>70104453</v>
          </cell>
          <cell r="B1499" t="str">
            <v>S급 초대형 조미료 창고</v>
          </cell>
        </row>
        <row r="1500">
          <cell r="A1500">
            <v>70104454</v>
          </cell>
          <cell r="B1500" t="str">
            <v>S급 초대형 가축 창고</v>
          </cell>
        </row>
        <row r="1501">
          <cell r="A1501">
            <v>70104455</v>
          </cell>
          <cell r="B1501" t="str">
            <v>S급 초대형 의약품 창고</v>
          </cell>
        </row>
        <row r="1502">
          <cell r="A1502">
            <v>70104456</v>
          </cell>
          <cell r="B1502" t="str">
            <v>S급 초대형 잡화 창고</v>
          </cell>
        </row>
        <row r="1503">
          <cell r="A1503">
            <v>70104457</v>
          </cell>
          <cell r="B1503" t="str">
            <v>S급 초대형 주류 창고</v>
          </cell>
        </row>
        <row r="1504">
          <cell r="A1504">
            <v>70104458</v>
          </cell>
          <cell r="B1504" t="str">
            <v>S급 초대형 염료 창고</v>
          </cell>
        </row>
        <row r="1505">
          <cell r="A1505">
            <v>70104459</v>
          </cell>
          <cell r="B1505" t="str">
            <v>S급 초대형 광석 창고</v>
          </cell>
        </row>
        <row r="1506">
          <cell r="A1506">
            <v>70104460</v>
          </cell>
          <cell r="B1506" t="str">
            <v>S급 초대형 공업품 창고</v>
          </cell>
        </row>
        <row r="1507">
          <cell r="A1507">
            <v>70104461</v>
          </cell>
          <cell r="B1507" t="str">
            <v>S급 초대형 기호품 창고</v>
          </cell>
        </row>
        <row r="1508">
          <cell r="A1508">
            <v>70104462</v>
          </cell>
          <cell r="B1508" t="str">
            <v>S급 초대형 섬유 창고</v>
          </cell>
        </row>
        <row r="1509">
          <cell r="A1509">
            <v>70104463</v>
          </cell>
          <cell r="B1509" t="str">
            <v>S급 초대형 직물 창고</v>
          </cell>
        </row>
        <row r="1510">
          <cell r="A1510">
            <v>70104464</v>
          </cell>
          <cell r="B1510" t="str">
            <v>S급 초대형 공예품 창고</v>
          </cell>
        </row>
        <row r="1511">
          <cell r="A1511">
            <v>70104465</v>
          </cell>
          <cell r="B1511" t="str">
            <v>S급 초대형 미술품 창고</v>
          </cell>
        </row>
        <row r="1512">
          <cell r="A1512">
            <v>70104466</v>
          </cell>
          <cell r="B1512" t="str">
            <v>S급 초대형 향신료 창고</v>
          </cell>
        </row>
        <row r="1513">
          <cell r="A1513">
            <v>70104467</v>
          </cell>
          <cell r="B1513" t="str">
            <v>S급 초대형 귀금속 창고</v>
          </cell>
        </row>
        <row r="1514">
          <cell r="A1514">
            <v>70104468</v>
          </cell>
          <cell r="B1514" t="str">
            <v>S급 초대형 향료 창고</v>
          </cell>
        </row>
        <row r="1515">
          <cell r="A1515">
            <v>70104469</v>
          </cell>
          <cell r="B1515" t="str">
            <v>S급 초대형 보석 창고</v>
          </cell>
        </row>
        <row r="1516">
          <cell r="A1516">
            <v>70104470</v>
          </cell>
          <cell r="B1516" t="str">
            <v>S급 초대형 무기류 창고</v>
          </cell>
        </row>
        <row r="1517">
          <cell r="A1517">
            <v>70104471</v>
          </cell>
          <cell r="B1517" t="str">
            <v>S급 초대형 총포류 창고</v>
          </cell>
        </row>
        <row r="1518">
          <cell r="A1518">
            <v>70104472</v>
          </cell>
          <cell r="B1518" t="str">
            <v>S급 초대형 짐창고</v>
          </cell>
        </row>
        <row r="1519">
          <cell r="A1519">
            <v>70104473</v>
          </cell>
          <cell r="B1519" t="str">
            <v>S급 초대형 조수실</v>
          </cell>
        </row>
        <row r="1520">
          <cell r="A1520">
            <v>70104474</v>
          </cell>
          <cell r="B1520" t="str">
            <v>S급 초대형 선원실</v>
          </cell>
        </row>
        <row r="1521">
          <cell r="A1521">
            <v>70104475</v>
          </cell>
          <cell r="B1521" t="str">
            <v>S급 초대형 탄약창고</v>
          </cell>
        </row>
        <row r="1522">
          <cell r="A1522">
            <v>70104476</v>
          </cell>
          <cell r="B1522" t="str">
            <v>S급 초대형 무기창고</v>
          </cell>
        </row>
        <row r="1523">
          <cell r="A1523">
            <v>70104477</v>
          </cell>
          <cell r="B1523" t="str">
            <v>S급 초대형 휴게실</v>
          </cell>
        </row>
        <row r="1524">
          <cell r="A1524">
            <v>70104478</v>
          </cell>
          <cell r="B1524" t="str">
            <v>S급 초대형 연회장</v>
          </cell>
        </row>
        <row r="1525">
          <cell r="A1525">
            <v>70104479</v>
          </cell>
          <cell r="B1525" t="str">
            <v>S급 초대형 위장창고</v>
          </cell>
        </row>
        <row r="1526">
          <cell r="A1526">
            <v>70104480</v>
          </cell>
          <cell r="B1526" t="str">
            <v>S급 초대형 강화창고</v>
          </cell>
        </row>
        <row r="1527">
          <cell r="A1527">
            <v>70110000</v>
          </cell>
          <cell r="B1527" t="str">
            <v>C급 물자창고 1T</v>
          </cell>
        </row>
        <row r="1528">
          <cell r="A1528">
            <v>70110001</v>
          </cell>
          <cell r="B1528" t="str">
            <v>C급 식료품 창고 1T</v>
          </cell>
        </row>
        <row r="1529">
          <cell r="A1529">
            <v>70110002</v>
          </cell>
          <cell r="B1529" t="str">
            <v>C급 조미료 창고 1T</v>
          </cell>
        </row>
        <row r="1530">
          <cell r="A1530">
            <v>70110003</v>
          </cell>
          <cell r="B1530" t="str">
            <v>C급 가축 창고 1T</v>
          </cell>
        </row>
        <row r="1531">
          <cell r="A1531">
            <v>70110004</v>
          </cell>
          <cell r="B1531" t="str">
            <v>C급 의약품 창고 1T</v>
          </cell>
        </row>
        <row r="1532">
          <cell r="A1532">
            <v>70110005</v>
          </cell>
          <cell r="B1532" t="str">
            <v>C급 잡화 창고 1T</v>
          </cell>
        </row>
        <row r="1533">
          <cell r="A1533">
            <v>70110006</v>
          </cell>
          <cell r="B1533" t="str">
            <v>C급 주류 창고 1T</v>
          </cell>
        </row>
        <row r="1534">
          <cell r="A1534">
            <v>70110007</v>
          </cell>
          <cell r="B1534" t="str">
            <v>C급 염료 창고 1T</v>
          </cell>
        </row>
        <row r="1535">
          <cell r="A1535">
            <v>70110008</v>
          </cell>
          <cell r="B1535" t="str">
            <v>C급 광석 창고 1T</v>
          </cell>
        </row>
        <row r="1536">
          <cell r="A1536">
            <v>70110009</v>
          </cell>
          <cell r="B1536" t="str">
            <v>C급 공업품 창고 1T</v>
          </cell>
        </row>
        <row r="1537">
          <cell r="A1537">
            <v>70110010</v>
          </cell>
          <cell r="B1537" t="str">
            <v>C급 기호품 창고 1T</v>
          </cell>
        </row>
        <row r="1538">
          <cell r="A1538">
            <v>70110011</v>
          </cell>
          <cell r="B1538" t="str">
            <v>C급 섬유 창고 1T</v>
          </cell>
        </row>
        <row r="1539">
          <cell r="A1539">
            <v>70110012</v>
          </cell>
          <cell r="B1539" t="str">
            <v>C급 직물 창고 1T</v>
          </cell>
        </row>
        <row r="1540">
          <cell r="A1540">
            <v>70110013</v>
          </cell>
          <cell r="B1540" t="str">
            <v>C급 공예품 창고 1T</v>
          </cell>
        </row>
        <row r="1541">
          <cell r="A1541">
            <v>70110014</v>
          </cell>
          <cell r="B1541" t="str">
            <v>C급 미술품 창고 1T</v>
          </cell>
        </row>
        <row r="1542">
          <cell r="A1542">
            <v>70110015</v>
          </cell>
          <cell r="B1542" t="str">
            <v>C급 향신료 창고 1T</v>
          </cell>
        </row>
        <row r="1543">
          <cell r="A1543">
            <v>70110016</v>
          </cell>
          <cell r="B1543" t="str">
            <v>C급 귀금속 창고 1T</v>
          </cell>
        </row>
        <row r="1544">
          <cell r="A1544">
            <v>70110017</v>
          </cell>
          <cell r="B1544" t="str">
            <v>C급 향료 창고 1T</v>
          </cell>
        </row>
        <row r="1545">
          <cell r="A1545">
            <v>70110018</v>
          </cell>
          <cell r="B1545" t="str">
            <v>C급 보석 창고 1T</v>
          </cell>
        </row>
        <row r="1546">
          <cell r="A1546">
            <v>70110019</v>
          </cell>
          <cell r="B1546" t="str">
            <v>C급 무기류 창고 1T</v>
          </cell>
        </row>
        <row r="1547">
          <cell r="A1547">
            <v>70110020</v>
          </cell>
          <cell r="B1547" t="str">
            <v>C급 총포류 창고 1T</v>
          </cell>
        </row>
        <row r="1548">
          <cell r="A1548">
            <v>70110021</v>
          </cell>
          <cell r="B1548" t="str">
            <v>C급 짐창고 1T</v>
          </cell>
        </row>
        <row r="1549">
          <cell r="A1549">
            <v>70110022</v>
          </cell>
          <cell r="B1549" t="str">
            <v>C급 조수실 1T</v>
          </cell>
        </row>
        <row r="1550">
          <cell r="A1550">
            <v>70110023</v>
          </cell>
          <cell r="B1550" t="str">
            <v>C급 선원실 1T</v>
          </cell>
        </row>
        <row r="1551">
          <cell r="A1551">
            <v>70110024</v>
          </cell>
          <cell r="B1551" t="str">
            <v>C급 탄약창고 1T</v>
          </cell>
        </row>
        <row r="1552">
          <cell r="A1552">
            <v>70110025</v>
          </cell>
          <cell r="B1552" t="str">
            <v>C급 무기창고 1T</v>
          </cell>
        </row>
        <row r="1553">
          <cell r="A1553">
            <v>70110026</v>
          </cell>
          <cell r="B1553" t="str">
            <v>C급 휴게실 1T</v>
          </cell>
        </row>
        <row r="1554">
          <cell r="A1554">
            <v>70110027</v>
          </cell>
          <cell r="B1554" t="str">
            <v>C급 연회장 1T</v>
          </cell>
        </row>
        <row r="1555">
          <cell r="A1555">
            <v>70110028</v>
          </cell>
          <cell r="B1555" t="str">
            <v>C급 위장창고 1T</v>
          </cell>
        </row>
        <row r="1556">
          <cell r="A1556">
            <v>70110029</v>
          </cell>
          <cell r="B1556" t="str">
            <v>C급 강화창고 1T</v>
          </cell>
        </row>
        <row r="1557">
          <cell r="A1557">
            <v>70110100</v>
          </cell>
          <cell r="B1557" t="str">
            <v>B급 물자창고 1T</v>
          </cell>
        </row>
        <row r="1558">
          <cell r="A1558">
            <v>70110101</v>
          </cell>
          <cell r="B1558" t="str">
            <v>B급 식료품 창고 1T</v>
          </cell>
        </row>
        <row r="1559">
          <cell r="A1559">
            <v>70110102</v>
          </cell>
          <cell r="B1559" t="str">
            <v>B급 조미료 창고 1T</v>
          </cell>
        </row>
        <row r="1560">
          <cell r="A1560">
            <v>70110103</v>
          </cell>
          <cell r="B1560" t="str">
            <v>B급 가축 창고 1T</v>
          </cell>
        </row>
        <row r="1561">
          <cell r="A1561">
            <v>70110104</v>
          </cell>
          <cell r="B1561" t="str">
            <v>B급 의약품 창고 1T</v>
          </cell>
        </row>
        <row r="1562">
          <cell r="A1562">
            <v>70110105</v>
          </cell>
          <cell r="B1562" t="str">
            <v>B급 잡화 창고 1T</v>
          </cell>
        </row>
        <row r="1563">
          <cell r="A1563">
            <v>70110106</v>
          </cell>
          <cell r="B1563" t="str">
            <v>B급 주류 창고 1T</v>
          </cell>
        </row>
        <row r="1564">
          <cell r="A1564">
            <v>70110107</v>
          </cell>
          <cell r="B1564" t="str">
            <v>B급 염료 창고 1T</v>
          </cell>
        </row>
        <row r="1565">
          <cell r="A1565">
            <v>70110108</v>
          </cell>
          <cell r="B1565" t="str">
            <v>B급 광석 창고 1T</v>
          </cell>
        </row>
        <row r="1566">
          <cell r="A1566">
            <v>70110109</v>
          </cell>
          <cell r="B1566" t="str">
            <v>B급 공업품 창고 1T</v>
          </cell>
        </row>
        <row r="1567">
          <cell r="A1567">
            <v>70110110</v>
          </cell>
          <cell r="B1567" t="str">
            <v>B급 기호품 창고 1T</v>
          </cell>
        </row>
        <row r="1568">
          <cell r="A1568">
            <v>70110111</v>
          </cell>
          <cell r="B1568" t="str">
            <v>B급 섬유 창고 1T</v>
          </cell>
        </row>
        <row r="1569">
          <cell r="A1569">
            <v>70110112</v>
          </cell>
          <cell r="B1569" t="str">
            <v>B급 직물 창고 1T</v>
          </cell>
        </row>
        <row r="1570">
          <cell r="A1570">
            <v>70110113</v>
          </cell>
          <cell r="B1570" t="str">
            <v>B급 공예품 창고 1T</v>
          </cell>
        </row>
        <row r="1571">
          <cell r="A1571">
            <v>70110114</v>
          </cell>
          <cell r="B1571" t="str">
            <v>B급 미술품 창고 1T</v>
          </cell>
        </row>
        <row r="1572">
          <cell r="A1572">
            <v>70110115</v>
          </cell>
          <cell r="B1572" t="str">
            <v>B급 향신료 창고 1T</v>
          </cell>
        </row>
        <row r="1573">
          <cell r="A1573">
            <v>70110116</v>
          </cell>
          <cell r="B1573" t="str">
            <v>B급 귀금속 창고 1T</v>
          </cell>
        </row>
        <row r="1574">
          <cell r="A1574">
            <v>70110117</v>
          </cell>
          <cell r="B1574" t="str">
            <v>B급 향료 창고 1T</v>
          </cell>
        </row>
        <row r="1575">
          <cell r="A1575">
            <v>70110118</v>
          </cell>
          <cell r="B1575" t="str">
            <v>B급 보석 창고 1T</v>
          </cell>
        </row>
        <row r="1576">
          <cell r="A1576">
            <v>70110119</v>
          </cell>
          <cell r="B1576" t="str">
            <v>B급 무기류 창고 1T</v>
          </cell>
        </row>
        <row r="1577">
          <cell r="A1577">
            <v>70110120</v>
          </cell>
          <cell r="B1577" t="str">
            <v>B급 총포류 창고 1T</v>
          </cell>
        </row>
        <row r="1578">
          <cell r="A1578">
            <v>70110121</v>
          </cell>
          <cell r="B1578" t="str">
            <v>B급 짐창고 1T</v>
          </cell>
        </row>
        <row r="1579">
          <cell r="A1579">
            <v>70110122</v>
          </cell>
          <cell r="B1579" t="str">
            <v>B급 조수실 1T</v>
          </cell>
        </row>
        <row r="1580">
          <cell r="A1580">
            <v>70110123</v>
          </cell>
          <cell r="B1580" t="str">
            <v>B급 선원실 1T</v>
          </cell>
        </row>
        <row r="1581">
          <cell r="A1581">
            <v>70110124</v>
          </cell>
          <cell r="B1581" t="str">
            <v>B급 탄약창고 1T</v>
          </cell>
        </row>
        <row r="1582">
          <cell r="A1582">
            <v>70110125</v>
          </cell>
          <cell r="B1582" t="str">
            <v>B급 무기창고 1T</v>
          </cell>
        </row>
        <row r="1583">
          <cell r="A1583">
            <v>70110126</v>
          </cell>
          <cell r="B1583" t="str">
            <v>B급 휴게실 1T</v>
          </cell>
        </row>
        <row r="1584">
          <cell r="A1584">
            <v>70110127</v>
          </cell>
          <cell r="B1584" t="str">
            <v>B급 연회장 1T</v>
          </cell>
        </row>
        <row r="1585">
          <cell r="A1585">
            <v>70110128</v>
          </cell>
          <cell r="B1585" t="str">
            <v>B급 위장창고 1T</v>
          </cell>
        </row>
        <row r="1586">
          <cell r="A1586">
            <v>70110129</v>
          </cell>
          <cell r="B1586" t="str">
            <v>B급 강화창고 1T</v>
          </cell>
        </row>
        <row r="1587">
          <cell r="A1587">
            <v>70110200</v>
          </cell>
          <cell r="B1587" t="str">
            <v>A급 물자창고 1T</v>
          </cell>
        </row>
        <row r="1588">
          <cell r="A1588">
            <v>70110201</v>
          </cell>
          <cell r="B1588" t="str">
            <v>A급 식료품 창고 1T</v>
          </cell>
        </row>
        <row r="1589">
          <cell r="A1589">
            <v>70110202</v>
          </cell>
          <cell r="B1589" t="str">
            <v>A급 조미료 창고 1T</v>
          </cell>
        </row>
        <row r="1590">
          <cell r="A1590">
            <v>70110203</v>
          </cell>
          <cell r="B1590" t="str">
            <v>A급 가축 창고 1T</v>
          </cell>
        </row>
        <row r="1591">
          <cell r="A1591">
            <v>70110204</v>
          </cell>
          <cell r="B1591" t="str">
            <v>A급 의약품 창고 1T</v>
          </cell>
        </row>
        <row r="1592">
          <cell r="A1592">
            <v>70110205</v>
          </cell>
          <cell r="B1592" t="str">
            <v>A급 잡화 창고 1T</v>
          </cell>
        </row>
        <row r="1593">
          <cell r="A1593">
            <v>70110206</v>
          </cell>
          <cell r="B1593" t="str">
            <v>A급 주류 창고 1T</v>
          </cell>
        </row>
        <row r="1594">
          <cell r="A1594">
            <v>70110207</v>
          </cell>
          <cell r="B1594" t="str">
            <v>A급 염료 창고 1T</v>
          </cell>
        </row>
        <row r="1595">
          <cell r="A1595">
            <v>70110208</v>
          </cell>
          <cell r="B1595" t="str">
            <v>A급 광석 창고 1T</v>
          </cell>
        </row>
        <row r="1596">
          <cell r="A1596">
            <v>70110209</v>
          </cell>
          <cell r="B1596" t="str">
            <v>A급 공업품 창고 1T</v>
          </cell>
        </row>
        <row r="1597">
          <cell r="A1597">
            <v>70110210</v>
          </cell>
          <cell r="B1597" t="str">
            <v>A급 기호품 창고 1T</v>
          </cell>
        </row>
        <row r="1598">
          <cell r="A1598">
            <v>70110211</v>
          </cell>
          <cell r="B1598" t="str">
            <v>A급 섬유 창고 1T</v>
          </cell>
        </row>
        <row r="1599">
          <cell r="A1599">
            <v>70110212</v>
          </cell>
          <cell r="B1599" t="str">
            <v>A급 직물 창고 1T</v>
          </cell>
        </row>
        <row r="1600">
          <cell r="A1600">
            <v>70110213</v>
          </cell>
          <cell r="B1600" t="str">
            <v>A급 공예품 창고 1T</v>
          </cell>
        </row>
        <row r="1601">
          <cell r="A1601">
            <v>70110214</v>
          </cell>
          <cell r="B1601" t="str">
            <v>A급 미술품 창고 1T</v>
          </cell>
        </row>
        <row r="1602">
          <cell r="A1602">
            <v>70110215</v>
          </cell>
          <cell r="B1602" t="str">
            <v>A급 향신료 창고 1T</v>
          </cell>
        </row>
        <row r="1603">
          <cell r="A1603">
            <v>70110216</v>
          </cell>
          <cell r="B1603" t="str">
            <v>A급 귀금속 창고 1T</v>
          </cell>
        </row>
        <row r="1604">
          <cell r="A1604">
            <v>70110217</v>
          </cell>
          <cell r="B1604" t="str">
            <v>A급 향료 창고 1T</v>
          </cell>
        </row>
        <row r="1605">
          <cell r="A1605">
            <v>70110218</v>
          </cell>
          <cell r="B1605" t="str">
            <v>A급 보석 창고 1T</v>
          </cell>
        </row>
        <row r="1606">
          <cell r="A1606">
            <v>70110219</v>
          </cell>
          <cell r="B1606" t="str">
            <v>A급 무기류 창고 1T</v>
          </cell>
        </row>
        <row r="1607">
          <cell r="A1607">
            <v>70110220</v>
          </cell>
          <cell r="B1607" t="str">
            <v>A급 총포류 창고 1T</v>
          </cell>
        </row>
        <row r="1608">
          <cell r="A1608">
            <v>70110221</v>
          </cell>
          <cell r="B1608" t="str">
            <v>A급 짐창고 1T</v>
          </cell>
        </row>
        <row r="1609">
          <cell r="A1609">
            <v>70110222</v>
          </cell>
          <cell r="B1609" t="str">
            <v>A급 조수실 1T</v>
          </cell>
        </row>
        <row r="1610">
          <cell r="A1610">
            <v>70110223</v>
          </cell>
          <cell r="B1610" t="str">
            <v>A급 선원실 1T</v>
          </cell>
        </row>
        <row r="1611">
          <cell r="A1611">
            <v>70110224</v>
          </cell>
          <cell r="B1611" t="str">
            <v>A급 탄약창고 1T</v>
          </cell>
        </row>
        <row r="1612">
          <cell r="A1612">
            <v>70110225</v>
          </cell>
          <cell r="B1612" t="str">
            <v>A급 무기창고 1T</v>
          </cell>
        </row>
        <row r="1613">
          <cell r="A1613">
            <v>70110226</v>
          </cell>
          <cell r="B1613" t="str">
            <v>A급 휴게실 1T</v>
          </cell>
        </row>
        <row r="1614">
          <cell r="A1614">
            <v>70110227</v>
          </cell>
          <cell r="B1614" t="str">
            <v>A급 연회장 1T</v>
          </cell>
        </row>
        <row r="1615">
          <cell r="A1615">
            <v>70110228</v>
          </cell>
          <cell r="B1615" t="str">
            <v>A급 위장창고 1T</v>
          </cell>
        </row>
        <row r="1616">
          <cell r="A1616">
            <v>70110229</v>
          </cell>
          <cell r="B1616" t="str">
            <v>A급 강화창고 1T</v>
          </cell>
        </row>
        <row r="1617">
          <cell r="A1617">
            <v>70110300</v>
          </cell>
          <cell r="B1617" t="str">
            <v>S급 물자창고 1T</v>
          </cell>
        </row>
        <row r="1618">
          <cell r="A1618">
            <v>70110301</v>
          </cell>
          <cell r="B1618" t="str">
            <v>S급 식료품 창고 1T</v>
          </cell>
        </row>
        <row r="1619">
          <cell r="A1619">
            <v>70110302</v>
          </cell>
          <cell r="B1619" t="str">
            <v>S급 조미료 창고 1T</v>
          </cell>
        </row>
        <row r="1620">
          <cell r="A1620">
            <v>70110303</v>
          </cell>
          <cell r="B1620" t="str">
            <v>S급 가축 창고 1T</v>
          </cell>
        </row>
        <row r="1621">
          <cell r="A1621">
            <v>70110304</v>
          </cell>
          <cell r="B1621" t="str">
            <v>S급 의약품 창고 1T</v>
          </cell>
        </row>
        <row r="1622">
          <cell r="A1622">
            <v>70110305</v>
          </cell>
          <cell r="B1622" t="str">
            <v>S급 잡화 창고 1T</v>
          </cell>
        </row>
        <row r="1623">
          <cell r="A1623">
            <v>70110306</v>
          </cell>
          <cell r="B1623" t="str">
            <v>S급 주류 창고 1T</v>
          </cell>
        </row>
        <row r="1624">
          <cell r="A1624">
            <v>70110307</v>
          </cell>
          <cell r="B1624" t="str">
            <v>S급 염료 창고 1T</v>
          </cell>
        </row>
        <row r="1625">
          <cell r="A1625">
            <v>70110308</v>
          </cell>
          <cell r="B1625" t="str">
            <v>S급 광석 창고 1T</v>
          </cell>
        </row>
        <row r="1626">
          <cell r="A1626">
            <v>70110309</v>
          </cell>
          <cell r="B1626" t="str">
            <v>S급 공업품 창고 1T</v>
          </cell>
        </row>
        <row r="1627">
          <cell r="A1627">
            <v>70110310</v>
          </cell>
          <cell r="B1627" t="str">
            <v>S급 기호품 창고 1T</v>
          </cell>
        </row>
        <row r="1628">
          <cell r="A1628">
            <v>70110311</v>
          </cell>
          <cell r="B1628" t="str">
            <v>S급 섬유 창고 1T</v>
          </cell>
        </row>
        <row r="1629">
          <cell r="A1629">
            <v>70110312</v>
          </cell>
          <cell r="B1629" t="str">
            <v>S급 직물 창고 1T</v>
          </cell>
        </row>
        <row r="1630">
          <cell r="A1630">
            <v>70110313</v>
          </cell>
          <cell r="B1630" t="str">
            <v>S급 공예품 창고 1T</v>
          </cell>
        </row>
        <row r="1631">
          <cell r="A1631">
            <v>70110314</v>
          </cell>
          <cell r="B1631" t="str">
            <v>S급 미술품 창고 1T</v>
          </cell>
        </row>
        <row r="1632">
          <cell r="A1632">
            <v>70110315</v>
          </cell>
          <cell r="B1632" t="str">
            <v>S급 향신료 창고 1T</v>
          </cell>
        </row>
        <row r="1633">
          <cell r="A1633">
            <v>70110316</v>
          </cell>
          <cell r="B1633" t="str">
            <v>S급 귀금속 창고 1T</v>
          </cell>
        </row>
        <row r="1634">
          <cell r="A1634">
            <v>70110317</v>
          </cell>
          <cell r="B1634" t="str">
            <v>S급 향료 창고 1T</v>
          </cell>
        </row>
        <row r="1635">
          <cell r="A1635">
            <v>70110318</v>
          </cell>
          <cell r="B1635" t="str">
            <v>S급 보석 창고 1T</v>
          </cell>
        </row>
        <row r="1636">
          <cell r="A1636">
            <v>70110319</v>
          </cell>
          <cell r="B1636" t="str">
            <v>S급 무기류 창고 1T</v>
          </cell>
        </row>
        <row r="1637">
          <cell r="A1637">
            <v>70110320</v>
          </cell>
          <cell r="B1637" t="str">
            <v>S급 총포류 창고 1T</v>
          </cell>
        </row>
        <row r="1638">
          <cell r="A1638">
            <v>70110321</v>
          </cell>
          <cell r="B1638" t="str">
            <v>S급 짐창고 1T</v>
          </cell>
        </row>
        <row r="1639">
          <cell r="A1639">
            <v>70110322</v>
          </cell>
          <cell r="B1639" t="str">
            <v>S급 조수실 1T</v>
          </cell>
        </row>
        <row r="1640">
          <cell r="A1640">
            <v>70110323</v>
          </cell>
          <cell r="B1640" t="str">
            <v>S급 선원실 1T</v>
          </cell>
        </row>
        <row r="1641">
          <cell r="A1641">
            <v>70110324</v>
          </cell>
          <cell r="B1641" t="str">
            <v>S급 탄약창고 1T</v>
          </cell>
        </row>
        <row r="1642">
          <cell r="A1642">
            <v>70110325</v>
          </cell>
          <cell r="B1642" t="str">
            <v>S급 무기창고 1T</v>
          </cell>
        </row>
        <row r="1643">
          <cell r="A1643">
            <v>70110326</v>
          </cell>
          <cell r="B1643" t="str">
            <v>S급 휴게실 1T</v>
          </cell>
        </row>
        <row r="1644">
          <cell r="A1644">
            <v>70110327</v>
          </cell>
          <cell r="B1644" t="str">
            <v>S급 연회장 1T</v>
          </cell>
        </row>
        <row r="1645">
          <cell r="A1645">
            <v>70110328</v>
          </cell>
          <cell r="B1645" t="str">
            <v>S급 위장창고 1T</v>
          </cell>
        </row>
        <row r="1646">
          <cell r="A1646">
            <v>70110329</v>
          </cell>
          <cell r="B1646" t="str">
            <v>S급 강화창고 1T</v>
          </cell>
        </row>
        <row r="1647">
          <cell r="A1647">
            <v>70110400</v>
          </cell>
          <cell r="B1647" t="str">
            <v>C급 물자창고 2T</v>
          </cell>
        </row>
        <row r="1648">
          <cell r="A1648">
            <v>70110401</v>
          </cell>
          <cell r="B1648" t="str">
            <v>C급 식료품 창고 2T</v>
          </cell>
        </row>
        <row r="1649">
          <cell r="A1649">
            <v>70110402</v>
          </cell>
          <cell r="B1649" t="str">
            <v>C급 조미료 창고 2T</v>
          </cell>
        </row>
        <row r="1650">
          <cell r="A1650">
            <v>70110403</v>
          </cell>
          <cell r="B1650" t="str">
            <v>C급 가축 창고 2T</v>
          </cell>
        </row>
        <row r="1651">
          <cell r="A1651">
            <v>70110404</v>
          </cell>
          <cell r="B1651" t="str">
            <v>C급 의약품 창고 2T</v>
          </cell>
        </row>
        <row r="1652">
          <cell r="A1652">
            <v>70110405</v>
          </cell>
          <cell r="B1652" t="str">
            <v>C급 잡화 창고 2T</v>
          </cell>
        </row>
        <row r="1653">
          <cell r="A1653">
            <v>70110406</v>
          </cell>
          <cell r="B1653" t="str">
            <v>C급 주류 창고 2T</v>
          </cell>
        </row>
        <row r="1654">
          <cell r="A1654">
            <v>70110407</v>
          </cell>
          <cell r="B1654" t="str">
            <v>C급 염료 창고 2T</v>
          </cell>
        </row>
        <row r="1655">
          <cell r="A1655">
            <v>70110408</v>
          </cell>
          <cell r="B1655" t="str">
            <v>C급 광석 창고 2T</v>
          </cell>
        </row>
        <row r="1656">
          <cell r="A1656">
            <v>70110409</v>
          </cell>
          <cell r="B1656" t="str">
            <v>C급 공업품 창고 2T</v>
          </cell>
        </row>
        <row r="1657">
          <cell r="A1657">
            <v>70110410</v>
          </cell>
          <cell r="B1657" t="str">
            <v>C급 기호품 창고 2T</v>
          </cell>
        </row>
        <row r="1658">
          <cell r="A1658">
            <v>70110411</v>
          </cell>
          <cell r="B1658" t="str">
            <v>C급 섬유 창고 2T</v>
          </cell>
        </row>
        <row r="1659">
          <cell r="A1659">
            <v>70110412</v>
          </cell>
          <cell r="B1659" t="str">
            <v>C급 직물 창고 2T</v>
          </cell>
        </row>
        <row r="1660">
          <cell r="A1660">
            <v>70110413</v>
          </cell>
          <cell r="B1660" t="str">
            <v>C급 공예품 창고 2T</v>
          </cell>
        </row>
        <row r="1661">
          <cell r="A1661">
            <v>70110414</v>
          </cell>
          <cell r="B1661" t="str">
            <v>C급 미술품 창고 2T</v>
          </cell>
        </row>
        <row r="1662">
          <cell r="A1662">
            <v>70110415</v>
          </cell>
          <cell r="B1662" t="str">
            <v>C급 향신료 창고 2T</v>
          </cell>
        </row>
        <row r="1663">
          <cell r="A1663">
            <v>70110416</v>
          </cell>
          <cell r="B1663" t="str">
            <v>C급 귀금속 창고 2T</v>
          </cell>
        </row>
        <row r="1664">
          <cell r="A1664">
            <v>70110417</v>
          </cell>
          <cell r="B1664" t="str">
            <v>C급 향료 창고 2T</v>
          </cell>
        </row>
        <row r="1665">
          <cell r="A1665">
            <v>70110418</v>
          </cell>
          <cell r="B1665" t="str">
            <v>C급 보석 창고 2T</v>
          </cell>
        </row>
        <row r="1666">
          <cell r="A1666">
            <v>70110419</v>
          </cell>
          <cell r="B1666" t="str">
            <v>C급 무기류 창고 2T</v>
          </cell>
        </row>
        <row r="1667">
          <cell r="A1667">
            <v>70110420</v>
          </cell>
          <cell r="B1667" t="str">
            <v>C급 총포류 창고 2T</v>
          </cell>
        </row>
        <row r="1668">
          <cell r="A1668">
            <v>70110421</v>
          </cell>
          <cell r="B1668" t="str">
            <v>C급 짐창고 2T</v>
          </cell>
        </row>
        <row r="1669">
          <cell r="A1669">
            <v>70110422</v>
          </cell>
          <cell r="B1669" t="str">
            <v>C급 조수실 2T</v>
          </cell>
        </row>
        <row r="1670">
          <cell r="A1670">
            <v>70110423</v>
          </cell>
          <cell r="B1670" t="str">
            <v>C급 선원실 2T</v>
          </cell>
        </row>
        <row r="1671">
          <cell r="A1671">
            <v>70110424</v>
          </cell>
          <cell r="B1671" t="str">
            <v>C급 탄약창고 2T</v>
          </cell>
        </row>
        <row r="1672">
          <cell r="A1672">
            <v>70110425</v>
          </cell>
          <cell r="B1672" t="str">
            <v>C급 무기창고 2T</v>
          </cell>
        </row>
        <row r="1673">
          <cell r="A1673">
            <v>70110426</v>
          </cell>
          <cell r="B1673" t="str">
            <v>C급 휴게실 2T</v>
          </cell>
        </row>
        <row r="1674">
          <cell r="A1674">
            <v>70110427</v>
          </cell>
          <cell r="B1674" t="str">
            <v>C급 연회장 2T</v>
          </cell>
        </row>
        <row r="1675">
          <cell r="A1675">
            <v>70110428</v>
          </cell>
          <cell r="B1675" t="str">
            <v>C급 위장창고 2T</v>
          </cell>
        </row>
        <row r="1676">
          <cell r="A1676">
            <v>70110429</v>
          </cell>
          <cell r="B1676" t="str">
            <v>C급 강화창고 2T</v>
          </cell>
        </row>
        <row r="1677">
          <cell r="A1677">
            <v>70110500</v>
          </cell>
          <cell r="B1677" t="str">
            <v>B급 물자창고 2T</v>
          </cell>
        </row>
        <row r="1678">
          <cell r="A1678">
            <v>70110501</v>
          </cell>
          <cell r="B1678" t="str">
            <v>B급 식료품 창고 2T</v>
          </cell>
        </row>
        <row r="1679">
          <cell r="A1679">
            <v>70110502</v>
          </cell>
          <cell r="B1679" t="str">
            <v>B급 조미료 창고 2T</v>
          </cell>
        </row>
        <row r="1680">
          <cell r="A1680">
            <v>70110503</v>
          </cell>
          <cell r="B1680" t="str">
            <v>B급 가축 창고 2T</v>
          </cell>
        </row>
        <row r="1681">
          <cell r="A1681">
            <v>70110504</v>
          </cell>
          <cell r="B1681" t="str">
            <v>B급 의약품 창고 2T</v>
          </cell>
        </row>
        <row r="1682">
          <cell r="A1682">
            <v>70110505</v>
          </cell>
          <cell r="B1682" t="str">
            <v>B급 잡화 창고 2T</v>
          </cell>
        </row>
        <row r="1683">
          <cell r="A1683">
            <v>70110506</v>
          </cell>
          <cell r="B1683" t="str">
            <v>B급 주류 창고 2T</v>
          </cell>
        </row>
        <row r="1684">
          <cell r="A1684">
            <v>70110507</v>
          </cell>
          <cell r="B1684" t="str">
            <v>B급 염료 창고 2T</v>
          </cell>
        </row>
        <row r="1685">
          <cell r="A1685">
            <v>70110508</v>
          </cell>
          <cell r="B1685" t="str">
            <v>B급 광석 창고 2T</v>
          </cell>
        </row>
        <row r="1686">
          <cell r="A1686">
            <v>70110509</v>
          </cell>
          <cell r="B1686" t="str">
            <v>B급 공업품 창고 2T</v>
          </cell>
        </row>
        <row r="1687">
          <cell r="A1687">
            <v>70110510</v>
          </cell>
          <cell r="B1687" t="str">
            <v>B급 기호품 창고 2T</v>
          </cell>
        </row>
        <row r="1688">
          <cell r="A1688">
            <v>70110511</v>
          </cell>
          <cell r="B1688" t="str">
            <v>B급 섬유 창고 2T</v>
          </cell>
        </row>
        <row r="1689">
          <cell r="A1689">
            <v>70110512</v>
          </cell>
          <cell r="B1689" t="str">
            <v>B급 직물 창고 2T</v>
          </cell>
        </row>
        <row r="1690">
          <cell r="A1690">
            <v>70110513</v>
          </cell>
          <cell r="B1690" t="str">
            <v>B급 공예품 창고 2T</v>
          </cell>
        </row>
        <row r="1691">
          <cell r="A1691">
            <v>70110514</v>
          </cell>
          <cell r="B1691" t="str">
            <v>B급 미술품 창고 2T</v>
          </cell>
        </row>
        <row r="1692">
          <cell r="A1692">
            <v>70110515</v>
          </cell>
          <cell r="B1692" t="str">
            <v>B급 향신료 창고 2T</v>
          </cell>
        </row>
        <row r="1693">
          <cell r="A1693">
            <v>70110516</v>
          </cell>
          <cell r="B1693" t="str">
            <v>B급 귀금속 창고 2T</v>
          </cell>
        </row>
        <row r="1694">
          <cell r="A1694">
            <v>70110517</v>
          </cell>
          <cell r="B1694" t="str">
            <v>B급 향료 창고 2T</v>
          </cell>
        </row>
        <row r="1695">
          <cell r="A1695">
            <v>70110518</v>
          </cell>
          <cell r="B1695" t="str">
            <v>B급 보석 창고 2T</v>
          </cell>
        </row>
        <row r="1696">
          <cell r="A1696">
            <v>70110519</v>
          </cell>
          <cell r="B1696" t="str">
            <v>B급 무기류 창고 2T</v>
          </cell>
        </row>
        <row r="1697">
          <cell r="A1697">
            <v>70110520</v>
          </cell>
          <cell r="B1697" t="str">
            <v>B급 총포류 창고 2T</v>
          </cell>
        </row>
        <row r="1698">
          <cell r="A1698">
            <v>70110521</v>
          </cell>
          <cell r="B1698" t="str">
            <v>B급 짐창고 2T</v>
          </cell>
        </row>
        <row r="1699">
          <cell r="A1699">
            <v>70110522</v>
          </cell>
          <cell r="B1699" t="str">
            <v>B급 조수실 2T</v>
          </cell>
        </row>
        <row r="1700">
          <cell r="A1700">
            <v>70110523</v>
          </cell>
          <cell r="B1700" t="str">
            <v>B급 선원실 2T</v>
          </cell>
        </row>
        <row r="1701">
          <cell r="A1701">
            <v>70110524</v>
          </cell>
          <cell r="B1701" t="str">
            <v>B급 탄약창고 2T</v>
          </cell>
        </row>
        <row r="1702">
          <cell r="A1702">
            <v>70110525</v>
          </cell>
          <cell r="B1702" t="str">
            <v>B급 무기창고 2T</v>
          </cell>
        </row>
        <row r="1703">
          <cell r="A1703">
            <v>70110526</v>
          </cell>
          <cell r="B1703" t="str">
            <v>B급 휴게실 2T</v>
          </cell>
        </row>
        <row r="1704">
          <cell r="A1704">
            <v>70110527</v>
          </cell>
          <cell r="B1704" t="str">
            <v>B급 연회장 2T</v>
          </cell>
        </row>
        <row r="1705">
          <cell r="A1705">
            <v>70110528</v>
          </cell>
          <cell r="B1705" t="str">
            <v>B급 위장창고 2T</v>
          </cell>
        </row>
        <row r="1706">
          <cell r="A1706">
            <v>70110529</v>
          </cell>
          <cell r="B1706" t="str">
            <v>B급 강화창고 2T</v>
          </cell>
        </row>
        <row r="1707">
          <cell r="A1707">
            <v>70110600</v>
          </cell>
          <cell r="B1707" t="str">
            <v>A급 물자창고 2T</v>
          </cell>
        </row>
        <row r="1708">
          <cell r="A1708">
            <v>70110601</v>
          </cell>
          <cell r="B1708" t="str">
            <v>A급 식료품 창고 2T</v>
          </cell>
        </row>
        <row r="1709">
          <cell r="A1709">
            <v>70110602</v>
          </cell>
          <cell r="B1709" t="str">
            <v>A급 조미료 창고 2T</v>
          </cell>
        </row>
        <row r="1710">
          <cell r="A1710">
            <v>70110603</v>
          </cell>
          <cell r="B1710" t="str">
            <v>A급 가축 창고 2T</v>
          </cell>
        </row>
        <row r="1711">
          <cell r="A1711">
            <v>70110604</v>
          </cell>
          <cell r="B1711" t="str">
            <v>A급 의약품 창고 2T</v>
          </cell>
        </row>
        <row r="1712">
          <cell r="A1712">
            <v>70110605</v>
          </cell>
          <cell r="B1712" t="str">
            <v>A급 잡화 창고 2T</v>
          </cell>
        </row>
        <row r="1713">
          <cell r="A1713">
            <v>70110606</v>
          </cell>
          <cell r="B1713" t="str">
            <v>A급 주류 창고 2T</v>
          </cell>
        </row>
        <row r="1714">
          <cell r="A1714">
            <v>70110607</v>
          </cell>
          <cell r="B1714" t="str">
            <v>A급 염료 창고 2T</v>
          </cell>
        </row>
        <row r="1715">
          <cell r="A1715">
            <v>70110608</v>
          </cell>
          <cell r="B1715" t="str">
            <v>A급 광석 창고 2T</v>
          </cell>
        </row>
        <row r="1716">
          <cell r="A1716">
            <v>70110609</v>
          </cell>
          <cell r="B1716" t="str">
            <v>A급 공업품 창고 2T</v>
          </cell>
        </row>
        <row r="1717">
          <cell r="A1717">
            <v>70110610</v>
          </cell>
          <cell r="B1717" t="str">
            <v>A급 기호품 창고 2T</v>
          </cell>
        </row>
        <row r="1718">
          <cell r="A1718">
            <v>70110611</v>
          </cell>
          <cell r="B1718" t="str">
            <v>A급 섬유 창고 2T</v>
          </cell>
        </row>
        <row r="1719">
          <cell r="A1719">
            <v>70110612</v>
          </cell>
          <cell r="B1719" t="str">
            <v>A급 직물 창고 2T</v>
          </cell>
        </row>
        <row r="1720">
          <cell r="A1720">
            <v>70110613</v>
          </cell>
          <cell r="B1720" t="str">
            <v>A급 공예품 창고 2T</v>
          </cell>
        </row>
        <row r="1721">
          <cell r="A1721">
            <v>70110614</v>
          </cell>
          <cell r="B1721" t="str">
            <v>A급 미술품 창고 2T</v>
          </cell>
        </row>
        <row r="1722">
          <cell r="A1722">
            <v>70110615</v>
          </cell>
          <cell r="B1722" t="str">
            <v>A급 향신료 창고 2T</v>
          </cell>
        </row>
        <row r="1723">
          <cell r="A1723">
            <v>70110616</v>
          </cell>
          <cell r="B1723" t="str">
            <v>A급 귀금속 창고 2T</v>
          </cell>
        </row>
        <row r="1724">
          <cell r="A1724">
            <v>70110617</v>
          </cell>
          <cell r="B1724" t="str">
            <v>A급 향료 창고 2T</v>
          </cell>
        </row>
        <row r="1725">
          <cell r="A1725">
            <v>70110618</v>
          </cell>
          <cell r="B1725" t="str">
            <v>A급 보석 창고 2T</v>
          </cell>
        </row>
        <row r="1726">
          <cell r="A1726">
            <v>70110619</v>
          </cell>
          <cell r="B1726" t="str">
            <v>A급 무기류 창고 2T</v>
          </cell>
        </row>
        <row r="1727">
          <cell r="A1727">
            <v>70110620</v>
          </cell>
          <cell r="B1727" t="str">
            <v>A급 총포류 창고 2T</v>
          </cell>
        </row>
        <row r="1728">
          <cell r="A1728">
            <v>70110621</v>
          </cell>
          <cell r="B1728" t="str">
            <v>A급 짐창고 2T</v>
          </cell>
        </row>
        <row r="1729">
          <cell r="A1729">
            <v>70110622</v>
          </cell>
          <cell r="B1729" t="str">
            <v>A급 조수실 2T</v>
          </cell>
        </row>
        <row r="1730">
          <cell r="A1730">
            <v>70110623</v>
          </cell>
          <cell r="B1730" t="str">
            <v>A급 선원실 2T</v>
          </cell>
        </row>
        <row r="1731">
          <cell r="A1731">
            <v>70110624</v>
          </cell>
          <cell r="B1731" t="str">
            <v>A급 탄약창고 2T</v>
          </cell>
        </row>
        <row r="1732">
          <cell r="A1732">
            <v>70110625</v>
          </cell>
          <cell r="B1732" t="str">
            <v>A급 무기창고 2T</v>
          </cell>
        </row>
        <row r="1733">
          <cell r="A1733">
            <v>70110626</v>
          </cell>
          <cell r="B1733" t="str">
            <v>A급 휴게실 2T</v>
          </cell>
        </row>
        <row r="1734">
          <cell r="A1734">
            <v>70110627</v>
          </cell>
          <cell r="B1734" t="str">
            <v>A급 연회장 2T</v>
          </cell>
        </row>
        <row r="1735">
          <cell r="A1735">
            <v>70110628</v>
          </cell>
          <cell r="B1735" t="str">
            <v>A급 위장창고 2T</v>
          </cell>
        </row>
        <row r="1736">
          <cell r="A1736">
            <v>70110629</v>
          </cell>
          <cell r="B1736" t="str">
            <v>A급 강화창고 2T</v>
          </cell>
        </row>
        <row r="1737">
          <cell r="A1737">
            <v>70110700</v>
          </cell>
          <cell r="B1737" t="str">
            <v>S급 물자창고 2T</v>
          </cell>
        </row>
        <row r="1738">
          <cell r="A1738">
            <v>70110701</v>
          </cell>
          <cell r="B1738" t="str">
            <v>S급 식료품 창고 2T</v>
          </cell>
        </row>
        <row r="1739">
          <cell r="A1739">
            <v>70110702</v>
          </cell>
          <cell r="B1739" t="str">
            <v>S급 조미료 창고 2T</v>
          </cell>
        </row>
        <row r="1740">
          <cell r="A1740">
            <v>70110703</v>
          </cell>
          <cell r="B1740" t="str">
            <v>S급 가축 창고 2T</v>
          </cell>
        </row>
        <row r="1741">
          <cell r="A1741">
            <v>70110704</v>
          </cell>
          <cell r="B1741" t="str">
            <v>S급 의약품 창고 2T</v>
          </cell>
        </row>
        <row r="1742">
          <cell r="A1742">
            <v>70110705</v>
          </cell>
          <cell r="B1742" t="str">
            <v>S급 잡화 창고 2T</v>
          </cell>
        </row>
        <row r="1743">
          <cell r="A1743">
            <v>70110706</v>
          </cell>
          <cell r="B1743" t="str">
            <v>S급 주류 창고 2T</v>
          </cell>
        </row>
        <row r="1744">
          <cell r="A1744">
            <v>70110707</v>
          </cell>
          <cell r="B1744" t="str">
            <v>S급 염료 창고 2T</v>
          </cell>
        </row>
        <row r="1745">
          <cell r="A1745">
            <v>70110708</v>
          </cell>
          <cell r="B1745" t="str">
            <v>S급 광석 창고 2T</v>
          </cell>
        </row>
        <row r="1746">
          <cell r="A1746">
            <v>70110709</v>
          </cell>
          <cell r="B1746" t="str">
            <v>S급 공업품 창고 2T</v>
          </cell>
        </row>
        <row r="1747">
          <cell r="A1747">
            <v>70110710</v>
          </cell>
          <cell r="B1747" t="str">
            <v>S급 기호품 창고 2T</v>
          </cell>
        </row>
        <row r="1748">
          <cell r="A1748">
            <v>70110711</v>
          </cell>
          <cell r="B1748" t="str">
            <v>S급 섬유 창고 2T</v>
          </cell>
        </row>
        <row r="1749">
          <cell r="A1749">
            <v>70110712</v>
          </cell>
          <cell r="B1749" t="str">
            <v>S급 직물 창고 2T</v>
          </cell>
        </row>
        <row r="1750">
          <cell r="A1750">
            <v>70110713</v>
          </cell>
          <cell r="B1750" t="str">
            <v>S급 공예품 창고 2T</v>
          </cell>
        </row>
        <row r="1751">
          <cell r="A1751">
            <v>70110714</v>
          </cell>
          <cell r="B1751" t="str">
            <v>S급 미술품 창고 2T</v>
          </cell>
        </row>
        <row r="1752">
          <cell r="A1752">
            <v>70110715</v>
          </cell>
          <cell r="B1752" t="str">
            <v>S급 향신료 창고 2T</v>
          </cell>
        </row>
        <row r="1753">
          <cell r="A1753">
            <v>70110716</v>
          </cell>
          <cell r="B1753" t="str">
            <v>S급 귀금속 창고 2T</v>
          </cell>
        </row>
        <row r="1754">
          <cell r="A1754">
            <v>70110717</v>
          </cell>
          <cell r="B1754" t="str">
            <v>S급 향료 창고 2T</v>
          </cell>
        </row>
        <row r="1755">
          <cell r="A1755">
            <v>70110718</v>
          </cell>
          <cell r="B1755" t="str">
            <v>S급 보석 창고 2T</v>
          </cell>
        </row>
        <row r="1756">
          <cell r="A1756">
            <v>70110719</v>
          </cell>
          <cell r="B1756" t="str">
            <v>S급 무기류 창고 2T</v>
          </cell>
        </row>
        <row r="1757">
          <cell r="A1757">
            <v>70110720</v>
          </cell>
          <cell r="B1757" t="str">
            <v>S급 총포류 창고 2T</v>
          </cell>
        </row>
        <row r="1758">
          <cell r="A1758">
            <v>70110721</v>
          </cell>
          <cell r="B1758" t="str">
            <v>S급 짐창고 2T</v>
          </cell>
        </row>
        <row r="1759">
          <cell r="A1759">
            <v>70110722</v>
          </cell>
          <cell r="B1759" t="str">
            <v>S급 조수실 2T</v>
          </cell>
        </row>
        <row r="1760">
          <cell r="A1760">
            <v>70110723</v>
          </cell>
          <cell r="B1760" t="str">
            <v>S급 선원실 2T</v>
          </cell>
        </row>
        <row r="1761">
          <cell r="A1761">
            <v>70110724</v>
          </cell>
          <cell r="B1761" t="str">
            <v>S급 탄약창고 2T</v>
          </cell>
        </row>
        <row r="1762">
          <cell r="A1762">
            <v>70110725</v>
          </cell>
          <cell r="B1762" t="str">
            <v>S급 무기창고 2T</v>
          </cell>
        </row>
        <row r="1763">
          <cell r="A1763">
            <v>70110726</v>
          </cell>
          <cell r="B1763" t="str">
            <v>S급 휴게실 2T</v>
          </cell>
        </row>
        <row r="1764">
          <cell r="A1764">
            <v>70110727</v>
          </cell>
          <cell r="B1764" t="str">
            <v>S급 연회장 2T</v>
          </cell>
        </row>
        <row r="1765">
          <cell r="A1765">
            <v>70110728</v>
          </cell>
          <cell r="B1765" t="str">
            <v>S급 위장창고 2T</v>
          </cell>
        </row>
        <row r="1766">
          <cell r="A1766">
            <v>70110729</v>
          </cell>
          <cell r="B1766" t="str">
            <v>S급 강화창고 2T</v>
          </cell>
        </row>
        <row r="1767">
          <cell r="A1767">
            <v>70110800</v>
          </cell>
          <cell r="B1767" t="str">
            <v>C급 물자창고 3T</v>
          </cell>
        </row>
        <row r="1768">
          <cell r="A1768">
            <v>70110801</v>
          </cell>
          <cell r="B1768" t="str">
            <v>C급 식료품 창고 3T</v>
          </cell>
        </row>
        <row r="1769">
          <cell r="A1769">
            <v>70110802</v>
          </cell>
          <cell r="B1769" t="str">
            <v>C급 조미료 창고 3T</v>
          </cell>
        </row>
        <row r="1770">
          <cell r="A1770">
            <v>70110803</v>
          </cell>
          <cell r="B1770" t="str">
            <v>C급 가축 창고 3T</v>
          </cell>
        </row>
        <row r="1771">
          <cell r="A1771">
            <v>70110804</v>
          </cell>
          <cell r="B1771" t="str">
            <v>C급 의약품 창고 3T</v>
          </cell>
        </row>
        <row r="1772">
          <cell r="A1772">
            <v>70110805</v>
          </cell>
          <cell r="B1772" t="str">
            <v>C급 잡화 창고 3T</v>
          </cell>
        </row>
        <row r="1773">
          <cell r="A1773">
            <v>70110806</v>
          </cell>
          <cell r="B1773" t="str">
            <v>C급 주류 창고 3T</v>
          </cell>
        </row>
        <row r="1774">
          <cell r="A1774">
            <v>70110807</v>
          </cell>
          <cell r="B1774" t="str">
            <v>C급 염료 창고 3T</v>
          </cell>
        </row>
        <row r="1775">
          <cell r="A1775">
            <v>70110808</v>
          </cell>
          <cell r="B1775" t="str">
            <v>C급 광석 창고 3T</v>
          </cell>
        </row>
        <row r="1776">
          <cell r="A1776">
            <v>70110809</v>
          </cell>
          <cell r="B1776" t="str">
            <v>C급 공업품 창고 3T</v>
          </cell>
        </row>
        <row r="1777">
          <cell r="A1777">
            <v>70110810</v>
          </cell>
          <cell r="B1777" t="str">
            <v>C급 기호품 창고 3T</v>
          </cell>
        </row>
        <row r="1778">
          <cell r="A1778">
            <v>70110811</v>
          </cell>
          <cell r="B1778" t="str">
            <v>C급 섬유 창고 3T</v>
          </cell>
        </row>
        <row r="1779">
          <cell r="A1779">
            <v>70110812</v>
          </cell>
          <cell r="B1779" t="str">
            <v>C급 직물 창고 3T</v>
          </cell>
        </row>
        <row r="1780">
          <cell r="A1780">
            <v>70110813</v>
          </cell>
          <cell r="B1780" t="str">
            <v>C급 공예품 창고 3T</v>
          </cell>
        </row>
        <row r="1781">
          <cell r="A1781">
            <v>70110814</v>
          </cell>
          <cell r="B1781" t="str">
            <v>C급 미술품 창고 3T</v>
          </cell>
        </row>
        <row r="1782">
          <cell r="A1782">
            <v>70110815</v>
          </cell>
          <cell r="B1782" t="str">
            <v>C급 향신료 창고 3T</v>
          </cell>
        </row>
        <row r="1783">
          <cell r="A1783">
            <v>70110816</v>
          </cell>
          <cell r="B1783" t="str">
            <v>C급 귀금속 창고 3T</v>
          </cell>
        </row>
        <row r="1784">
          <cell r="A1784">
            <v>70110817</v>
          </cell>
          <cell r="B1784" t="str">
            <v>C급 향료 창고 3T</v>
          </cell>
        </row>
        <row r="1785">
          <cell r="A1785">
            <v>70110818</v>
          </cell>
          <cell r="B1785" t="str">
            <v>C급 보석 창고 3T</v>
          </cell>
        </row>
        <row r="1786">
          <cell r="A1786">
            <v>70110819</v>
          </cell>
          <cell r="B1786" t="str">
            <v>C급 무기류 창고 3T</v>
          </cell>
        </row>
        <row r="1787">
          <cell r="A1787">
            <v>70110820</v>
          </cell>
          <cell r="B1787" t="str">
            <v>C급 총포류 창고 3T</v>
          </cell>
        </row>
        <row r="1788">
          <cell r="A1788">
            <v>70110821</v>
          </cell>
          <cell r="B1788" t="str">
            <v>C급 짐창고 3T</v>
          </cell>
        </row>
        <row r="1789">
          <cell r="A1789">
            <v>70110822</v>
          </cell>
          <cell r="B1789" t="str">
            <v>C급 조수실 3T</v>
          </cell>
        </row>
        <row r="1790">
          <cell r="A1790">
            <v>70110823</v>
          </cell>
          <cell r="B1790" t="str">
            <v>C급 선원실 3T</v>
          </cell>
        </row>
        <row r="1791">
          <cell r="A1791">
            <v>70110824</v>
          </cell>
          <cell r="B1791" t="str">
            <v>C급 탄약창고 3T</v>
          </cell>
        </row>
        <row r="1792">
          <cell r="A1792">
            <v>70110825</v>
          </cell>
          <cell r="B1792" t="str">
            <v>C급 무기창고 3T</v>
          </cell>
        </row>
        <row r="1793">
          <cell r="A1793">
            <v>70110826</v>
          </cell>
          <cell r="B1793" t="str">
            <v>C급 휴게실 3T</v>
          </cell>
        </row>
        <row r="1794">
          <cell r="A1794">
            <v>70110827</v>
          </cell>
          <cell r="B1794" t="str">
            <v>C급 연회장 3T</v>
          </cell>
        </row>
        <row r="1795">
          <cell r="A1795">
            <v>70110828</v>
          </cell>
          <cell r="B1795" t="str">
            <v>C급 위장창고 3T</v>
          </cell>
        </row>
        <row r="1796">
          <cell r="A1796">
            <v>70110829</v>
          </cell>
          <cell r="B1796" t="str">
            <v>C급 강화창고 3T</v>
          </cell>
        </row>
        <row r="1797">
          <cell r="A1797">
            <v>70110900</v>
          </cell>
          <cell r="B1797" t="str">
            <v>B급 물자창고 3T</v>
          </cell>
        </row>
        <row r="1798">
          <cell r="A1798">
            <v>70110901</v>
          </cell>
          <cell r="B1798" t="str">
            <v>B급 식료품 창고 3T</v>
          </cell>
        </row>
        <row r="1799">
          <cell r="A1799">
            <v>70110902</v>
          </cell>
          <cell r="B1799" t="str">
            <v>B급 조미료 창고 3T</v>
          </cell>
        </row>
        <row r="1800">
          <cell r="A1800">
            <v>70110903</v>
          </cell>
          <cell r="B1800" t="str">
            <v>B급 가축 창고 3T</v>
          </cell>
        </row>
        <row r="1801">
          <cell r="A1801">
            <v>70110904</v>
          </cell>
          <cell r="B1801" t="str">
            <v>B급 의약품 창고 3T</v>
          </cell>
        </row>
        <row r="1802">
          <cell r="A1802">
            <v>70110905</v>
          </cell>
          <cell r="B1802" t="str">
            <v>B급 잡화 창고 3T</v>
          </cell>
        </row>
        <row r="1803">
          <cell r="A1803">
            <v>70110906</v>
          </cell>
          <cell r="B1803" t="str">
            <v>B급 주류 창고 3T</v>
          </cell>
        </row>
        <row r="1804">
          <cell r="A1804">
            <v>70110907</v>
          </cell>
          <cell r="B1804" t="str">
            <v>B급 염료 창고 3T</v>
          </cell>
        </row>
        <row r="1805">
          <cell r="A1805">
            <v>70110908</v>
          </cell>
          <cell r="B1805" t="str">
            <v>B급 광석 창고 3T</v>
          </cell>
        </row>
        <row r="1806">
          <cell r="A1806">
            <v>70110909</v>
          </cell>
          <cell r="B1806" t="str">
            <v>B급 공업품 창고 3T</v>
          </cell>
        </row>
        <row r="1807">
          <cell r="A1807">
            <v>70110910</v>
          </cell>
          <cell r="B1807" t="str">
            <v>B급 기호품 창고 3T</v>
          </cell>
        </row>
        <row r="1808">
          <cell r="A1808">
            <v>70110911</v>
          </cell>
          <cell r="B1808" t="str">
            <v>B급 섬유 창고 3T</v>
          </cell>
        </row>
        <row r="1809">
          <cell r="A1809">
            <v>70110912</v>
          </cell>
          <cell r="B1809" t="str">
            <v>B급 직물 창고 3T</v>
          </cell>
        </row>
        <row r="1810">
          <cell r="A1810">
            <v>70110913</v>
          </cell>
          <cell r="B1810" t="str">
            <v>B급 공예품 창고 3T</v>
          </cell>
        </row>
        <row r="1811">
          <cell r="A1811">
            <v>70110914</v>
          </cell>
          <cell r="B1811" t="str">
            <v>B급 미술품 창고 3T</v>
          </cell>
        </row>
        <row r="1812">
          <cell r="A1812">
            <v>70110915</v>
          </cell>
          <cell r="B1812" t="str">
            <v>B급 향신료 창고 3T</v>
          </cell>
        </row>
        <row r="1813">
          <cell r="A1813">
            <v>70110916</v>
          </cell>
          <cell r="B1813" t="str">
            <v>B급 귀금속 창고 3T</v>
          </cell>
        </row>
        <row r="1814">
          <cell r="A1814">
            <v>70110917</v>
          </cell>
          <cell r="B1814" t="str">
            <v>B급 향료 창고 3T</v>
          </cell>
        </row>
        <row r="1815">
          <cell r="A1815">
            <v>70110918</v>
          </cell>
          <cell r="B1815" t="str">
            <v>B급 보석 창고 3T</v>
          </cell>
        </row>
        <row r="1816">
          <cell r="A1816">
            <v>70110919</v>
          </cell>
          <cell r="B1816" t="str">
            <v>B급 무기류 창고 3T</v>
          </cell>
        </row>
        <row r="1817">
          <cell r="A1817">
            <v>70110920</v>
          </cell>
          <cell r="B1817" t="str">
            <v>B급 총포류 창고 3T</v>
          </cell>
        </row>
        <row r="1818">
          <cell r="A1818">
            <v>70110921</v>
          </cell>
          <cell r="B1818" t="str">
            <v>B급 짐창고 3T</v>
          </cell>
        </row>
        <row r="1819">
          <cell r="A1819">
            <v>70110922</v>
          </cell>
          <cell r="B1819" t="str">
            <v>B급 조수실 3T</v>
          </cell>
        </row>
        <row r="1820">
          <cell r="A1820">
            <v>70110923</v>
          </cell>
          <cell r="B1820" t="str">
            <v>B급 선원실 3T</v>
          </cell>
        </row>
        <row r="1821">
          <cell r="A1821">
            <v>70110924</v>
          </cell>
          <cell r="B1821" t="str">
            <v>B급 탄약창고 3T</v>
          </cell>
        </row>
        <row r="1822">
          <cell r="A1822">
            <v>70110925</v>
          </cell>
          <cell r="B1822" t="str">
            <v>B급 무기창고 3T</v>
          </cell>
        </row>
        <row r="1823">
          <cell r="A1823">
            <v>70110926</v>
          </cell>
          <cell r="B1823" t="str">
            <v>B급 휴게실 3T</v>
          </cell>
        </row>
        <row r="1824">
          <cell r="A1824">
            <v>70110927</v>
          </cell>
          <cell r="B1824" t="str">
            <v>B급 연회장 3T</v>
          </cell>
        </row>
        <row r="1825">
          <cell r="A1825">
            <v>70110928</v>
          </cell>
          <cell r="B1825" t="str">
            <v>B급 위장창고 3T</v>
          </cell>
        </row>
        <row r="1826">
          <cell r="A1826">
            <v>70110929</v>
          </cell>
          <cell r="B1826" t="str">
            <v>B급 강화창고 3T</v>
          </cell>
        </row>
        <row r="1827">
          <cell r="A1827">
            <v>70111000</v>
          </cell>
          <cell r="B1827" t="str">
            <v>A급 물자창고 3T</v>
          </cell>
        </row>
        <row r="1828">
          <cell r="A1828">
            <v>70111001</v>
          </cell>
          <cell r="B1828" t="str">
            <v>A급 식료품 창고 3T</v>
          </cell>
        </row>
        <row r="1829">
          <cell r="A1829">
            <v>70111002</v>
          </cell>
          <cell r="B1829" t="str">
            <v>A급 조미료 창고 3T</v>
          </cell>
        </row>
        <row r="1830">
          <cell r="A1830">
            <v>70111003</v>
          </cell>
          <cell r="B1830" t="str">
            <v>A급 가축 창고 3T</v>
          </cell>
        </row>
        <row r="1831">
          <cell r="A1831">
            <v>70111004</v>
          </cell>
          <cell r="B1831" t="str">
            <v>A급 의약품 창고 3T</v>
          </cell>
        </row>
        <row r="1832">
          <cell r="A1832">
            <v>70111005</v>
          </cell>
          <cell r="B1832" t="str">
            <v>A급 잡화 창고 3T</v>
          </cell>
        </row>
        <row r="1833">
          <cell r="A1833">
            <v>70111006</v>
          </cell>
          <cell r="B1833" t="str">
            <v>A급 주류 창고 3T</v>
          </cell>
        </row>
        <row r="1834">
          <cell r="A1834">
            <v>70111007</v>
          </cell>
          <cell r="B1834" t="str">
            <v>A급 염료 창고 3T</v>
          </cell>
        </row>
        <row r="1835">
          <cell r="A1835">
            <v>70111008</v>
          </cell>
          <cell r="B1835" t="str">
            <v>A급 광석 창고 3T</v>
          </cell>
        </row>
        <row r="1836">
          <cell r="A1836">
            <v>70111009</v>
          </cell>
          <cell r="B1836" t="str">
            <v>A급 공업품 창고 3T</v>
          </cell>
        </row>
        <row r="1837">
          <cell r="A1837">
            <v>70111010</v>
          </cell>
          <cell r="B1837" t="str">
            <v>A급 기호품 창고 3T</v>
          </cell>
        </row>
        <row r="1838">
          <cell r="A1838">
            <v>70111011</v>
          </cell>
          <cell r="B1838" t="str">
            <v>A급 섬유 창고 3T</v>
          </cell>
        </row>
        <row r="1839">
          <cell r="A1839">
            <v>70111012</v>
          </cell>
          <cell r="B1839" t="str">
            <v>A급 직물 창고 3T</v>
          </cell>
        </row>
        <row r="1840">
          <cell r="A1840">
            <v>70111013</v>
          </cell>
          <cell r="B1840" t="str">
            <v>A급 공예품 창고 3T</v>
          </cell>
        </row>
        <row r="1841">
          <cell r="A1841">
            <v>70111014</v>
          </cell>
          <cell r="B1841" t="str">
            <v>A급 미술품 창고 3T</v>
          </cell>
        </row>
        <row r="1842">
          <cell r="A1842">
            <v>70111015</v>
          </cell>
          <cell r="B1842" t="str">
            <v>A급 향신료 창고 3T</v>
          </cell>
        </row>
        <row r="1843">
          <cell r="A1843">
            <v>70111016</v>
          </cell>
          <cell r="B1843" t="str">
            <v>A급 귀금속 창고 3T</v>
          </cell>
        </row>
        <row r="1844">
          <cell r="A1844">
            <v>70111017</v>
          </cell>
          <cell r="B1844" t="str">
            <v>A급 향료 창고 3T</v>
          </cell>
        </row>
        <row r="1845">
          <cell r="A1845">
            <v>70111018</v>
          </cell>
          <cell r="B1845" t="str">
            <v>A급 보석 창고 3T</v>
          </cell>
        </row>
        <row r="1846">
          <cell r="A1846">
            <v>70111019</v>
          </cell>
          <cell r="B1846" t="str">
            <v>A급 무기류 창고 3T</v>
          </cell>
        </row>
        <row r="1847">
          <cell r="A1847">
            <v>70111020</v>
          </cell>
          <cell r="B1847" t="str">
            <v>A급 총포류 창고 3T</v>
          </cell>
        </row>
        <row r="1848">
          <cell r="A1848">
            <v>70111021</v>
          </cell>
          <cell r="B1848" t="str">
            <v>A급 짐창고 3T</v>
          </cell>
        </row>
        <row r="1849">
          <cell r="A1849">
            <v>70111022</v>
          </cell>
          <cell r="B1849" t="str">
            <v>A급 조수실 3T</v>
          </cell>
        </row>
        <row r="1850">
          <cell r="A1850">
            <v>70111023</v>
          </cell>
          <cell r="B1850" t="str">
            <v>A급 선원실 3T</v>
          </cell>
        </row>
        <row r="1851">
          <cell r="A1851">
            <v>70111024</v>
          </cell>
          <cell r="B1851" t="str">
            <v>A급 탄약창고 3T</v>
          </cell>
        </row>
        <row r="1852">
          <cell r="A1852">
            <v>70111025</v>
          </cell>
          <cell r="B1852" t="str">
            <v>A급 무기창고 3T</v>
          </cell>
        </row>
        <row r="1853">
          <cell r="A1853">
            <v>70111026</v>
          </cell>
          <cell r="B1853" t="str">
            <v>A급 휴게실 3T</v>
          </cell>
        </row>
        <row r="1854">
          <cell r="A1854">
            <v>70111027</v>
          </cell>
          <cell r="B1854" t="str">
            <v>A급 연회장 3T</v>
          </cell>
        </row>
        <row r="1855">
          <cell r="A1855">
            <v>70111028</v>
          </cell>
          <cell r="B1855" t="str">
            <v>A급 위장창고 3T</v>
          </cell>
        </row>
        <row r="1856">
          <cell r="A1856">
            <v>70111029</v>
          </cell>
          <cell r="B1856" t="str">
            <v>A급 강화창고 3T</v>
          </cell>
        </row>
        <row r="1857">
          <cell r="A1857">
            <v>70111100</v>
          </cell>
          <cell r="B1857" t="str">
            <v>S급 물자창고 3T</v>
          </cell>
        </row>
        <row r="1858">
          <cell r="A1858">
            <v>70111101</v>
          </cell>
          <cell r="B1858" t="str">
            <v>S급 식료품 창고 3T</v>
          </cell>
        </row>
        <row r="1859">
          <cell r="A1859">
            <v>70111102</v>
          </cell>
          <cell r="B1859" t="str">
            <v>S급 조미료 창고 3T</v>
          </cell>
        </row>
        <row r="1860">
          <cell r="A1860">
            <v>70111103</v>
          </cell>
          <cell r="B1860" t="str">
            <v>S급 가축 창고 3T</v>
          </cell>
        </row>
        <row r="1861">
          <cell r="A1861">
            <v>70111104</v>
          </cell>
          <cell r="B1861" t="str">
            <v>S급 의약품 창고 3T</v>
          </cell>
        </row>
        <row r="1862">
          <cell r="A1862">
            <v>70111105</v>
          </cell>
          <cell r="B1862" t="str">
            <v>S급 잡화 창고 3T</v>
          </cell>
        </row>
        <row r="1863">
          <cell r="A1863">
            <v>70111106</v>
          </cell>
          <cell r="B1863" t="str">
            <v>S급 주류 창고 3T</v>
          </cell>
        </row>
        <row r="1864">
          <cell r="A1864">
            <v>70111107</v>
          </cell>
          <cell r="B1864" t="str">
            <v>S급 염료 창고 3T</v>
          </cell>
        </row>
        <row r="1865">
          <cell r="A1865">
            <v>70111108</v>
          </cell>
          <cell r="B1865" t="str">
            <v>S급 광석 창고 3T</v>
          </cell>
        </row>
        <row r="1866">
          <cell r="A1866">
            <v>70111109</v>
          </cell>
          <cell r="B1866" t="str">
            <v>S급 공업품 창고 3T</v>
          </cell>
        </row>
        <row r="1867">
          <cell r="A1867">
            <v>70111110</v>
          </cell>
          <cell r="B1867" t="str">
            <v>S급 기호품 창고 3T</v>
          </cell>
        </row>
        <row r="1868">
          <cell r="A1868">
            <v>70111111</v>
          </cell>
          <cell r="B1868" t="str">
            <v>S급 섬유 창고 3T</v>
          </cell>
        </row>
        <row r="1869">
          <cell r="A1869">
            <v>70111112</v>
          </cell>
          <cell r="B1869" t="str">
            <v>S급 직물 창고 3T</v>
          </cell>
        </row>
        <row r="1870">
          <cell r="A1870">
            <v>70111113</v>
          </cell>
          <cell r="B1870" t="str">
            <v>S급 공예품 창고 3T</v>
          </cell>
        </row>
        <row r="1871">
          <cell r="A1871">
            <v>70111114</v>
          </cell>
          <cell r="B1871" t="str">
            <v>S급 미술품 창고 3T</v>
          </cell>
        </row>
        <row r="1872">
          <cell r="A1872">
            <v>70111115</v>
          </cell>
          <cell r="B1872" t="str">
            <v>S급 향신료 창고 3T</v>
          </cell>
        </row>
        <row r="1873">
          <cell r="A1873">
            <v>70111116</v>
          </cell>
          <cell r="B1873" t="str">
            <v>S급 귀금속 창고 3T</v>
          </cell>
        </row>
        <row r="1874">
          <cell r="A1874">
            <v>70111117</v>
          </cell>
          <cell r="B1874" t="str">
            <v>S급 향료 창고 3T</v>
          </cell>
        </row>
        <row r="1875">
          <cell r="A1875">
            <v>70111118</v>
          </cell>
          <cell r="B1875" t="str">
            <v>S급 보석 창고 3T</v>
          </cell>
        </row>
        <row r="1876">
          <cell r="A1876">
            <v>70111119</v>
          </cell>
          <cell r="B1876" t="str">
            <v>S급 무기류 창고 3T</v>
          </cell>
        </row>
        <row r="1877">
          <cell r="A1877">
            <v>70111120</v>
          </cell>
          <cell r="B1877" t="str">
            <v>S급 총포류 창고 3T</v>
          </cell>
        </row>
        <row r="1878">
          <cell r="A1878">
            <v>70111121</v>
          </cell>
          <cell r="B1878" t="str">
            <v>S급 짐창고 3T</v>
          </cell>
        </row>
        <row r="1879">
          <cell r="A1879">
            <v>70111122</v>
          </cell>
          <cell r="B1879" t="str">
            <v>S급 조수실 3T</v>
          </cell>
        </row>
        <row r="1880">
          <cell r="A1880">
            <v>70111123</v>
          </cell>
          <cell r="B1880" t="str">
            <v>S급 선원실 3T</v>
          </cell>
        </row>
        <row r="1881">
          <cell r="A1881">
            <v>70111124</v>
          </cell>
          <cell r="B1881" t="str">
            <v>S급 탄약창고 3T</v>
          </cell>
        </row>
        <row r="1882">
          <cell r="A1882">
            <v>70111125</v>
          </cell>
          <cell r="B1882" t="str">
            <v>S급 무기창고 3T</v>
          </cell>
        </row>
        <row r="1883">
          <cell r="A1883">
            <v>70111126</v>
          </cell>
          <cell r="B1883" t="str">
            <v>S급 휴게실 3T</v>
          </cell>
        </row>
        <row r="1884">
          <cell r="A1884">
            <v>70111127</v>
          </cell>
          <cell r="B1884" t="str">
            <v>S급 연회장 3T</v>
          </cell>
        </row>
        <row r="1885">
          <cell r="A1885">
            <v>70111128</v>
          </cell>
          <cell r="B1885" t="str">
            <v>S급 위장창고 3T</v>
          </cell>
        </row>
        <row r="1886">
          <cell r="A1886">
            <v>70111129</v>
          </cell>
          <cell r="B1886" t="str">
            <v>S급 강화창고 3T</v>
          </cell>
        </row>
        <row r="1887">
          <cell r="A1887">
            <v>70111200</v>
          </cell>
          <cell r="B1887" t="str">
            <v>C급 물자창고 4T</v>
          </cell>
        </row>
        <row r="1888">
          <cell r="A1888">
            <v>70111201</v>
          </cell>
          <cell r="B1888" t="str">
            <v>C급 식료품 창고 4T</v>
          </cell>
        </row>
        <row r="1889">
          <cell r="A1889">
            <v>70111202</v>
          </cell>
          <cell r="B1889" t="str">
            <v>C급 조미료 창고 4T</v>
          </cell>
        </row>
        <row r="1890">
          <cell r="A1890">
            <v>70111203</v>
          </cell>
          <cell r="B1890" t="str">
            <v>C급 가축 창고 4T</v>
          </cell>
        </row>
        <row r="1891">
          <cell r="A1891">
            <v>70111204</v>
          </cell>
          <cell r="B1891" t="str">
            <v>C급 의약품 창고 4T</v>
          </cell>
        </row>
        <row r="1892">
          <cell r="A1892">
            <v>70111205</v>
          </cell>
          <cell r="B1892" t="str">
            <v>C급 잡화 창고 4T</v>
          </cell>
        </row>
        <row r="1893">
          <cell r="A1893">
            <v>70111206</v>
          </cell>
          <cell r="B1893" t="str">
            <v>C급 주류 창고 4T</v>
          </cell>
        </row>
        <row r="1894">
          <cell r="A1894">
            <v>70111207</v>
          </cell>
          <cell r="B1894" t="str">
            <v>C급 염료 창고 4T</v>
          </cell>
        </row>
        <row r="1895">
          <cell r="A1895">
            <v>70111208</v>
          </cell>
          <cell r="B1895" t="str">
            <v>C급 광석 창고 4T</v>
          </cell>
        </row>
        <row r="1896">
          <cell r="A1896">
            <v>70111209</v>
          </cell>
          <cell r="B1896" t="str">
            <v>C급 공업품 창고 4T</v>
          </cell>
        </row>
        <row r="1897">
          <cell r="A1897">
            <v>70111210</v>
          </cell>
          <cell r="B1897" t="str">
            <v>C급 기호품 창고 4T</v>
          </cell>
        </row>
        <row r="1898">
          <cell r="A1898">
            <v>70111211</v>
          </cell>
          <cell r="B1898" t="str">
            <v>C급 섬유 창고 4T</v>
          </cell>
        </row>
        <row r="1899">
          <cell r="A1899">
            <v>70111212</v>
          </cell>
          <cell r="B1899" t="str">
            <v>C급 직물 창고 4T</v>
          </cell>
        </row>
        <row r="1900">
          <cell r="A1900">
            <v>70111213</v>
          </cell>
          <cell r="B1900" t="str">
            <v>C급 공예품 창고 4T</v>
          </cell>
        </row>
        <row r="1901">
          <cell r="A1901">
            <v>70111214</v>
          </cell>
          <cell r="B1901" t="str">
            <v>C급 미술품 창고 4T</v>
          </cell>
        </row>
        <row r="1902">
          <cell r="A1902">
            <v>70111215</v>
          </cell>
          <cell r="B1902" t="str">
            <v>C급 향신료 창고 4T</v>
          </cell>
        </row>
        <row r="1903">
          <cell r="A1903">
            <v>70111216</v>
          </cell>
          <cell r="B1903" t="str">
            <v>C급 귀금속 창고 4T</v>
          </cell>
        </row>
        <row r="1904">
          <cell r="A1904">
            <v>70111217</v>
          </cell>
          <cell r="B1904" t="str">
            <v>C급 향료 창고 4T</v>
          </cell>
        </row>
        <row r="1905">
          <cell r="A1905">
            <v>70111218</v>
          </cell>
          <cell r="B1905" t="str">
            <v>C급 보석 창고 4T</v>
          </cell>
        </row>
        <row r="1906">
          <cell r="A1906">
            <v>70111219</v>
          </cell>
          <cell r="B1906" t="str">
            <v>C급 무기류 창고 4T</v>
          </cell>
        </row>
        <row r="1907">
          <cell r="A1907">
            <v>70111220</v>
          </cell>
          <cell r="B1907" t="str">
            <v>C급 총포류 창고 4T</v>
          </cell>
        </row>
        <row r="1908">
          <cell r="A1908">
            <v>70111221</v>
          </cell>
          <cell r="B1908" t="str">
            <v>C급 짐창고 4T</v>
          </cell>
        </row>
        <row r="1909">
          <cell r="A1909">
            <v>70111222</v>
          </cell>
          <cell r="B1909" t="str">
            <v>C급 조수실 4T</v>
          </cell>
        </row>
        <row r="1910">
          <cell r="A1910">
            <v>70111223</v>
          </cell>
          <cell r="B1910" t="str">
            <v>C급 선원실 4T</v>
          </cell>
        </row>
        <row r="1911">
          <cell r="A1911">
            <v>70111224</v>
          </cell>
          <cell r="B1911" t="str">
            <v>C급 탄약창고 4T</v>
          </cell>
        </row>
        <row r="1912">
          <cell r="A1912">
            <v>70111225</v>
          </cell>
          <cell r="B1912" t="str">
            <v>C급 무기창고 4T</v>
          </cell>
        </row>
        <row r="1913">
          <cell r="A1913">
            <v>70111226</v>
          </cell>
          <cell r="B1913" t="str">
            <v>C급 휴게실 4T</v>
          </cell>
        </row>
        <row r="1914">
          <cell r="A1914">
            <v>70111227</v>
          </cell>
          <cell r="B1914" t="str">
            <v>C급 연회장 4T</v>
          </cell>
        </row>
        <row r="1915">
          <cell r="A1915">
            <v>70111228</v>
          </cell>
          <cell r="B1915" t="str">
            <v>C급 위장창고 4T</v>
          </cell>
        </row>
        <row r="1916">
          <cell r="A1916">
            <v>70111229</v>
          </cell>
          <cell r="B1916" t="str">
            <v>C급 강화창고 4T</v>
          </cell>
        </row>
        <row r="1917">
          <cell r="A1917">
            <v>70111300</v>
          </cell>
          <cell r="B1917" t="str">
            <v>B급 물자창고 4T</v>
          </cell>
        </row>
        <row r="1918">
          <cell r="A1918">
            <v>70111301</v>
          </cell>
          <cell r="B1918" t="str">
            <v>B급 식료품 창고 4T</v>
          </cell>
        </row>
        <row r="1919">
          <cell r="A1919">
            <v>70111302</v>
          </cell>
          <cell r="B1919" t="str">
            <v>B급 조미료 창고 4T</v>
          </cell>
        </row>
        <row r="1920">
          <cell r="A1920">
            <v>70111303</v>
          </cell>
          <cell r="B1920" t="str">
            <v>B급 가축 창고 4T</v>
          </cell>
        </row>
        <row r="1921">
          <cell r="A1921">
            <v>70111304</v>
          </cell>
          <cell r="B1921" t="str">
            <v>B급 의약품 창고 4T</v>
          </cell>
        </row>
        <row r="1922">
          <cell r="A1922">
            <v>70111305</v>
          </cell>
          <cell r="B1922" t="str">
            <v>B급 잡화 창고 4T</v>
          </cell>
        </row>
        <row r="1923">
          <cell r="A1923">
            <v>70111306</v>
          </cell>
          <cell r="B1923" t="str">
            <v>B급 주류 창고 4T</v>
          </cell>
        </row>
        <row r="1924">
          <cell r="A1924">
            <v>70111307</v>
          </cell>
          <cell r="B1924" t="str">
            <v>B급 염료 창고 4T</v>
          </cell>
        </row>
        <row r="1925">
          <cell r="A1925">
            <v>70111308</v>
          </cell>
          <cell r="B1925" t="str">
            <v>B급 광석 창고 4T</v>
          </cell>
        </row>
        <row r="1926">
          <cell r="A1926">
            <v>70111309</v>
          </cell>
          <cell r="B1926" t="str">
            <v>B급 공업품 창고 4T</v>
          </cell>
        </row>
        <row r="1927">
          <cell r="A1927">
            <v>70111310</v>
          </cell>
          <cell r="B1927" t="str">
            <v>B급 기호품 창고 4T</v>
          </cell>
        </row>
        <row r="1928">
          <cell r="A1928">
            <v>70111311</v>
          </cell>
          <cell r="B1928" t="str">
            <v>B급 섬유 창고 4T</v>
          </cell>
        </row>
        <row r="1929">
          <cell r="A1929">
            <v>70111312</v>
          </cell>
          <cell r="B1929" t="str">
            <v>B급 직물 창고 4T</v>
          </cell>
        </row>
        <row r="1930">
          <cell r="A1930">
            <v>70111313</v>
          </cell>
          <cell r="B1930" t="str">
            <v>B급 공예품 창고 4T</v>
          </cell>
        </row>
        <row r="1931">
          <cell r="A1931">
            <v>70111314</v>
          </cell>
          <cell r="B1931" t="str">
            <v>B급 미술품 창고 4T</v>
          </cell>
        </row>
        <row r="1932">
          <cell r="A1932">
            <v>70111315</v>
          </cell>
          <cell r="B1932" t="str">
            <v>B급 향신료 창고 4T</v>
          </cell>
        </row>
        <row r="1933">
          <cell r="A1933">
            <v>70111316</v>
          </cell>
          <cell r="B1933" t="str">
            <v>B급 귀금속 창고 4T</v>
          </cell>
        </row>
        <row r="1934">
          <cell r="A1934">
            <v>70111317</v>
          </cell>
          <cell r="B1934" t="str">
            <v>B급 향료 창고 4T</v>
          </cell>
        </row>
        <row r="1935">
          <cell r="A1935">
            <v>70111318</v>
          </cell>
          <cell r="B1935" t="str">
            <v>B급 보석 창고 4T</v>
          </cell>
        </row>
        <row r="1936">
          <cell r="A1936">
            <v>70111319</v>
          </cell>
          <cell r="B1936" t="str">
            <v>B급 무기류 창고 4T</v>
          </cell>
        </row>
        <row r="1937">
          <cell r="A1937">
            <v>70111320</v>
          </cell>
          <cell r="B1937" t="str">
            <v>B급 총포류 창고 4T</v>
          </cell>
        </row>
        <row r="1938">
          <cell r="A1938">
            <v>70111321</v>
          </cell>
          <cell r="B1938" t="str">
            <v>B급 짐창고 4T</v>
          </cell>
        </row>
        <row r="1939">
          <cell r="A1939">
            <v>70111322</v>
          </cell>
          <cell r="B1939" t="str">
            <v>B급 조수실 4T</v>
          </cell>
        </row>
        <row r="1940">
          <cell r="A1940">
            <v>70111323</v>
          </cell>
          <cell r="B1940" t="str">
            <v>B급 선원실 4T</v>
          </cell>
        </row>
        <row r="1941">
          <cell r="A1941">
            <v>70111324</v>
          </cell>
          <cell r="B1941" t="str">
            <v>B급 탄약창고 4T</v>
          </cell>
        </row>
        <row r="1942">
          <cell r="A1942">
            <v>70111325</v>
          </cell>
          <cell r="B1942" t="str">
            <v>B급 무기창고 4T</v>
          </cell>
        </row>
        <row r="1943">
          <cell r="A1943">
            <v>70111326</v>
          </cell>
          <cell r="B1943" t="str">
            <v>B급 휴게실 4T</v>
          </cell>
        </row>
        <row r="1944">
          <cell r="A1944">
            <v>70111327</v>
          </cell>
          <cell r="B1944" t="str">
            <v>B급 연회장 4T</v>
          </cell>
        </row>
        <row r="1945">
          <cell r="A1945">
            <v>70111328</v>
          </cell>
          <cell r="B1945" t="str">
            <v>B급 위장창고 4T</v>
          </cell>
        </row>
        <row r="1946">
          <cell r="A1946">
            <v>70111329</v>
          </cell>
          <cell r="B1946" t="str">
            <v>B급 강화창고 4T</v>
          </cell>
        </row>
        <row r="1947">
          <cell r="A1947">
            <v>70111400</v>
          </cell>
          <cell r="B1947" t="str">
            <v>A급 물자창고 4T</v>
          </cell>
        </row>
        <row r="1948">
          <cell r="A1948">
            <v>70111401</v>
          </cell>
          <cell r="B1948" t="str">
            <v>A급 식료품 창고 4T</v>
          </cell>
        </row>
        <row r="1949">
          <cell r="A1949">
            <v>70111402</v>
          </cell>
          <cell r="B1949" t="str">
            <v>A급 조미료 창고 4T</v>
          </cell>
        </row>
        <row r="1950">
          <cell r="A1950">
            <v>70111403</v>
          </cell>
          <cell r="B1950" t="str">
            <v>A급 가축 창고 4T</v>
          </cell>
        </row>
        <row r="1951">
          <cell r="A1951">
            <v>70111404</v>
          </cell>
          <cell r="B1951" t="str">
            <v>A급 의약품 창고 4T</v>
          </cell>
        </row>
        <row r="1952">
          <cell r="A1952">
            <v>70111405</v>
          </cell>
          <cell r="B1952" t="str">
            <v>A급 잡화 창고 4T</v>
          </cell>
        </row>
        <row r="1953">
          <cell r="A1953">
            <v>70111406</v>
          </cell>
          <cell r="B1953" t="str">
            <v>A급 주류 창고 4T</v>
          </cell>
        </row>
        <row r="1954">
          <cell r="A1954">
            <v>70111407</v>
          </cell>
          <cell r="B1954" t="str">
            <v>A급 염료 창고 4T</v>
          </cell>
        </row>
        <row r="1955">
          <cell r="A1955">
            <v>70111408</v>
          </cell>
          <cell r="B1955" t="str">
            <v>A급 광석 창고 4T</v>
          </cell>
        </row>
        <row r="1956">
          <cell r="A1956">
            <v>70111409</v>
          </cell>
          <cell r="B1956" t="str">
            <v>A급 공업품 창고 4T</v>
          </cell>
        </row>
        <row r="1957">
          <cell r="A1957">
            <v>70111410</v>
          </cell>
          <cell r="B1957" t="str">
            <v>A급 기호품 창고 4T</v>
          </cell>
        </row>
        <row r="1958">
          <cell r="A1958">
            <v>70111411</v>
          </cell>
          <cell r="B1958" t="str">
            <v>A급 섬유 창고 4T</v>
          </cell>
        </row>
        <row r="1959">
          <cell r="A1959">
            <v>70111412</v>
          </cell>
          <cell r="B1959" t="str">
            <v>A급 직물 창고 4T</v>
          </cell>
        </row>
        <row r="1960">
          <cell r="A1960">
            <v>70111413</v>
          </cell>
          <cell r="B1960" t="str">
            <v>A급 공예품 창고 4T</v>
          </cell>
        </row>
        <row r="1961">
          <cell r="A1961">
            <v>70111414</v>
          </cell>
          <cell r="B1961" t="str">
            <v>A급 미술품 창고 4T</v>
          </cell>
        </row>
        <row r="1962">
          <cell r="A1962">
            <v>70111415</v>
          </cell>
          <cell r="B1962" t="str">
            <v>A급 향신료 창고 4T</v>
          </cell>
        </row>
        <row r="1963">
          <cell r="A1963">
            <v>70111416</v>
          </cell>
          <cell r="B1963" t="str">
            <v>A급 귀금속 창고 4T</v>
          </cell>
        </row>
        <row r="1964">
          <cell r="A1964">
            <v>70111417</v>
          </cell>
          <cell r="B1964" t="str">
            <v>A급 향료 창고 4T</v>
          </cell>
        </row>
        <row r="1965">
          <cell r="A1965">
            <v>70111418</v>
          </cell>
          <cell r="B1965" t="str">
            <v>A급 보석 창고 4T</v>
          </cell>
        </row>
        <row r="1966">
          <cell r="A1966">
            <v>70111419</v>
          </cell>
          <cell r="B1966" t="str">
            <v>A급 무기류 창고 4T</v>
          </cell>
        </row>
        <row r="1967">
          <cell r="A1967">
            <v>70111420</v>
          </cell>
          <cell r="B1967" t="str">
            <v>A급 총포류 창고 4T</v>
          </cell>
        </row>
        <row r="1968">
          <cell r="A1968">
            <v>70111421</v>
          </cell>
          <cell r="B1968" t="str">
            <v>A급 짐창고 4T</v>
          </cell>
        </row>
        <row r="1969">
          <cell r="A1969">
            <v>70111422</v>
          </cell>
          <cell r="B1969" t="str">
            <v>A급 조수실 4T</v>
          </cell>
        </row>
        <row r="1970">
          <cell r="A1970">
            <v>70111423</v>
          </cell>
          <cell r="B1970" t="str">
            <v>A급 선원실 4T</v>
          </cell>
        </row>
        <row r="1971">
          <cell r="A1971">
            <v>70111424</v>
          </cell>
          <cell r="B1971" t="str">
            <v>A급 탄약창고 4T</v>
          </cell>
        </row>
        <row r="1972">
          <cell r="A1972">
            <v>70111425</v>
          </cell>
          <cell r="B1972" t="str">
            <v>A급 무기창고 4T</v>
          </cell>
        </row>
        <row r="1973">
          <cell r="A1973">
            <v>70111426</v>
          </cell>
          <cell r="B1973" t="str">
            <v>A급 휴게실 4T</v>
          </cell>
        </row>
        <row r="1974">
          <cell r="A1974">
            <v>70111427</v>
          </cell>
          <cell r="B1974" t="str">
            <v>A급 연회장 4T</v>
          </cell>
        </row>
        <row r="1975">
          <cell r="A1975">
            <v>70111428</v>
          </cell>
          <cell r="B1975" t="str">
            <v>A급 위장창고 4T</v>
          </cell>
        </row>
        <row r="1976">
          <cell r="A1976">
            <v>70111429</v>
          </cell>
          <cell r="B1976" t="str">
            <v>A급 강화창고 4T</v>
          </cell>
        </row>
        <row r="1977">
          <cell r="A1977">
            <v>70111500</v>
          </cell>
          <cell r="B1977" t="str">
            <v>S급 물자창고 4T</v>
          </cell>
        </row>
        <row r="1978">
          <cell r="A1978">
            <v>70111501</v>
          </cell>
          <cell r="B1978" t="str">
            <v>S급 식료품 창고 4T</v>
          </cell>
        </row>
        <row r="1979">
          <cell r="A1979">
            <v>70111502</v>
          </cell>
          <cell r="B1979" t="str">
            <v>S급 조미료 창고 4T</v>
          </cell>
        </row>
        <row r="1980">
          <cell r="A1980">
            <v>70111503</v>
          </cell>
          <cell r="B1980" t="str">
            <v>S급 가축 창고 4T</v>
          </cell>
        </row>
        <row r="1981">
          <cell r="A1981">
            <v>70111504</v>
          </cell>
          <cell r="B1981" t="str">
            <v>S급 의약품 창고 4T</v>
          </cell>
        </row>
        <row r="1982">
          <cell r="A1982">
            <v>70111505</v>
          </cell>
          <cell r="B1982" t="str">
            <v>S급 잡화 창고 4T</v>
          </cell>
        </row>
        <row r="1983">
          <cell r="A1983">
            <v>70111506</v>
          </cell>
          <cell r="B1983" t="str">
            <v>S급 주류 창고 4T</v>
          </cell>
        </row>
        <row r="1984">
          <cell r="A1984">
            <v>70111507</v>
          </cell>
          <cell r="B1984" t="str">
            <v>S급 염료 창고 4T</v>
          </cell>
        </row>
        <row r="1985">
          <cell r="A1985">
            <v>70111508</v>
          </cell>
          <cell r="B1985" t="str">
            <v>S급 광석 창고 4T</v>
          </cell>
        </row>
        <row r="1986">
          <cell r="A1986">
            <v>70111509</v>
          </cell>
          <cell r="B1986" t="str">
            <v>S급 공업품 창고 4T</v>
          </cell>
        </row>
        <row r="1987">
          <cell r="A1987">
            <v>70111510</v>
          </cell>
          <cell r="B1987" t="str">
            <v>S급 기호품 창고 4T</v>
          </cell>
        </row>
        <row r="1988">
          <cell r="A1988">
            <v>70111511</v>
          </cell>
          <cell r="B1988" t="str">
            <v>S급 섬유 창고 4T</v>
          </cell>
        </row>
        <row r="1989">
          <cell r="A1989">
            <v>70111512</v>
          </cell>
          <cell r="B1989" t="str">
            <v>S급 직물 창고 4T</v>
          </cell>
        </row>
        <row r="1990">
          <cell r="A1990">
            <v>70111513</v>
          </cell>
          <cell r="B1990" t="str">
            <v>S급 공예품 창고 4T</v>
          </cell>
        </row>
        <row r="1991">
          <cell r="A1991">
            <v>70111514</v>
          </cell>
          <cell r="B1991" t="str">
            <v>S급 미술품 창고 4T</v>
          </cell>
        </row>
        <row r="1992">
          <cell r="A1992">
            <v>70111515</v>
          </cell>
          <cell r="B1992" t="str">
            <v>S급 향신료 창고 4T</v>
          </cell>
        </row>
        <row r="1993">
          <cell r="A1993">
            <v>70111516</v>
          </cell>
          <cell r="B1993" t="str">
            <v>S급 귀금속 창고 4T</v>
          </cell>
        </row>
        <row r="1994">
          <cell r="A1994">
            <v>70111517</v>
          </cell>
          <cell r="B1994" t="str">
            <v>S급 향료 창고 4T</v>
          </cell>
        </row>
        <row r="1995">
          <cell r="A1995">
            <v>70111518</v>
          </cell>
          <cell r="B1995" t="str">
            <v>S급 보석 창고 4T</v>
          </cell>
        </row>
        <row r="1996">
          <cell r="A1996">
            <v>70111519</v>
          </cell>
          <cell r="B1996" t="str">
            <v>S급 무기류 창고 4T</v>
          </cell>
        </row>
        <row r="1997">
          <cell r="A1997">
            <v>70111520</v>
          </cell>
          <cell r="B1997" t="str">
            <v>S급 총포류 창고 4T</v>
          </cell>
        </row>
        <row r="1998">
          <cell r="A1998">
            <v>70111521</v>
          </cell>
          <cell r="B1998" t="str">
            <v>S급 짐창고 4T</v>
          </cell>
        </row>
        <row r="1999">
          <cell r="A1999">
            <v>70111522</v>
          </cell>
          <cell r="B1999" t="str">
            <v>S급 조수실 4T</v>
          </cell>
        </row>
        <row r="2000">
          <cell r="A2000">
            <v>70111523</v>
          </cell>
          <cell r="B2000" t="str">
            <v>S급 선원실 4T</v>
          </cell>
        </row>
        <row r="2001">
          <cell r="A2001">
            <v>70111524</v>
          </cell>
          <cell r="B2001" t="str">
            <v>S급 탄약창고 4T</v>
          </cell>
        </row>
        <row r="2002">
          <cell r="A2002">
            <v>70111525</v>
          </cell>
          <cell r="B2002" t="str">
            <v>S급 무기창고 4T</v>
          </cell>
        </row>
        <row r="2003">
          <cell r="A2003">
            <v>70111526</v>
          </cell>
          <cell r="B2003" t="str">
            <v>S급 휴게실 4T</v>
          </cell>
        </row>
        <row r="2004">
          <cell r="A2004">
            <v>70111527</v>
          </cell>
          <cell r="B2004" t="str">
            <v>S급 연회장 4T</v>
          </cell>
        </row>
        <row r="2005">
          <cell r="A2005">
            <v>70111528</v>
          </cell>
          <cell r="B2005" t="str">
            <v>S급 위장창고 4T</v>
          </cell>
        </row>
        <row r="2006">
          <cell r="A2006">
            <v>70111529</v>
          </cell>
          <cell r="B2006" t="str">
            <v>S급 강화창고 4T</v>
          </cell>
        </row>
        <row r="2007">
          <cell r="A2007">
            <v>70111600</v>
          </cell>
          <cell r="B2007" t="str">
            <v>C급 중형 물자창고 5T</v>
          </cell>
        </row>
        <row r="2008">
          <cell r="A2008">
            <v>70111601</v>
          </cell>
          <cell r="B2008" t="str">
            <v>C급 중형 식료품 창고 5T</v>
          </cell>
        </row>
        <row r="2009">
          <cell r="A2009">
            <v>70111602</v>
          </cell>
          <cell r="B2009" t="str">
            <v>C급 중형 조미료 창고 5T</v>
          </cell>
        </row>
        <row r="2010">
          <cell r="A2010">
            <v>70111603</v>
          </cell>
          <cell r="B2010" t="str">
            <v>C급 중형 가축 창고 5T</v>
          </cell>
        </row>
        <row r="2011">
          <cell r="A2011">
            <v>70111604</v>
          </cell>
          <cell r="B2011" t="str">
            <v>C급 중형 의약품 창고 5T</v>
          </cell>
        </row>
        <row r="2012">
          <cell r="A2012">
            <v>70111605</v>
          </cell>
          <cell r="B2012" t="str">
            <v>C급 중형 잡화 창고 5T</v>
          </cell>
        </row>
        <row r="2013">
          <cell r="A2013">
            <v>70111606</v>
          </cell>
          <cell r="B2013" t="str">
            <v>C급 중형 주류 창고 5T</v>
          </cell>
        </row>
        <row r="2014">
          <cell r="A2014">
            <v>70111607</v>
          </cell>
          <cell r="B2014" t="str">
            <v>C급 중형 염료 창고 5T</v>
          </cell>
        </row>
        <row r="2015">
          <cell r="A2015">
            <v>70111608</v>
          </cell>
          <cell r="B2015" t="str">
            <v>C급 중형 광석 창고 5T</v>
          </cell>
        </row>
        <row r="2016">
          <cell r="A2016">
            <v>70111609</v>
          </cell>
          <cell r="B2016" t="str">
            <v>C급 중형 공업품 창고 5T</v>
          </cell>
        </row>
        <row r="2017">
          <cell r="A2017">
            <v>70111610</v>
          </cell>
          <cell r="B2017" t="str">
            <v>C급 중형 기호품 창고 5T</v>
          </cell>
        </row>
        <row r="2018">
          <cell r="A2018">
            <v>70111611</v>
          </cell>
          <cell r="B2018" t="str">
            <v>C급 중형 섬유 창고 5T</v>
          </cell>
        </row>
        <row r="2019">
          <cell r="A2019">
            <v>70111612</v>
          </cell>
          <cell r="B2019" t="str">
            <v>C급 중형 직물 창고 5T</v>
          </cell>
        </row>
        <row r="2020">
          <cell r="A2020">
            <v>70111613</v>
          </cell>
          <cell r="B2020" t="str">
            <v>C급 중형 공예품 창고 5T</v>
          </cell>
        </row>
        <row r="2021">
          <cell r="A2021">
            <v>70111614</v>
          </cell>
          <cell r="B2021" t="str">
            <v>C급 중형 미술품 창고 5T</v>
          </cell>
        </row>
        <row r="2022">
          <cell r="A2022">
            <v>70111615</v>
          </cell>
          <cell r="B2022" t="str">
            <v>C급 중형 향신료 창고 5T</v>
          </cell>
        </row>
        <row r="2023">
          <cell r="A2023">
            <v>70111616</v>
          </cell>
          <cell r="B2023" t="str">
            <v>C급 중형 귀금속 창고 5T</v>
          </cell>
        </row>
        <row r="2024">
          <cell r="A2024">
            <v>70111617</v>
          </cell>
          <cell r="B2024" t="str">
            <v>C급 중형 향료 창고 5T</v>
          </cell>
        </row>
        <row r="2025">
          <cell r="A2025">
            <v>70111618</v>
          </cell>
          <cell r="B2025" t="str">
            <v>C급 중형 보석 창고 5T</v>
          </cell>
        </row>
        <row r="2026">
          <cell r="A2026">
            <v>70111619</v>
          </cell>
          <cell r="B2026" t="str">
            <v>C급 중형 무기류 창고 5T</v>
          </cell>
        </row>
        <row r="2027">
          <cell r="A2027">
            <v>70111620</v>
          </cell>
          <cell r="B2027" t="str">
            <v>C급 중형 총포류 창고 5T</v>
          </cell>
        </row>
        <row r="2028">
          <cell r="A2028">
            <v>70111621</v>
          </cell>
          <cell r="B2028" t="str">
            <v>C급 중형 짐창고 5T</v>
          </cell>
        </row>
        <row r="2029">
          <cell r="A2029">
            <v>70111622</v>
          </cell>
          <cell r="B2029" t="str">
            <v>C급 중형 조수실 5T</v>
          </cell>
        </row>
        <row r="2030">
          <cell r="A2030">
            <v>70111623</v>
          </cell>
          <cell r="B2030" t="str">
            <v>C급 중형 선원실 5T</v>
          </cell>
        </row>
        <row r="2031">
          <cell r="A2031">
            <v>70111624</v>
          </cell>
          <cell r="B2031" t="str">
            <v>C급 중형 탄약창고 5T</v>
          </cell>
        </row>
        <row r="2032">
          <cell r="A2032">
            <v>70111625</v>
          </cell>
          <cell r="B2032" t="str">
            <v>C급 중형 무기창고 5T</v>
          </cell>
        </row>
        <row r="2033">
          <cell r="A2033">
            <v>70111626</v>
          </cell>
          <cell r="B2033" t="str">
            <v>C급 중형 휴게실 5T</v>
          </cell>
        </row>
        <row r="2034">
          <cell r="A2034">
            <v>70111627</v>
          </cell>
          <cell r="B2034" t="str">
            <v>C급 중형 연회장 5T</v>
          </cell>
        </row>
        <row r="2035">
          <cell r="A2035">
            <v>70111628</v>
          </cell>
          <cell r="B2035" t="str">
            <v>C급 중형 위장창고 5T</v>
          </cell>
        </row>
        <row r="2036">
          <cell r="A2036">
            <v>70111629</v>
          </cell>
          <cell r="B2036" t="str">
            <v>C급 중형 강화창고 5T</v>
          </cell>
        </row>
        <row r="2037">
          <cell r="A2037">
            <v>70111700</v>
          </cell>
          <cell r="B2037" t="str">
            <v>B급 중형 물자창고 5T</v>
          </cell>
        </row>
        <row r="2038">
          <cell r="A2038">
            <v>70111701</v>
          </cell>
          <cell r="B2038" t="str">
            <v>B급 중형 식료품 창고 5T</v>
          </cell>
        </row>
        <row r="2039">
          <cell r="A2039">
            <v>70111702</v>
          </cell>
          <cell r="B2039" t="str">
            <v>B급 중형 조미료 창고 5T</v>
          </cell>
        </row>
        <row r="2040">
          <cell r="A2040">
            <v>70111703</v>
          </cell>
          <cell r="B2040" t="str">
            <v>B급 중형 가축 창고 5T</v>
          </cell>
        </row>
        <row r="2041">
          <cell r="A2041">
            <v>70111704</v>
          </cell>
          <cell r="B2041" t="str">
            <v>B급 중형 의약품 창고 5T</v>
          </cell>
        </row>
        <row r="2042">
          <cell r="A2042">
            <v>70111705</v>
          </cell>
          <cell r="B2042" t="str">
            <v>B급 중형 잡화 창고 5T</v>
          </cell>
        </row>
        <row r="2043">
          <cell r="A2043">
            <v>70111706</v>
          </cell>
          <cell r="B2043" t="str">
            <v>B급 중형 주류 창고 5T</v>
          </cell>
        </row>
        <row r="2044">
          <cell r="A2044">
            <v>70111707</v>
          </cell>
          <cell r="B2044" t="str">
            <v>B급 중형 염료 창고 5T</v>
          </cell>
        </row>
        <row r="2045">
          <cell r="A2045">
            <v>70111708</v>
          </cell>
          <cell r="B2045" t="str">
            <v>B급 중형 광석 창고 5T</v>
          </cell>
        </row>
        <row r="2046">
          <cell r="A2046">
            <v>70111709</v>
          </cell>
          <cell r="B2046" t="str">
            <v>B급 중형 공업품 창고 5T</v>
          </cell>
        </row>
        <row r="2047">
          <cell r="A2047">
            <v>70111710</v>
          </cell>
          <cell r="B2047" t="str">
            <v>B급 중형 기호품 창고 5T</v>
          </cell>
        </row>
        <row r="2048">
          <cell r="A2048">
            <v>70111711</v>
          </cell>
          <cell r="B2048" t="str">
            <v>B급 중형 섬유 창고 5T</v>
          </cell>
        </row>
        <row r="2049">
          <cell r="A2049">
            <v>70111712</v>
          </cell>
          <cell r="B2049" t="str">
            <v>B급 중형 직물 창고 5T</v>
          </cell>
        </row>
        <row r="2050">
          <cell r="A2050">
            <v>70111713</v>
          </cell>
          <cell r="B2050" t="str">
            <v>B급 중형 공예품 창고 5T</v>
          </cell>
        </row>
        <row r="2051">
          <cell r="A2051">
            <v>70111714</v>
          </cell>
          <cell r="B2051" t="str">
            <v>B급 중형 미술품 창고 5T</v>
          </cell>
        </row>
        <row r="2052">
          <cell r="A2052">
            <v>70111715</v>
          </cell>
          <cell r="B2052" t="str">
            <v>B급 중형 향신료 창고 5T</v>
          </cell>
        </row>
        <row r="2053">
          <cell r="A2053">
            <v>70111716</v>
          </cell>
          <cell r="B2053" t="str">
            <v>B급 중형 귀금속 창고 5T</v>
          </cell>
        </row>
        <row r="2054">
          <cell r="A2054">
            <v>70111717</v>
          </cell>
          <cell r="B2054" t="str">
            <v>B급 중형 향료 창고 5T</v>
          </cell>
        </row>
        <row r="2055">
          <cell r="A2055">
            <v>70111718</v>
          </cell>
          <cell r="B2055" t="str">
            <v>B급 중형 보석 창고 5T</v>
          </cell>
        </row>
        <row r="2056">
          <cell r="A2056">
            <v>70111719</v>
          </cell>
          <cell r="B2056" t="str">
            <v>B급 중형 무기류 창고 5T</v>
          </cell>
        </row>
        <row r="2057">
          <cell r="A2057">
            <v>70111720</v>
          </cell>
          <cell r="B2057" t="str">
            <v>B급 중형 총포류 창고 5T</v>
          </cell>
        </row>
        <row r="2058">
          <cell r="A2058">
            <v>70111721</v>
          </cell>
          <cell r="B2058" t="str">
            <v>B급 중형 짐창고 5T</v>
          </cell>
        </row>
        <row r="2059">
          <cell r="A2059">
            <v>70111722</v>
          </cell>
          <cell r="B2059" t="str">
            <v>B급 중형 조수실 5T</v>
          </cell>
        </row>
        <row r="2060">
          <cell r="A2060">
            <v>70111723</v>
          </cell>
          <cell r="B2060" t="str">
            <v>B급 중형 선원실 5T</v>
          </cell>
        </row>
        <row r="2061">
          <cell r="A2061">
            <v>70111724</v>
          </cell>
          <cell r="B2061" t="str">
            <v>B급 중형 탄약창고 5T</v>
          </cell>
        </row>
        <row r="2062">
          <cell r="A2062">
            <v>70111725</v>
          </cell>
          <cell r="B2062" t="str">
            <v>B급 중형 무기창고 5T</v>
          </cell>
        </row>
        <row r="2063">
          <cell r="A2063">
            <v>70111726</v>
          </cell>
          <cell r="B2063" t="str">
            <v>B급 중형 휴게실 5T</v>
          </cell>
        </row>
        <row r="2064">
          <cell r="A2064">
            <v>70111727</v>
          </cell>
          <cell r="B2064" t="str">
            <v>B급 중형 연회장 5T</v>
          </cell>
        </row>
        <row r="2065">
          <cell r="A2065">
            <v>70111728</v>
          </cell>
          <cell r="B2065" t="str">
            <v>B급 중형 위장창고 5T</v>
          </cell>
        </row>
        <row r="2066">
          <cell r="A2066">
            <v>70111729</v>
          </cell>
          <cell r="B2066" t="str">
            <v>B급 중형 강화창고 5T</v>
          </cell>
        </row>
        <row r="2067">
          <cell r="A2067">
            <v>70111800</v>
          </cell>
          <cell r="B2067" t="str">
            <v>A급 중형 물자창고 5T</v>
          </cell>
        </row>
        <row r="2068">
          <cell r="A2068">
            <v>70111801</v>
          </cell>
          <cell r="B2068" t="str">
            <v>A급 중형 식료품 창고 5T</v>
          </cell>
        </row>
        <row r="2069">
          <cell r="A2069">
            <v>70111802</v>
          </cell>
          <cell r="B2069" t="str">
            <v>A급 중형 조미료 창고 5T</v>
          </cell>
        </row>
        <row r="2070">
          <cell r="A2070">
            <v>70111803</v>
          </cell>
          <cell r="B2070" t="str">
            <v>A급 중형 가축 창고 5T</v>
          </cell>
        </row>
        <row r="2071">
          <cell r="A2071">
            <v>70111804</v>
          </cell>
          <cell r="B2071" t="str">
            <v>A급 중형 의약품 창고 5T</v>
          </cell>
        </row>
        <row r="2072">
          <cell r="A2072">
            <v>70111805</v>
          </cell>
          <cell r="B2072" t="str">
            <v>A급 중형 잡화 창고 5T</v>
          </cell>
        </row>
        <row r="2073">
          <cell r="A2073">
            <v>70111806</v>
          </cell>
          <cell r="B2073" t="str">
            <v>A급 중형 주류 창고 5T</v>
          </cell>
        </row>
        <row r="2074">
          <cell r="A2074">
            <v>70111807</v>
          </cell>
          <cell r="B2074" t="str">
            <v>A급 중형 염료 창고 5T</v>
          </cell>
        </row>
        <row r="2075">
          <cell r="A2075">
            <v>70111808</v>
          </cell>
          <cell r="B2075" t="str">
            <v>A급 중형 광석 창고 5T</v>
          </cell>
        </row>
        <row r="2076">
          <cell r="A2076">
            <v>70111809</v>
          </cell>
          <cell r="B2076" t="str">
            <v>A급 중형 공업품 창고 5T</v>
          </cell>
        </row>
        <row r="2077">
          <cell r="A2077">
            <v>70111810</v>
          </cell>
          <cell r="B2077" t="str">
            <v>A급 중형 기호품 창고 5T</v>
          </cell>
        </row>
        <row r="2078">
          <cell r="A2078">
            <v>70111811</v>
          </cell>
          <cell r="B2078" t="str">
            <v>A급 중형 섬유 창고 5T</v>
          </cell>
        </row>
        <row r="2079">
          <cell r="A2079">
            <v>70111812</v>
          </cell>
          <cell r="B2079" t="str">
            <v>A급 중형 직물 창고 5T</v>
          </cell>
        </row>
        <row r="2080">
          <cell r="A2080">
            <v>70111813</v>
          </cell>
          <cell r="B2080" t="str">
            <v>A급 중형 공예품 창고 5T</v>
          </cell>
        </row>
        <row r="2081">
          <cell r="A2081">
            <v>70111814</v>
          </cell>
          <cell r="B2081" t="str">
            <v>A급 중형 미술품 창고 5T</v>
          </cell>
        </row>
        <row r="2082">
          <cell r="A2082">
            <v>70111815</v>
          </cell>
          <cell r="B2082" t="str">
            <v>A급 중형 향신료 창고 5T</v>
          </cell>
        </row>
        <row r="2083">
          <cell r="A2083">
            <v>70111816</v>
          </cell>
          <cell r="B2083" t="str">
            <v>A급 중형 귀금속 창고 5T</v>
          </cell>
        </row>
        <row r="2084">
          <cell r="A2084">
            <v>70111817</v>
          </cell>
          <cell r="B2084" t="str">
            <v>A급 중형 향료 창고 5T</v>
          </cell>
        </row>
        <row r="2085">
          <cell r="A2085">
            <v>70111818</v>
          </cell>
          <cell r="B2085" t="str">
            <v>A급 중형 보석 창고 5T</v>
          </cell>
        </row>
        <row r="2086">
          <cell r="A2086">
            <v>70111819</v>
          </cell>
          <cell r="B2086" t="str">
            <v>A급 중형 무기류 창고 5T</v>
          </cell>
        </row>
        <row r="2087">
          <cell r="A2087">
            <v>70111820</v>
          </cell>
          <cell r="B2087" t="str">
            <v>A급 중형 총포류 창고 5T</v>
          </cell>
        </row>
        <row r="2088">
          <cell r="A2088">
            <v>70111821</v>
          </cell>
          <cell r="B2088" t="str">
            <v>A급 중형 짐창고 5T</v>
          </cell>
        </row>
        <row r="2089">
          <cell r="A2089">
            <v>70111822</v>
          </cell>
          <cell r="B2089" t="str">
            <v>A급 중형 조수실 5T</v>
          </cell>
        </row>
        <row r="2090">
          <cell r="A2090">
            <v>70111823</v>
          </cell>
          <cell r="B2090" t="str">
            <v>A급 중형 선원실 5T</v>
          </cell>
        </row>
        <row r="2091">
          <cell r="A2091">
            <v>70111824</v>
          </cell>
          <cell r="B2091" t="str">
            <v>A급 중형 탄약창고 5T</v>
          </cell>
        </row>
        <row r="2092">
          <cell r="A2092">
            <v>70111825</v>
          </cell>
          <cell r="B2092" t="str">
            <v>A급 중형 무기창고 5T</v>
          </cell>
        </row>
        <row r="2093">
          <cell r="A2093">
            <v>70111826</v>
          </cell>
          <cell r="B2093" t="str">
            <v>A급 중형 휴게실 5T</v>
          </cell>
        </row>
        <row r="2094">
          <cell r="A2094">
            <v>70111827</v>
          </cell>
          <cell r="B2094" t="str">
            <v>A급 중형 연회장 5T</v>
          </cell>
        </row>
        <row r="2095">
          <cell r="A2095">
            <v>70111828</v>
          </cell>
          <cell r="B2095" t="str">
            <v>A급 중형 위장창고 5T</v>
          </cell>
        </row>
        <row r="2096">
          <cell r="A2096">
            <v>70111829</v>
          </cell>
          <cell r="B2096" t="str">
            <v>A급 중형 강화창고 5T</v>
          </cell>
        </row>
        <row r="2097">
          <cell r="A2097">
            <v>70111900</v>
          </cell>
          <cell r="B2097" t="str">
            <v>S급 중형 물자창고 5T</v>
          </cell>
        </row>
        <row r="2098">
          <cell r="A2098">
            <v>70111901</v>
          </cell>
          <cell r="B2098" t="str">
            <v>S급 중형 식료품 창고 5T</v>
          </cell>
        </row>
        <row r="2099">
          <cell r="A2099">
            <v>70111902</v>
          </cell>
          <cell r="B2099" t="str">
            <v>S급 중형 조미료 창고 5T</v>
          </cell>
        </row>
        <row r="2100">
          <cell r="A2100">
            <v>70111903</v>
          </cell>
          <cell r="B2100" t="str">
            <v>S급 중형 가축 창고 5T</v>
          </cell>
        </row>
        <row r="2101">
          <cell r="A2101">
            <v>70111904</v>
          </cell>
          <cell r="B2101" t="str">
            <v>S급 중형 의약품 창고 5T</v>
          </cell>
        </row>
        <row r="2102">
          <cell r="A2102">
            <v>70111905</v>
          </cell>
          <cell r="B2102" t="str">
            <v>S급 중형 잡화 창고 5T</v>
          </cell>
        </row>
        <row r="2103">
          <cell r="A2103">
            <v>70111906</v>
          </cell>
          <cell r="B2103" t="str">
            <v>S급 중형 주류 창고 5T</v>
          </cell>
        </row>
        <row r="2104">
          <cell r="A2104">
            <v>70111907</v>
          </cell>
          <cell r="B2104" t="str">
            <v>S급 중형 염료 창고 5T</v>
          </cell>
        </row>
        <row r="2105">
          <cell r="A2105">
            <v>70111908</v>
          </cell>
          <cell r="B2105" t="str">
            <v>S급 중형 광석 창고 5T</v>
          </cell>
        </row>
        <row r="2106">
          <cell r="A2106">
            <v>70111909</v>
          </cell>
          <cell r="B2106" t="str">
            <v>S급 중형 공업품 창고 5T</v>
          </cell>
        </row>
        <row r="2107">
          <cell r="A2107">
            <v>70111910</v>
          </cell>
          <cell r="B2107" t="str">
            <v>S급 중형 기호품 창고 5T</v>
          </cell>
        </row>
        <row r="2108">
          <cell r="A2108">
            <v>70111911</v>
          </cell>
          <cell r="B2108" t="str">
            <v>S급 중형 섬유 창고 5T</v>
          </cell>
        </row>
        <row r="2109">
          <cell r="A2109">
            <v>70111912</v>
          </cell>
          <cell r="B2109" t="str">
            <v>S급 중형 직물 창고 5T</v>
          </cell>
        </row>
        <row r="2110">
          <cell r="A2110">
            <v>70111913</v>
          </cell>
          <cell r="B2110" t="str">
            <v>S급 중형 공예품 창고 5T</v>
          </cell>
        </row>
        <row r="2111">
          <cell r="A2111">
            <v>70111914</v>
          </cell>
          <cell r="B2111" t="str">
            <v>S급 중형 미술품 창고 5T</v>
          </cell>
        </row>
        <row r="2112">
          <cell r="A2112">
            <v>70111915</v>
          </cell>
          <cell r="B2112" t="str">
            <v>S급 중형 향신료 창고 5T</v>
          </cell>
        </row>
        <row r="2113">
          <cell r="A2113">
            <v>70111916</v>
          </cell>
          <cell r="B2113" t="str">
            <v>S급 중형 귀금속 창고 5T</v>
          </cell>
        </row>
        <row r="2114">
          <cell r="A2114">
            <v>70111917</v>
          </cell>
          <cell r="B2114" t="str">
            <v>S급 중형 향료 창고 5T</v>
          </cell>
        </row>
        <row r="2115">
          <cell r="A2115">
            <v>70111918</v>
          </cell>
          <cell r="B2115" t="str">
            <v>S급 중형 보석 창고 5T</v>
          </cell>
        </row>
        <row r="2116">
          <cell r="A2116">
            <v>70111919</v>
          </cell>
          <cell r="B2116" t="str">
            <v>S급 중형 무기류 창고 5T</v>
          </cell>
        </row>
        <row r="2117">
          <cell r="A2117">
            <v>70111920</v>
          </cell>
          <cell r="B2117" t="str">
            <v>S급 중형 총포류 창고 5T</v>
          </cell>
        </row>
        <row r="2118">
          <cell r="A2118">
            <v>70111921</v>
          </cell>
          <cell r="B2118" t="str">
            <v>S급 중형 짐창고 5T</v>
          </cell>
        </row>
        <row r="2119">
          <cell r="A2119">
            <v>70111922</v>
          </cell>
          <cell r="B2119" t="str">
            <v>S급 중형 조수실 5T</v>
          </cell>
        </row>
        <row r="2120">
          <cell r="A2120">
            <v>70111923</v>
          </cell>
          <cell r="B2120" t="str">
            <v>S급 중형 선원실 5T</v>
          </cell>
        </row>
        <row r="2121">
          <cell r="A2121">
            <v>70111924</v>
          </cell>
          <cell r="B2121" t="str">
            <v>S급 중형 탄약창고 5T</v>
          </cell>
        </row>
        <row r="2122">
          <cell r="A2122">
            <v>70111925</v>
          </cell>
          <cell r="B2122" t="str">
            <v>S급 중형 무기창고 5T</v>
          </cell>
        </row>
        <row r="2123">
          <cell r="A2123">
            <v>70111926</v>
          </cell>
          <cell r="B2123" t="str">
            <v>S급 중형 휴게실 5T</v>
          </cell>
        </row>
        <row r="2124">
          <cell r="A2124">
            <v>70111927</v>
          </cell>
          <cell r="B2124" t="str">
            <v>S급 중형 연회장 5T</v>
          </cell>
        </row>
        <row r="2125">
          <cell r="A2125">
            <v>70111928</v>
          </cell>
          <cell r="B2125" t="str">
            <v>S급 중형 위장창고 5T</v>
          </cell>
        </row>
        <row r="2126">
          <cell r="A2126">
            <v>70111929</v>
          </cell>
          <cell r="B2126" t="str">
            <v>S급 중형 강화창고 5T</v>
          </cell>
        </row>
        <row r="2127">
          <cell r="A2127">
            <v>70112000</v>
          </cell>
          <cell r="B2127" t="str">
            <v>C급 중형 물자창고 6T</v>
          </cell>
        </row>
        <row r="2128">
          <cell r="A2128">
            <v>70112001</v>
          </cell>
          <cell r="B2128" t="str">
            <v>C급 중형 식료품 창고 6T</v>
          </cell>
        </row>
        <row r="2129">
          <cell r="A2129">
            <v>70112002</v>
          </cell>
          <cell r="B2129" t="str">
            <v>C급 중형 조미료 창고 6T</v>
          </cell>
        </row>
        <row r="2130">
          <cell r="A2130">
            <v>70112003</v>
          </cell>
          <cell r="B2130" t="str">
            <v>C급 중형 가축 창고 6T</v>
          </cell>
        </row>
        <row r="2131">
          <cell r="A2131">
            <v>70112004</v>
          </cell>
          <cell r="B2131" t="str">
            <v>C급 중형 의약품 창고 6T</v>
          </cell>
        </row>
        <row r="2132">
          <cell r="A2132">
            <v>70112005</v>
          </cell>
          <cell r="B2132" t="str">
            <v>C급 중형 잡화 창고 6T</v>
          </cell>
        </row>
        <row r="2133">
          <cell r="A2133">
            <v>70112006</v>
          </cell>
          <cell r="B2133" t="str">
            <v>C급 중형 주류 창고 6T</v>
          </cell>
        </row>
        <row r="2134">
          <cell r="A2134">
            <v>70112007</v>
          </cell>
          <cell r="B2134" t="str">
            <v>C급 중형 염료 창고 6T</v>
          </cell>
        </row>
        <row r="2135">
          <cell r="A2135">
            <v>70112008</v>
          </cell>
          <cell r="B2135" t="str">
            <v>C급 중형 광석 창고 6T</v>
          </cell>
        </row>
        <row r="2136">
          <cell r="A2136">
            <v>70112009</v>
          </cell>
          <cell r="B2136" t="str">
            <v>C급 중형 공업품 창고 6T</v>
          </cell>
        </row>
        <row r="2137">
          <cell r="A2137">
            <v>70112010</v>
          </cell>
          <cell r="B2137" t="str">
            <v>C급 중형 기호품 창고 6T</v>
          </cell>
        </row>
        <row r="2138">
          <cell r="A2138">
            <v>70112011</v>
          </cell>
          <cell r="B2138" t="str">
            <v>C급 중형 섬유 창고 6T</v>
          </cell>
        </row>
        <row r="2139">
          <cell r="A2139">
            <v>70112012</v>
          </cell>
          <cell r="B2139" t="str">
            <v>C급 중형 직물 창고 6T</v>
          </cell>
        </row>
        <row r="2140">
          <cell r="A2140">
            <v>70112013</v>
          </cell>
          <cell r="B2140" t="str">
            <v>C급 중형 공예품 창고 6T</v>
          </cell>
        </row>
        <row r="2141">
          <cell r="A2141">
            <v>70112014</v>
          </cell>
          <cell r="B2141" t="str">
            <v>C급 중형 미술품 창고 6T</v>
          </cell>
        </row>
        <row r="2142">
          <cell r="A2142">
            <v>70112015</v>
          </cell>
          <cell r="B2142" t="str">
            <v>C급 중형 향신료 창고 6T</v>
          </cell>
        </row>
        <row r="2143">
          <cell r="A2143">
            <v>70112016</v>
          </cell>
          <cell r="B2143" t="str">
            <v>C급 중형 귀금속 창고 6T</v>
          </cell>
        </row>
        <row r="2144">
          <cell r="A2144">
            <v>70112017</v>
          </cell>
          <cell r="B2144" t="str">
            <v>C급 중형 향료 창고 6T</v>
          </cell>
        </row>
        <row r="2145">
          <cell r="A2145">
            <v>70112018</v>
          </cell>
          <cell r="B2145" t="str">
            <v>C급 중형 보석 창고 6T</v>
          </cell>
        </row>
        <row r="2146">
          <cell r="A2146">
            <v>70112019</v>
          </cell>
          <cell r="B2146" t="str">
            <v>C급 중형 무기류 창고 6T</v>
          </cell>
        </row>
        <row r="2147">
          <cell r="A2147">
            <v>70112020</v>
          </cell>
          <cell r="B2147" t="str">
            <v>C급 중형 총포류 창고 6T</v>
          </cell>
        </row>
        <row r="2148">
          <cell r="A2148">
            <v>70112021</v>
          </cell>
          <cell r="B2148" t="str">
            <v>C급 중형 짐창고 6T</v>
          </cell>
        </row>
        <row r="2149">
          <cell r="A2149">
            <v>70112022</v>
          </cell>
          <cell r="B2149" t="str">
            <v>C급 중형 조수실 6T</v>
          </cell>
        </row>
        <row r="2150">
          <cell r="A2150">
            <v>70112023</v>
          </cell>
          <cell r="B2150" t="str">
            <v>C급 중형 선원실 6T</v>
          </cell>
        </row>
        <row r="2151">
          <cell r="A2151">
            <v>70112024</v>
          </cell>
          <cell r="B2151" t="str">
            <v>C급 중형 탄약창고 6T</v>
          </cell>
        </row>
        <row r="2152">
          <cell r="A2152">
            <v>70112025</v>
          </cell>
          <cell r="B2152" t="str">
            <v>C급 중형 무기창고 6T</v>
          </cell>
        </row>
        <row r="2153">
          <cell r="A2153">
            <v>70112026</v>
          </cell>
          <cell r="B2153" t="str">
            <v>C급 중형 휴게실 6T</v>
          </cell>
        </row>
        <row r="2154">
          <cell r="A2154">
            <v>70112027</v>
          </cell>
          <cell r="B2154" t="str">
            <v>C급 중형 연회장 6T</v>
          </cell>
        </row>
        <row r="2155">
          <cell r="A2155">
            <v>70112028</v>
          </cell>
          <cell r="B2155" t="str">
            <v>C급 중형 위장창고 6T</v>
          </cell>
        </row>
        <row r="2156">
          <cell r="A2156">
            <v>70112029</v>
          </cell>
          <cell r="B2156" t="str">
            <v>C급 중형 강화창고 6T</v>
          </cell>
        </row>
        <row r="2157">
          <cell r="A2157">
            <v>70112100</v>
          </cell>
          <cell r="B2157" t="str">
            <v>B급 중형 물자창고 6T</v>
          </cell>
        </row>
        <row r="2158">
          <cell r="A2158">
            <v>70112101</v>
          </cell>
          <cell r="B2158" t="str">
            <v>B급 중형 식료품 창고 6T</v>
          </cell>
        </row>
        <row r="2159">
          <cell r="A2159">
            <v>70112102</v>
          </cell>
          <cell r="B2159" t="str">
            <v>B급 중형 조미료 창고 6T</v>
          </cell>
        </row>
        <row r="2160">
          <cell r="A2160">
            <v>70112103</v>
          </cell>
          <cell r="B2160" t="str">
            <v>B급 중형 가축 창고 6T</v>
          </cell>
        </row>
        <row r="2161">
          <cell r="A2161">
            <v>70112104</v>
          </cell>
          <cell r="B2161" t="str">
            <v>B급 중형 의약품 창고 6T</v>
          </cell>
        </row>
        <row r="2162">
          <cell r="A2162">
            <v>70112105</v>
          </cell>
          <cell r="B2162" t="str">
            <v>B급 중형 잡화 창고 6T</v>
          </cell>
        </row>
        <row r="2163">
          <cell r="A2163">
            <v>70112106</v>
          </cell>
          <cell r="B2163" t="str">
            <v>B급 중형 주류 창고 6T</v>
          </cell>
        </row>
        <row r="2164">
          <cell r="A2164">
            <v>70112107</v>
          </cell>
          <cell r="B2164" t="str">
            <v>B급 중형 염료 창고 6T</v>
          </cell>
        </row>
        <row r="2165">
          <cell r="A2165">
            <v>70112108</v>
          </cell>
          <cell r="B2165" t="str">
            <v>B급 중형 광석 창고 6T</v>
          </cell>
        </row>
        <row r="2166">
          <cell r="A2166">
            <v>70112109</v>
          </cell>
          <cell r="B2166" t="str">
            <v>B급 중형 공업품 창고 6T</v>
          </cell>
        </row>
        <row r="2167">
          <cell r="A2167">
            <v>70112110</v>
          </cell>
          <cell r="B2167" t="str">
            <v>B급 중형 기호품 창고 6T</v>
          </cell>
        </row>
        <row r="2168">
          <cell r="A2168">
            <v>70112111</v>
          </cell>
          <cell r="B2168" t="str">
            <v>B급 중형 섬유 창고 6T</v>
          </cell>
        </row>
        <row r="2169">
          <cell r="A2169">
            <v>70112112</v>
          </cell>
          <cell r="B2169" t="str">
            <v>B급 중형 직물 창고 6T</v>
          </cell>
        </row>
        <row r="2170">
          <cell r="A2170">
            <v>70112113</v>
          </cell>
          <cell r="B2170" t="str">
            <v>B급 중형 공예품 창고 6T</v>
          </cell>
        </row>
        <row r="2171">
          <cell r="A2171">
            <v>70112114</v>
          </cell>
          <cell r="B2171" t="str">
            <v>B급 중형 미술품 창고 6T</v>
          </cell>
        </row>
        <row r="2172">
          <cell r="A2172">
            <v>70112115</v>
          </cell>
          <cell r="B2172" t="str">
            <v>B급 중형 향신료 창고 6T</v>
          </cell>
        </row>
        <row r="2173">
          <cell r="A2173">
            <v>70112116</v>
          </cell>
          <cell r="B2173" t="str">
            <v>B급 중형 귀금속 창고 6T</v>
          </cell>
        </row>
        <row r="2174">
          <cell r="A2174">
            <v>70112117</v>
          </cell>
          <cell r="B2174" t="str">
            <v>B급 중형 향료 창고 6T</v>
          </cell>
        </row>
        <row r="2175">
          <cell r="A2175">
            <v>70112118</v>
          </cell>
          <cell r="B2175" t="str">
            <v>B급 중형 보석 창고 6T</v>
          </cell>
        </row>
        <row r="2176">
          <cell r="A2176">
            <v>70112119</v>
          </cell>
          <cell r="B2176" t="str">
            <v>B급 중형 무기류 창고 6T</v>
          </cell>
        </row>
        <row r="2177">
          <cell r="A2177">
            <v>70112120</v>
          </cell>
          <cell r="B2177" t="str">
            <v>B급 중형 총포류 창고 6T</v>
          </cell>
        </row>
        <row r="2178">
          <cell r="A2178">
            <v>70112121</v>
          </cell>
          <cell r="B2178" t="str">
            <v>B급 중형 짐창고 6T</v>
          </cell>
        </row>
        <row r="2179">
          <cell r="A2179">
            <v>70112122</v>
          </cell>
          <cell r="B2179" t="str">
            <v>B급 중형 조수실 6T</v>
          </cell>
        </row>
        <row r="2180">
          <cell r="A2180">
            <v>70112123</v>
          </cell>
          <cell r="B2180" t="str">
            <v>B급 중형 선원실 6T</v>
          </cell>
        </row>
        <row r="2181">
          <cell r="A2181">
            <v>70112124</v>
          </cell>
          <cell r="B2181" t="str">
            <v>B급 중형 탄약창고 6T</v>
          </cell>
        </row>
        <row r="2182">
          <cell r="A2182">
            <v>70112125</v>
          </cell>
          <cell r="B2182" t="str">
            <v>B급 중형 무기창고 6T</v>
          </cell>
        </row>
        <row r="2183">
          <cell r="A2183">
            <v>70112126</v>
          </cell>
          <cell r="B2183" t="str">
            <v>B급 중형 휴게실 6T</v>
          </cell>
        </row>
        <row r="2184">
          <cell r="A2184">
            <v>70112127</v>
          </cell>
          <cell r="B2184" t="str">
            <v>B급 중형 연회장 6T</v>
          </cell>
        </row>
        <row r="2185">
          <cell r="A2185">
            <v>70112128</v>
          </cell>
          <cell r="B2185" t="str">
            <v>B급 중형 위장창고 6T</v>
          </cell>
        </row>
        <row r="2186">
          <cell r="A2186">
            <v>70112129</v>
          </cell>
          <cell r="B2186" t="str">
            <v>B급 중형 강화창고 6T</v>
          </cell>
        </row>
        <row r="2187">
          <cell r="A2187">
            <v>70112200</v>
          </cell>
          <cell r="B2187" t="str">
            <v>A급 중형 물자창고 6T</v>
          </cell>
        </row>
        <row r="2188">
          <cell r="A2188">
            <v>70112201</v>
          </cell>
          <cell r="B2188" t="str">
            <v>A급 중형 식료품 창고 6T</v>
          </cell>
        </row>
        <row r="2189">
          <cell r="A2189">
            <v>70112202</v>
          </cell>
          <cell r="B2189" t="str">
            <v>A급 중형 조미료 창고 6T</v>
          </cell>
        </row>
        <row r="2190">
          <cell r="A2190">
            <v>70112203</v>
          </cell>
          <cell r="B2190" t="str">
            <v>A급 중형 가축 창고 6T</v>
          </cell>
        </row>
        <row r="2191">
          <cell r="A2191">
            <v>70112204</v>
          </cell>
          <cell r="B2191" t="str">
            <v>A급 중형 의약품 창고 6T</v>
          </cell>
        </row>
        <row r="2192">
          <cell r="A2192">
            <v>70112205</v>
          </cell>
          <cell r="B2192" t="str">
            <v>A급 중형 잡화 창고 6T</v>
          </cell>
        </row>
        <row r="2193">
          <cell r="A2193">
            <v>70112206</v>
          </cell>
          <cell r="B2193" t="str">
            <v>A급 중형 주류 창고 6T</v>
          </cell>
        </row>
        <row r="2194">
          <cell r="A2194">
            <v>70112207</v>
          </cell>
          <cell r="B2194" t="str">
            <v>A급 중형 염료 창고 6T</v>
          </cell>
        </row>
        <row r="2195">
          <cell r="A2195">
            <v>70112208</v>
          </cell>
          <cell r="B2195" t="str">
            <v>A급 중형 광석 창고 6T</v>
          </cell>
        </row>
        <row r="2196">
          <cell r="A2196">
            <v>70112209</v>
          </cell>
          <cell r="B2196" t="str">
            <v>A급 중형 공업품 창고 6T</v>
          </cell>
        </row>
        <row r="2197">
          <cell r="A2197">
            <v>70112210</v>
          </cell>
          <cell r="B2197" t="str">
            <v>A급 중형 기호품 창고 6T</v>
          </cell>
        </row>
        <row r="2198">
          <cell r="A2198">
            <v>70112211</v>
          </cell>
          <cell r="B2198" t="str">
            <v>A급 중형 섬유 창고 6T</v>
          </cell>
        </row>
        <row r="2199">
          <cell r="A2199">
            <v>70112212</v>
          </cell>
          <cell r="B2199" t="str">
            <v>A급 중형 직물 창고 6T</v>
          </cell>
        </row>
        <row r="2200">
          <cell r="A2200">
            <v>70112213</v>
          </cell>
          <cell r="B2200" t="str">
            <v>A급 중형 공예품 창고 6T</v>
          </cell>
        </row>
        <row r="2201">
          <cell r="A2201">
            <v>70112214</v>
          </cell>
          <cell r="B2201" t="str">
            <v>A급 중형 미술품 창고 6T</v>
          </cell>
        </row>
        <row r="2202">
          <cell r="A2202">
            <v>70112215</v>
          </cell>
          <cell r="B2202" t="str">
            <v>A급 중형 향신료 창고 6T</v>
          </cell>
        </row>
        <row r="2203">
          <cell r="A2203">
            <v>70112216</v>
          </cell>
          <cell r="B2203" t="str">
            <v>A급 중형 귀금속 창고 6T</v>
          </cell>
        </row>
        <row r="2204">
          <cell r="A2204">
            <v>70112217</v>
          </cell>
          <cell r="B2204" t="str">
            <v>A급 중형 향료 창고 6T</v>
          </cell>
        </row>
        <row r="2205">
          <cell r="A2205">
            <v>70112218</v>
          </cell>
          <cell r="B2205" t="str">
            <v>A급 중형 보석 창고 6T</v>
          </cell>
        </row>
        <row r="2206">
          <cell r="A2206">
            <v>70112219</v>
          </cell>
          <cell r="B2206" t="str">
            <v>A급 중형 무기류 창고 6T</v>
          </cell>
        </row>
        <row r="2207">
          <cell r="A2207">
            <v>70112220</v>
          </cell>
          <cell r="B2207" t="str">
            <v>A급 중형 총포류 창고 6T</v>
          </cell>
        </row>
        <row r="2208">
          <cell r="A2208">
            <v>70112221</v>
          </cell>
          <cell r="B2208" t="str">
            <v>A급 중형 짐창고 6T</v>
          </cell>
        </row>
        <row r="2209">
          <cell r="A2209">
            <v>70112222</v>
          </cell>
          <cell r="B2209" t="str">
            <v>A급 중형 조수실 6T</v>
          </cell>
        </row>
        <row r="2210">
          <cell r="A2210">
            <v>70112223</v>
          </cell>
          <cell r="B2210" t="str">
            <v>A급 중형 선원실 6T</v>
          </cell>
        </row>
        <row r="2211">
          <cell r="A2211">
            <v>70112224</v>
          </cell>
          <cell r="B2211" t="str">
            <v>A급 중형 탄약창고 6T</v>
          </cell>
        </row>
        <row r="2212">
          <cell r="A2212">
            <v>70112225</v>
          </cell>
          <cell r="B2212" t="str">
            <v>A급 중형 무기창고 6T</v>
          </cell>
        </row>
        <row r="2213">
          <cell r="A2213">
            <v>70112226</v>
          </cell>
          <cell r="B2213" t="str">
            <v>A급 중형 휴게실 6T</v>
          </cell>
        </row>
        <row r="2214">
          <cell r="A2214">
            <v>70112227</v>
          </cell>
          <cell r="B2214" t="str">
            <v>A급 중형 연회장 6T</v>
          </cell>
        </row>
        <row r="2215">
          <cell r="A2215">
            <v>70112228</v>
          </cell>
          <cell r="B2215" t="str">
            <v>A급 중형 위장창고 6T</v>
          </cell>
        </row>
        <row r="2216">
          <cell r="A2216">
            <v>70112229</v>
          </cell>
          <cell r="B2216" t="str">
            <v>A급 중형 강화창고 6T</v>
          </cell>
        </row>
        <row r="2217">
          <cell r="A2217">
            <v>70112300</v>
          </cell>
          <cell r="B2217" t="str">
            <v>S급 중형 물자창고 6T</v>
          </cell>
        </row>
        <row r="2218">
          <cell r="A2218">
            <v>70112301</v>
          </cell>
          <cell r="B2218" t="str">
            <v>S급 중형 식료품 창고 6T</v>
          </cell>
        </row>
        <row r="2219">
          <cell r="A2219">
            <v>70112302</v>
          </cell>
          <cell r="B2219" t="str">
            <v>S급 중형 조미료 창고 6T</v>
          </cell>
        </row>
        <row r="2220">
          <cell r="A2220">
            <v>70112303</v>
          </cell>
          <cell r="B2220" t="str">
            <v>S급 중형 가축 창고 6T</v>
          </cell>
        </row>
        <row r="2221">
          <cell r="A2221">
            <v>70112304</v>
          </cell>
          <cell r="B2221" t="str">
            <v>S급 중형 의약품 창고 6T</v>
          </cell>
        </row>
        <row r="2222">
          <cell r="A2222">
            <v>70112305</v>
          </cell>
          <cell r="B2222" t="str">
            <v>S급 중형 잡화 창고 6T</v>
          </cell>
        </row>
        <row r="2223">
          <cell r="A2223">
            <v>70112306</v>
          </cell>
          <cell r="B2223" t="str">
            <v>S급 중형 주류 창고 6T</v>
          </cell>
        </row>
        <row r="2224">
          <cell r="A2224">
            <v>70112307</v>
          </cell>
          <cell r="B2224" t="str">
            <v>S급 중형 염료 창고 6T</v>
          </cell>
        </row>
        <row r="2225">
          <cell r="A2225">
            <v>70112308</v>
          </cell>
          <cell r="B2225" t="str">
            <v>S급 중형 광석 창고 6T</v>
          </cell>
        </row>
        <row r="2226">
          <cell r="A2226">
            <v>70112309</v>
          </cell>
          <cell r="B2226" t="str">
            <v>S급 중형 공업품 창고 6T</v>
          </cell>
        </row>
        <row r="2227">
          <cell r="A2227">
            <v>70112310</v>
          </cell>
          <cell r="B2227" t="str">
            <v>S급 중형 기호품 창고 6T</v>
          </cell>
        </row>
        <row r="2228">
          <cell r="A2228">
            <v>70112311</v>
          </cell>
          <cell r="B2228" t="str">
            <v>S급 중형 섬유 창고 6T</v>
          </cell>
        </row>
        <row r="2229">
          <cell r="A2229">
            <v>70112312</v>
          </cell>
          <cell r="B2229" t="str">
            <v>S급 중형 직물 창고 6T</v>
          </cell>
        </row>
        <row r="2230">
          <cell r="A2230">
            <v>70112313</v>
          </cell>
          <cell r="B2230" t="str">
            <v>S급 중형 공예품 창고 6T</v>
          </cell>
        </row>
        <row r="2231">
          <cell r="A2231">
            <v>70112314</v>
          </cell>
          <cell r="B2231" t="str">
            <v>S급 중형 미술품 창고 6T</v>
          </cell>
        </row>
        <row r="2232">
          <cell r="A2232">
            <v>70112315</v>
          </cell>
          <cell r="B2232" t="str">
            <v>S급 중형 향신료 창고 6T</v>
          </cell>
        </row>
        <row r="2233">
          <cell r="A2233">
            <v>70112316</v>
          </cell>
          <cell r="B2233" t="str">
            <v>S급 중형 귀금속 창고 6T</v>
          </cell>
        </row>
        <row r="2234">
          <cell r="A2234">
            <v>70112317</v>
          </cell>
          <cell r="B2234" t="str">
            <v>S급 중형 향료 창고 6T</v>
          </cell>
        </row>
        <row r="2235">
          <cell r="A2235">
            <v>70112318</v>
          </cell>
          <cell r="B2235" t="str">
            <v>S급 중형 보석 창고 6T</v>
          </cell>
        </row>
        <row r="2236">
          <cell r="A2236">
            <v>70112319</v>
          </cell>
          <cell r="B2236" t="str">
            <v>S급 중형 무기류 창고 6T</v>
          </cell>
        </row>
        <row r="2237">
          <cell r="A2237">
            <v>70112320</v>
          </cell>
          <cell r="B2237" t="str">
            <v>S급 중형 총포류 창고 6T</v>
          </cell>
        </row>
        <row r="2238">
          <cell r="A2238">
            <v>70112321</v>
          </cell>
          <cell r="B2238" t="str">
            <v>S급 중형 짐창고 6T</v>
          </cell>
        </row>
        <row r="2239">
          <cell r="A2239">
            <v>70112322</v>
          </cell>
          <cell r="B2239" t="str">
            <v>S급 중형 조수실 6T</v>
          </cell>
        </row>
        <row r="2240">
          <cell r="A2240">
            <v>70112323</v>
          </cell>
          <cell r="B2240" t="str">
            <v>S급 중형 선원실 6T</v>
          </cell>
        </row>
        <row r="2241">
          <cell r="A2241">
            <v>70112324</v>
          </cell>
          <cell r="B2241" t="str">
            <v>S급 중형 탄약창고 6T</v>
          </cell>
        </row>
        <row r="2242">
          <cell r="A2242">
            <v>70112325</v>
          </cell>
          <cell r="B2242" t="str">
            <v>S급 중형 무기창고 6T</v>
          </cell>
        </row>
        <row r="2243">
          <cell r="A2243">
            <v>70112326</v>
          </cell>
          <cell r="B2243" t="str">
            <v>S급 중형 휴게실 6T</v>
          </cell>
        </row>
        <row r="2244">
          <cell r="A2244">
            <v>70112327</v>
          </cell>
          <cell r="B2244" t="str">
            <v>S급 중형 연회장 6T</v>
          </cell>
        </row>
        <row r="2245">
          <cell r="A2245">
            <v>70112328</v>
          </cell>
          <cell r="B2245" t="str">
            <v>S급 중형 위장창고 6T</v>
          </cell>
        </row>
        <row r="2246">
          <cell r="A2246">
            <v>70112329</v>
          </cell>
          <cell r="B2246" t="str">
            <v>S급 중형 강화창고 6T</v>
          </cell>
        </row>
        <row r="2247">
          <cell r="A2247">
            <v>70112400</v>
          </cell>
          <cell r="B2247" t="str">
            <v>C급 중형 물자창고 7T</v>
          </cell>
        </row>
        <row r="2248">
          <cell r="A2248">
            <v>70112401</v>
          </cell>
          <cell r="B2248" t="str">
            <v>C급 중형 식료품 창고 7T</v>
          </cell>
        </row>
        <row r="2249">
          <cell r="A2249">
            <v>70112402</v>
          </cell>
          <cell r="B2249" t="str">
            <v>C급 중형 조미료 창고 7T</v>
          </cell>
        </row>
        <row r="2250">
          <cell r="A2250">
            <v>70112403</v>
          </cell>
          <cell r="B2250" t="str">
            <v>C급 중형 가축 창고 7T</v>
          </cell>
        </row>
        <row r="2251">
          <cell r="A2251">
            <v>70112404</v>
          </cell>
          <cell r="B2251" t="str">
            <v>C급 중형 의약품 창고 7T</v>
          </cell>
        </row>
        <row r="2252">
          <cell r="A2252">
            <v>70112405</v>
          </cell>
          <cell r="B2252" t="str">
            <v>C급 중형 잡화 창고 7T</v>
          </cell>
        </row>
        <row r="2253">
          <cell r="A2253">
            <v>70112406</v>
          </cell>
          <cell r="B2253" t="str">
            <v>C급 중형 주류 창고 7T</v>
          </cell>
        </row>
        <row r="2254">
          <cell r="A2254">
            <v>70112407</v>
          </cell>
          <cell r="B2254" t="str">
            <v>C급 중형 염료 창고 7T</v>
          </cell>
        </row>
        <row r="2255">
          <cell r="A2255">
            <v>70112408</v>
          </cell>
          <cell r="B2255" t="str">
            <v>C급 중형 광석 창고 7T</v>
          </cell>
        </row>
        <row r="2256">
          <cell r="A2256">
            <v>70112409</v>
          </cell>
          <cell r="B2256" t="str">
            <v>C급 중형 공업품 창고 7T</v>
          </cell>
        </row>
        <row r="2257">
          <cell r="A2257">
            <v>70112410</v>
          </cell>
          <cell r="B2257" t="str">
            <v>C급 중형 기호품 창고 7T</v>
          </cell>
        </row>
        <row r="2258">
          <cell r="A2258">
            <v>70112411</v>
          </cell>
          <cell r="B2258" t="str">
            <v>C급 중형 섬유 창고 7T</v>
          </cell>
        </row>
        <row r="2259">
          <cell r="A2259">
            <v>70112412</v>
          </cell>
          <cell r="B2259" t="str">
            <v>C급 중형 직물 창고 7T</v>
          </cell>
        </row>
        <row r="2260">
          <cell r="A2260">
            <v>70112413</v>
          </cell>
          <cell r="B2260" t="str">
            <v>C급 중형 공예품 창고 7T</v>
          </cell>
        </row>
        <row r="2261">
          <cell r="A2261">
            <v>70112414</v>
          </cell>
          <cell r="B2261" t="str">
            <v>C급 중형 미술품 창고 7T</v>
          </cell>
        </row>
        <row r="2262">
          <cell r="A2262">
            <v>70112415</v>
          </cell>
          <cell r="B2262" t="str">
            <v>C급 중형 향신료 창고 7T</v>
          </cell>
        </row>
        <row r="2263">
          <cell r="A2263">
            <v>70112416</v>
          </cell>
          <cell r="B2263" t="str">
            <v>C급 중형 귀금속 창고 7T</v>
          </cell>
        </row>
        <row r="2264">
          <cell r="A2264">
            <v>70112417</v>
          </cell>
          <cell r="B2264" t="str">
            <v>C급 중형 향료 창고 7T</v>
          </cell>
        </row>
        <row r="2265">
          <cell r="A2265">
            <v>70112418</v>
          </cell>
          <cell r="B2265" t="str">
            <v>C급 중형 보석 창고 7T</v>
          </cell>
        </row>
        <row r="2266">
          <cell r="A2266">
            <v>70112419</v>
          </cell>
          <cell r="B2266" t="str">
            <v>C급 중형 무기류 창고 7T</v>
          </cell>
        </row>
        <row r="2267">
          <cell r="A2267">
            <v>70112420</v>
          </cell>
          <cell r="B2267" t="str">
            <v>C급 중형 총포류 창고 7T</v>
          </cell>
        </row>
        <row r="2268">
          <cell r="A2268">
            <v>70112421</v>
          </cell>
          <cell r="B2268" t="str">
            <v>C급 중형 짐창고 7T</v>
          </cell>
        </row>
        <row r="2269">
          <cell r="A2269">
            <v>70112422</v>
          </cell>
          <cell r="B2269" t="str">
            <v>C급 중형 조수실 7T</v>
          </cell>
        </row>
        <row r="2270">
          <cell r="A2270">
            <v>70112423</v>
          </cell>
          <cell r="B2270" t="str">
            <v>C급 중형 선원실 7T</v>
          </cell>
        </row>
        <row r="2271">
          <cell r="A2271">
            <v>70112424</v>
          </cell>
          <cell r="B2271" t="str">
            <v>C급 중형 탄약창고 7T</v>
          </cell>
        </row>
        <row r="2272">
          <cell r="A2272">
            <v>70112425</v>
          </cell>
          <cell r="B2272" t="str">
            <v>C급 중형 무기창고 7T</v>
          </cell>
        </row>
        <row r="2273">
          <cell r="A2273">
            <v>70112426</v>
          </cell>
          <cell r="B2273" t="str">
            <v>C급 중형 휴게실 7T</v>
          </cell>
        </row>
        <row r="2274">
          <cell r="A2274">
            <v>70112427</v>
          </cell>
          <cell r="B2274" t="str">
            <v>C급 중형 연회장 7T</v>
          </cell>
        </row>
        <row r="2275">
          <cell r="A2275">
            <v>70112428</v>
          </cell>
          <cell r="B2275" t="str">
            <v>C급 중형 위장창고 7T</v>
          </cell>
        </row>
        <row r="2276">
          <cell r="A2276">
            <v>70112429</v>
          </cell>
          <cell r="B2276" t="str">
            <v>C급 중형 강화창고 7T</v>
          </cell>
        </row>
        <row r="2277">
          <cell r="A2277">
            <v>70112500</v>
          </cell>
          <cell r="B2277" t="str">
            <v>B급 중형 물자창고 7T</v>
          </cell>
        </row>
        <row r="2278">
          <cell r="A2278">
            <v>70112501</v>
          </cell>
          <cell r="B2278" t="str">
            <v>B급 중형 식료품 창고 7T</v>
          </cell>
        </row>
        <row r="2279">
          <cell r="A2279">
            <v>70112502</v>
          </cell>
          <cell r="B2279" t="str">
            <v>B급 중형 조미료 창고 7T</v>
          </cell>
        </row>
        <row r="2280">
          <cell r="A2280">
            <v>70112503</v>
          </cell>
          <cell r="B2280" t="str">
            <v>B급 중형 가축 창고 7T</v>
          </cell>
        </row>
        <row r="2281">
          <cell r="A2281">
            <v>70112504</v>
          </cell>
          <cell r="B2281" t="str">
            <v>B급 중형 의약품 창고 7T</v>
          </cell>
        </row>
        <row r="2282">
          <cell r="A2282">
            <v>70112505</v>
          </cell>
          <cell r="B2282" t="str">
            <v>B급 중형 잡화 창고 7T</v>
          </cell>
        </row>
        <row r="2283">
          <cell r="A2283">
            <v>70112506</v>
          </cell>
          <cell r="B2283" t="str">
            <v>B급 중형 주류 창고 7T</v>
          </cell>
        </row>
        <row r="2284">
          <cell r="A2284">
            <v>70112507</v>
          </cell>
          <cell r="B2284" t="str">
            <v>B급 중형 염료 창고 7T</v>
          </cell>
        </row>
        <row r="2285">
          <cell r="A2285">
            <v>70112508</v>
          </cell>
          <cell r="B2285" t="str">
            <v>B급 중형 광석 창고 7T</v>
          </cell>
        </row>
        <row r="2286">
          <cell r="A2286">
            <v>70112509</v>
          </cell>
          <cell r="B2286" t="str">
            <v>B급 중형 공업품 창고 7T</v>
          </cell>
        </row>
        <row r="2287">
          <cell r="A2287">
            <v>70112510</v>
          </cell>
          <cell r="B2287" t="str">
            <v>B급 중형 기호품 창고 7T</v>
          </cell>
        </row>
        <row r="2288">
          <cell r="A2288">
            <v>70112511</v>
          </cell>
          <cell r="B2288" t="str">
            <v>B급 중형 섬유 창고 7T</v>
          </cell>
        </row>
        <row r="2289">
          <cell r="A2289">
            <v>70112512</v>
          </cell>
          <cell r="B2289" t="str">
            <v>B급 중형 직물 창고 7T</v>
          </cell>
        </row>
        <row r="2290">
          <cell r="A2290">
            <v>70112513</v>
          </cell>
          <cell r="B2290" t="str">
            <v>B급 중형 공예품 창고 7T</v>
          </cell>
        </row>
        <row r="2291">
          <cell r="A2291">
            <v>70112514</v>
          </cell>
          <cell r="B2291" t="str">
            <v>B급 중형 미술품 창고 7T</v>
          </cell>
        </row>
        <row r="2292">
          <cell r="A2292">
            <v>70112515</v>
          </cell>
          <cell r="B2292" t="str">
            <v>B급 중형 향신료 창고 7T</v>
          </cell>
        </row>
        <row r="2293">
          <cell r="A2293">
            <v>70112516</v>
          </cell>
          <cell r="B2293" t="str">
            <v>B급 중형 귀금속 창고 7T</v>
          </cell>
        </row>
        <row r="2294">
          <cell r="A2294">
            <v>70112517</v>
          </cell>
          <cell r="B2294" t="str">
            <v>B급 중형 향료 창고 7T</v>
          </cell>
        </row>
        <row r="2295">
          <cell r="A2295">
            <v>70112518</v>
          </cell>
          <cell r="B2295" t="str">
            <v>B급 중형 보석 창고 7T</v>
          </cell>
        </row>
        <row r="2296">
          <cell r="A2296">
            <v>70112519</v>
          </cell>
          <cell r="B2296" t="str">
            <v>B급 중형 무기류 창고 7T</v>
          </cell>
        </row>
        <row r="2297">
          <cell r="A2297">
            <v>70112520</v>
          </cell>
          <cell r="B2297" t="str">
            <v>B급 중형 총포류 창고 7T</v>
          </cell>
        </row>
        <row r="2298">
          <cell r="A2298">
            <v>70112521</v>
          </cell>
          <cell r="B2298" t="str">
            <v>B급 중형 짐창고 7T</v>
          </cell>
        </row>
        <row r="2299">
          <cell r="A2299">
            <v>70112522</v>
          </cell>
          <cell r="B2299" t="str">
            <v>B급 중형 조수실 7T</v>
          </cell>
        </row>
        <row r="2300">
          <cell r="A2300">
            <v>70112523</v>
          </cell>
          <cell r="B2300" t="str">
            <v>B급 중형 선원실 7T</v>
          </cell>
        </row>
        <row r="2301">
          <cell r="A2301">
            <v>70112524</v>
          </cell>
          <cell r="B2301" t="str">
            <v>B급 중형 탄약창고 7T</v>
          </cell>
        </row>
        <row r="2302">
          <cell r="A2302">
            <v>70112525</v>
          </cell>
          <cell r="B2302" t="str">
            <v>B급 중형 무기창고 7T</v>
          </cell>
        </row>
        <row r="2303">
          <cell r="A2303">
            <v>70112526</v>
          </cell>
          <cell r="B2303" t="str">
            <v>B급 중형 휴게실 7T</v>
          </cell>
        </row>
        <row r="2304">
          <cell r="A2304">
            <v>70112527</v>
          </cell>
          <cell r="B2304" t="str">
            <v>B급 중형 연회장 7T</v>
          </cell>
        </row>
        <row r="2305">
          <cell r="A2305">
            <v>70112528</v>
          </cell>
          <cell r="B2305" t="str">
            <v>B급 중형 위장창고 7T</v>
          </cell>
        </row>
        <row r="2306">
          <cell r="A2306">
            <v>70112529</v>
          </cell>
          <cell r="B2306" t="str">
            <v>B급 중형 강화창고 7T</v>
          </cell>
        </row>
        <row r="2307">
          <cell r="A2307">
            <v>70112600</v>
          </cell>
          <cell r="B2307" t="str">
            <v>A급 중형 물자창고 7T</v>
          </cell>
        </row>
        <row r="2308">
          <cell r="A2308">
            <v>70112601</v>
          </cell>
          <cell r="B2308" t="str">
            <v>A급 중형 식료품 창고 7T</v>
          </cell>
        </row>
        <row r="2309">
          <cell r="A2309">
            <v>70112602</v>
          </cell>
          <cell r="B2309" t="str">
            <v>A급 중형 조미료 창고 7T</v>
          </cell>
        </row>
        <row r="2310">
          <cell r="A2310">
            <v>70112603</v>
          </cell>
          <cell r="B2310" t="str">
            <v>A급 중형 가축 창고 7T</v>
          </cell>
        </row>
        <row r="2311">
          <cell r="A2311">
            <v>70112604</v>
          </cell>
          <cell r="B2311" t="str">
            <v>A급 중형 의약품 창고 7T</v>
          </cell>
        </row>
        <row r="2312">
          <cell r="A2312">
            <v>70112605</v>
          </cell>
          <cell r="B2312" t="str">
            <v>A급 중형 잡화 창고 7T</v>
          </cell>
        </row>
        <row r="2313">
          <cell r="A2313">
            <v>70112606</v>
          </cell>
          <cell r="B2313" t="str">
            <v>A급 중형 주류 창고 7T</v>
          </cell>
        </row>
        <row r="2314">
          <cell r="A2314">
            <v>70112607</v>
          </cell>
          <cell r="B2314" t="str">
            <v>A급 중형 염료 창고 7T</v>
          </cell>
        </row>
        <row r="2315">
          <cell r="A2315">
            <v>70112608</v>
          </cell>
          <cell r="B2315" t="str">
            <v>A급 중형 광석 창고 7T</v>
          </cell>
        </row>
        <row r="2316">
          <cell r="A2316">
            <v>70112609</v>
          </cell>
          <cell r="B2316" t="str">
            <v>A급 중형 공업품 창고 7T</v>
          </cell>
        </row>
        <row r="2317">
          <cell r="A2317">
            <v>70112610</v>
          </cell>
          <cell r="B2317" t="str">
            <v>A급 중형 기호품 창고 7T</v>
          </cell>
        </row>
        <row r="2318">
          <cell r="A2318">
            <v>70112611</v>
          </cell>
          <cell r="B2318" t="str">
            <v>A급 중형 섬유 창고 7T</v>
          </cell>
        </row>
        <row r="2319">
          <cell r="A2319">
            <v>70112612</v>
          </cell>
          <cell r="B2319" t="str">
            <v>A급 중형 직물 창고 7T</v>
          </cell>
        </row>
        <row r="2320">
          <cell r="A2320">
            <v>70112613</v>
          </cell>
          <cell r="B2320" t="str">
            <v>A급 중형 공예품 창고 7T</v>
          </cell>
        </row>
        <row r="2321">
          <cell r="A2321">
            <v>70112614</v>
          </cell>
          <cell r="B2321" t="str">
            <v>A급 중형 미술품 창고 7T</v>
          </cell>
        </row>
        <row r="2322">
          <cell r="A2322">
            <v>70112615</v>
          </cell>
          <cell r="B2322" t="str">
            <v>A급 중형 향신료 창고 7T</v>
          </cell>
        </row>
        <row r="2323">
          <cell r="A2323">
            <v>70112616</v>
          </cell>
          <cell r="B2323" t="str">
            <v>A급 중형 귀금속 창고 7T</v>
          </cell>
        </row>
        <row r="2324">
          <cell r="A2324">
            <v>70112617</v>
          </cell>
          <cell r="B2324" t="str">
            <v>A급 중형 향료 창고 7T</v>
          </cell>
        </row>
        <row r="2325">
          <cell r="A2325">
            <v>70112618</v>
          </cell>
          <cell r="B2325" t="str">
            <v>A급 중형 보석 창고 7T</v>
          </cell>
        </row>
        <row r="2326">
          <cell r="A2326">
            <v>70112619</v>
          </cell>
          <cell r="B2326" t="str">
            <v>A급 중형 무기류 창고 7T</v>
          </cell>
        </row>
        <row r="2327">
          <cell r="A2327">
            <v>70112620</v>
          </cell>
          <cell r="B2327" t="str">
            <v>A급 중형 총포류 창고 7T</v>
          </cell>
        </row>
        <row r="2328">
          <cell r="A2328">
            <v>70112621</v>
          </cell>
          <cell r="B2328" t="str">
            <v>A급 중형 짐창고 7T</v>
          </cell>
        </row>
        <row r="2329">
          <cell r="A2329">
            <v>70112622</v>
          </cell>
          <cell r="B2329" t="str">
            <v>A급 중형 조수실 7T</v>
          </cell>
        </row>
        <row r="2330">
          <cell r="A2330">
            <v>70112623</v>
          </cell>
          <cell r="B2330" t="str">
            <v>A급 중형 선원실 7T</v>
          </cell>
        </row>
        <row r="2331">
          <cell r="A2331">
            <v>70112624</v>
          </cell>
          <cell r="B2331" t="str">
            <v>A급 중형 탄약창고 7T</v>
          </cell>
        </row>
        <row r="2332">
          <cell r="A2332">
            <v>70112625</v>
          </cell>
          <cell r="B2332" t="str">
            <v>A급 중형 무기창고 7T</v>
          </cell>
        </row>
        <row r="2333">
          <cell r="A2333">
            <v>70112626</v>
          </cell>
          <cell r="B2333" t="str">
            <v>A급 중형 휴게실 7T</v>
          </cell>
        </row>
        <row r="2334">
          <cell r="A2334">
            <v>70112627</v>
          </cell>
          <cell r="B2334" t="str">
            <v>A급 중형 연회장 7T</v>
          </cell>
        </row>
        <row r="2335">
          <cell r="A2335">
            <v>70112628</v>
          </cell>
          <cell r="B2335" t="str">
            <v>A급 중형 위장창고 7T</v>
          </cell>
        </row>
        <row r="2336">
          <cell r="A2336">
            <v>70112629</v>
          </cell>
          <cell r="B2336" t="str">
            <v>A급 중형 강화창고 7T</v>
          </cell>
        </row>
        <row r="2337">
          <cell r="A2337">
            <v>70112700</v>
          </cell>
          <cell r="B2337" t="str">
            <v>S급 중형 물자창고 7T</v>
          </cell>
        </row>
        <row r="2338">
          <cell r="A2338">
            <v>70112701</v>
          </cell>
          <cell r="B2338" t="str">
            <v>S급 중형 식료품 창고 7T</v>
          </cell>
        </row>
        <row r="2339">
          <cell r="A2339">
            <v>70112702</v>
          </cell>
          <cell r="B2339" t="str">
            <v>S급 중형 조미료 창고 7T</v>
          </cell>
        </row>
        <row r="2340">
          <cell r="A2340">
            <v>70112703</v>
          </cell>
          <cell r="B2340" t="str">
            <v>S급 중형 가축 창고 7T</v>
          </cell>
        </row>
        <row r="2341">
          <cell r="A2341">
            <v>70112704</v>
          </cell>
          <cell r="B2341" t="str">
            <v>S급 중형 의약품 창고 7T</v>
          </cell>
        </row>
        <row r="2342">
          <cell r="A2342">
            <v>70112705</v>
          </cell>
          <cell r="B2342" t="str">
            <v>S급 중형 잡화 창고 7T</v>
          </cell>
        </row>
        <row r="2343">
          <cell r="A2343">
            <v>70112706</v>
          </cell>
          <cell r="B2343" t="str">
            <v>S급 중형 주류 창고 7T</v>
          </cell>
        </row>
        <row r="2344">
          <cell r="A2344">
            <v>70112707</v>
          </cell>
          <cell r="B2344" t="str">
            <v>S급 중형 염료 창고 7T</v>
          </cell>
        </row>
        <row r="2345">
          <cell r="A2345">
            <v>70112708</v>
          </cell>
          <cell r="B2345" t="str">
            <v>S급 중형 광석 창고 7T</v>
          </cell>
        </row>
        <row r="2346">
          <cell r="A2346">
            <v>70112709</v>
          </cell>
          <cell r="B2346" t="str">
            <v>S급 중형 공업품 창고 7T</v>
          </cell>
        </row>
        <row r="2347">
          <cell r="A2347">
            <v>70112710</v>
          </cell>
          <cell r="B2347" t="str">
            <v>S급 중형 기호품 창고 7T</v>
          </cell>
        </row>
        <row r="2348">
          <cell r="A2348">
            <v>70112711</v>
          </cell>
          <cell r="B2348" t="str">
            <v>S급 중형 섬유 창고 7T</v>
          </cell>
        </row>
        <row r="2349">
          <cell r="A2349">
            <v>70112712</v>
          </cell>
          <cell r="B2349" t="str">
            <v>S급 중형 직물 창고 7T</v>
          </cell>
        </row>
        <row r="2350">
          <cell r="A2350">
            <v>70112713</v>
          </cell>
          <cell r="B2350" t="str">
            <v>S급 중형 공예품 창고 7T</v>
          </cell>
        </row>
        <row r="2351">
          <cell r="A2351">
            <v>70112714</v>
          </cell>
          <cell r="B2351" t="str">
            <v>S급 중형 미술품 창고 7T</v>
          </cell>
        </row>
        <row r="2352">
          <cell r="A2352">
            <v>70112715</v>
          </cell>
          <cell r="B2352" t="str">
            <v>S급 중형 향신료 창고 7T</v>
          </cell>
        </row>
        <row r="2353">
          <cell r="A2353">
            <v>70112716</v>
          </cell>
          <cell r="B2353" t="str">
            <v>S급 중형 귀금속 창고 7T</v>
          </cell>
        </row>
        <row r="2354">
          <cell r="A2354">
            <v>70112717</v>
          </cell>
          <cell r="B2354" t="str">
            <v>S급 중형 향료 창고 7T</v>
          </cell>
        </row>
        <row r="2355">
          <cell r="A2355">
            <v>70112718</v>
          </cell>
          <cell r="B2355" t="str">
            <v>S급 중형 보석 창고 7T</v>
          </cell>
        </row>
        <row r="2356">
          <cell r="A2356">
            <v>70112719</v>
          </cell>
          <cell r="B2356" t="str">
            <v>S급 중형 무기류 창고 7T</v>
          </cell>
        </row>
        <row r="2357">
          <cell r="A2357">
            <v>70112720</v>
          </cell>
          <cell r="B2357" t="str">
            <v>S급 중형 총포류 창고 7T</v>
          </cell>
        </row>
        <row r="2358">
          <cell r="A2358">
            <v>70112721</v>
          </cell>
          <cell r="B2358" t="str">
            <v>S급 중형 짐창고 7T</v>
          </cell>
        </row>
        <row r="2359">
          <cell r="A2359">
            <v>70112722</v>
          </cell>
          <cell r="B2359" t="str">
            <v>S급 중형 조수실 7T</v>
          </cell>
        </row>
        <row r="2360">
          <cell r="A2360">
            <v>70112723</v>
          </cell>
          <cell r="B2360" t="str">
            <v>S급 중형 선원실 7T</v>
          </cell>
        </row>
        <row r="2361">
          <cell r="A2361">
            <v>70112724</v>
          </cell>
          <cell r="B2361" t="str">
            <v>S급 중형 탄약창고 7T</v>
          </cell>
        </row>
        <row r="2362">
          <cell r="A2362">
            <v>70112725</v>
          </cell>
          <cell r="B2362" t="str">
            <v>S급 중형 무기창고 7T</v>
          </cell>
        </row>
        <row r="2363">
          <cell r="A2363">
            <v>70112726</v>
          </cell>
          <cell r="B2363" t="str">
            <v>S급 중형 휴게실 7T</v>
          </cell>
        </row>
        <row r="2364">
          <cell r="A2364">
            <v>70112727</v>
          </cell>
          <cell r="B2364" t="str">
            <v>S급 중형 연회장 7T</v>
          </cell>
        </row>
        <row r="2365">
          <cell r="A2365">
            <v>70112728</v>
          </cell>
          <cell r="B2365" t="str">
            <v>S급 중형 위장창고 7T</v>
          </cell>
        </row>
        <row r="2366">
          <cell r="A2366">
            <v>70112729</v>
          </cell>
          <cell r="B2366" t="str">
            <v>S급 중형 강화창고 7T</v>
          </cell>
        </row>
        <row r="2367">
          <cell r="A2367">
            <v>70112800</v>
          </cell>
          <cell r="B2367" t="str">
            <v>C급 중형 물자창고 8T</v>
          </cell>
        </row>
        <row r="2368">
          <cell r="A2368">
            <v>70112801</v>
          </cell>
          <cell r="B2368" t="str">
            <v>C급 중형 식료품 창고 8T</v>
          </cell>
        </row>
        <row r="2369">
          <cell r="A2369">
            <v>70112802</v>
          </cell>
          <cell r="B2369" t="str">
            <v>C급 중형 조미료 창고 8T</v>
          </cell>
        </row>
        <row r="2370">
          <cell r="A2370">
            <v>70112803</v>
          </cell>
          <cell r="B2370" t="str">
            <v>C급 중형 가축 창고 8T</v>
          </cell>
        </row>
        <row r="2371">
          <cell r="A2371">
            <v>70112804</v>
          </cell>
          <cell r="B2371" t="str">
            <v>C급 중형 의약품 창고 8T</v>
          </cell>
        </row>
        <row r="2372">
          <cell r="A2372">
            <v>70112805</v>
          </cell>
          <cell r="B2372" t="str">
            <v>C급 중형 잡화 창고 8T</v>
          </cell>
        </row>
        <row r="2373">
          <cell r="A2373">
            <v>70112806</v>
          </cell>
          <cell r="B2373" t="str">
            <v>C급 중형 주류 창고 8T</v>
          </cell>
        </row>
        <row r="2374">
          <cell r="A2374">
            <v>70112807</v>
          </cell>
          <cell r="B2374" t="str">
            <v>C급 중형 염료 창고 8T</v>
          </cell>
        </row>
        <row r="2375">
          <cell r="A2375">
            <v>70112808</v>
          </cell>
          <cell r="B2375" t="str">
            <v>C급 중형 광석 창고 8T</v>
          </cell>
        </row>
        <row r="2376">
          <cell r="A2376">
            <v>70112809</v>
          </cell>
          <cell r="B2376" t="str">
            <v>C급 중형 공업품 창고 8T</v>
          </cell>
        </row>
        <row r="2377">
          <cell r="A2377">
            <v>70112810</v>
          </cell>
          <cell r="B2377" t="str">
            <v>C급 중형 기호품 창고 8T</v>
          </cell>
        </row>
        <row r="2378">
          <cell r="A2378">
            <v>70112811</v>
          </cell>
          <cell r="B2378" t="str">
            <v>C급 중형 섬유 창고 8T</v>
          </cell>
        </row>
        <row r="2379">
          <cell r="A2379">
            <v>70112812</v>
          </cell>
          <cell r="B2379" t="str">
            <v>C급 중형 직물 창고 8T</v>
          </cell>
        </row>
        <row r="2380">
          <cell r="A2380">
            <v>70112813</v>
          </cell>
          <cell r="B2380" t="str">
            <v>C급 중형 공예품 창고 8T</v>
          </cell>
        </row>
        <row r="2381">
          <cell r="A2381">
            <v>70112814</v>
          </cell>
          <cell r="B2381" t="str">
            <v>C급 중형 미술품 창고 8T</v>
          </cell>
        </row>
        <row r="2382">
          <cell r="A2382">
            <v>70112815</v>
          </cell>
          <cell r="B2382" t="str">
            <v>C급 중형 향신료 창고 8T</v>
          </cell>
        </row>
        <row r="2383">
          <cell r="A2383">
            <v>70112816</v>
          </cell>
          <cell r="B2383" t="str">
            <v>C급 중형 귀금속 창고 8T</v>
          </cell>
        </row>
        <row r="2384">
          <cell r="A2384">
            <v>70112817</v>
          </cell>
          <cell r="B2384" t="str">
            <v>C급 중형 향료 창고 8T</v>
          </cell>
        </row>
        <row r="2385">
          <cell r="A2385">
            <v>70112818</v>
          </cell>
          <cell r="B2385" t="str">
            <v>C급 중형 보석 창고 8T</v>
          </cell>
        </row>
        <row r="2386">
          <cell r="A2386">
            <v>70112819</v>
          </cell>
          <cell r="B2386" t="str">
            <v>C급 중형 무기류 창고 8T</v>
          </cell>
        </row>
        <row r="2387">
          <cell r="A2387">
            <v>70112820</v>
          </cell>
          <cell r="B2387" t="str">
            <v>C급 중형 총포류 창고 8T</v>
          </cell>
        </row>
        <row r="2388">
          <cell r="A2388">
            <v>70112821</v>
          </cell>
          <cell r="B2388" t="str">
            <v>C급 중형 짐창고 8T</v>
          </cell>
        </row>
        <row r="2389">
          <cell r="A2389">
            <v>70112822</v>
          </cell>
          <cell r="B2389" t="str">
            <v>C급 중형 조수실 8T</v>
          </cell>
        </row>
        <row r="2390">
          <cell r="A2390">
            <v>70112823</v>
          </cell>
          <cell r="B2390" t="str">
            <v>C급 중형 선원실 8T</v>
          </cell>
        </row>
        <row r="2391">
          <cell r="A2391">
            <v>70112824</v>
          </cell>
          <cell r="B2391" t="str">
            <v>C급 중형 탄약창고 8T</v>
          </cell>
        </row>
        <row r="2392">
          <cell r="A2392">
            <v>70112825</v>
          </cell>
          <cell r="B2392" t="str">
            <v>C급 중형 무기창고 8T</v>
          </cell>
        </row>
        <row r="2393">
          <cell r="A2393">
            <v>70112826</v>
          </cell>
          <cell r="B2393" t="str">
            <v>C급 중형 휴게실 8T</v>
          </cell>
        </row>
        <row r="2394">
          <cell r="A2394">
            <v>70112827</v>
          </cell>
          <cell r="B2394" t="str">
            <v>C급 중형 연회장 8T</v>
          </cell>
        </row>
        <row r="2395">
          <cell r="A2395">
            <v>70112828</v>
          </cell>
          <cell r="B2395" t="str">
            <v>C급 중형 위장창고 8T</v>
          </cell>
        </row>
        <row r="2396">
          <cell r="A2396">
            <v>70112829</v>
          </cell>
          <cell r="B2396" t="str">
            <v>C급 중형 강화창고 8T</v>
          </cell>
        </row>
        <row r="2397">
          <cell r="A2397">
            <v>70112900</v>
          </cell>
          <cell r="B2397" t="str">
            <v>B급 중형 물자창고 8T</v>
          </cell>
        </row>
        <row r="2398">
          <cell r="A2398">
            <v>70112901</v>
          </cell>
          <cell r="B2398" t="str">
            <v>B급 중형 식료품 창고 8T</v>
          </cell>
        </row>
        <row r="2399">
          <cell r="A2399">
            <v>70112902</v>
          </cell>
          <cell r="B2399" t="str">
            <v>B급 중형 조미료 창고 8T</v>
          </cell>
        </row>
        <row r="2400">
          <cell r="A2400">
            <v>70112903</v>
          </cell>
          <cell r="B2400" t="str">
            <v>B급 중형 가축 창고 8T</v>
          </cell>
        </row>
        <row r="2401">
          <cell r="A2401">
            <v>70112904</v>
          </cell>
          <cell r="B2401" t="str">
            <v>B급 중형 의약품 창고 8T</v>
          </cell>
        </row>
        <row r="2402">
          <cell r="A2402">
            <v>70112905</v>
          </cell>
          <cell r="B2402" t="str">
            <v>B급 중형 잡화 창고 8T</v>
          </cell>
        </row>
        <row r="2403">
          <cell r="A2403">
            <v>70112906</v>
          </cell>
          <cell r="B2403" t="str">
            <v>B급 중형 주류 창고 8T</v>
          </cell>
        </row>
        <row r="2404">
          <cell r="A2404">
            <v>70112907</v>
          </cell>
          <cell r="B2404" t="str">
            <v>B급 중형 염료 창고 8T</v>
          </cell>
        </row>
        <row r="2405">
          <cell r="A2405">
            <v>70112908</v>
          </cell>
          <cell r="B2405" t="str">
            <v>B급 중형 광석 창고 8T</v>
          </cell>
        </row>
        <row r="2406">
          <cell r="A2406">
            <v>70112909</v>
          </cell>
          <cell r="B2406" t="str">
            <v>B급 중형 공업품 창고 8T</v>
          </cell>
        </row>
        <row r="2407">
          <cell r="A2407">
            <v>70112910</v>
          </cell>
          <cell r="B2407" t="str">
            <v>B급 중형 기호품 창고 8T</v>
          </cell>
        </row>
        <row r="2408">
          <cell r="A2408">
            <v>70112911</v>
          </cell>
          <cell r="B2408" t="str">
            <v>B급 중형 섬유 창고 8T</v>
          </cell>
        </row>
        <row r="2409">
          <cell r="A2409">
            <v>70112912</v>
          </cell>
          <cell r="B2409" t="str">
            <v>B급 중형 직물 창고 8T</v>
          </cell>
        </row>
        <row r="2410">
          <cell r="A2410">
            <v>70112913</v>
          </cell>
          <cell r="B2410" t="str">
            <v>B급 중형 공예품 창고 8T</v>
          </cell>
        </row>
        <row r="2411">
          <cell r="A2411">
            <v>70112914</v>
          </cell>
          <cell r="B2411" t="str">
            <v>B급 중형 미술품 창고 8T</v>
          </cell>
        </row>
        <row r="2412">
          <cell r="A2412">
            <v>70112915</v>
          </cell>
          <cell r="B2412" t="str">
            <v>B급 중형 향신료 창고 8T</v>
          </cell>
        </row>
        <row r="2413">
          <cell r="A2413">
            <v>70112916</v>
          </cell>
          <cell r="B2413" t="str">
            <v>B급 중형 귀금속 창고 8T</v>
          </cell>
        </row>
        <row r="2414">
          <cell r="A2414">
            <v>70112917</v>
          </cell>
          <cell r="B2414" t="str">
            <v>B급 중형 향료 창고 8T</v>
          </cell>
        </row>
        <row r="2415">
          <cell r="A2415">
            <v>70112918</v>
          </cell>
          <cell r="B2415" t="str">
            <v>B급 중형 보석 창고 8T</v>
          </cell>
        </row>
        <row r="2416">
          <cell r="A2416">
            <v>70112919</v>
          </cell>
          <cell r="B2416" t="str">
            <v>B급 중형 무기류 창고 8T</v>
          </cell>
        </row>
        <row r="2417">
          <cell r="A2417">
            <v>70112920</v>
          </cell>
          <cell r="B2417" t="str">
            <v>B급 중형 총포류 창고 8T</v>
          </cell>
        </row>
        <row r="2418">
          <cell r="A2418">
            <v>70112921</v>
          </cell>
          <cell r="B2418" t="str">
            <v>B급 중형 짐창고 8T</v>
          </cell>
        </row>
        <row r="2419">
          <cell r="A2419">
            <v>70112922</v>
          </cell>
          <cell r="B2419" t="str">
            <v>B급 중형 조수실 8T</v>
          </cell>
        </row>
        <row r="2420">
          <cell r="A2420">
            <v>70112923</v>
          </cell>
          <cell r="B2420" t="str">
            <v>B급 중형 선원실 8T</v>
          </cell>
        </row>
        <row r="2421">
          <cell r="A2421">
            <v>70112924</v>
          </cell>
          <cell r="B2421" t="str">
            <v>B급 중형 탄약창고 8T</v>
          </cell>
        </row>
        <row r="2422">
          <cell r="A2422">
            <v>70112925</v>
          </cell>
          <cell r="B2422" t="str">
            <v>B급 중형 무기창고 8T</v>
          </cell>
        </row>
        <row r="2423">
          <cell r="A2423">
            <v>70112926</v>
          </cell>
          <cell r="B2423" t="str">
            <v>B급 중형 휴게실 8T</v>
          </cell>
        </row>
        <row r="2424">
          <cell r="A2424">
            <v>70112927</v>
          </cell>
          <cell r="B2424" t="str">
            <v>B급 중형 연회장 8T</v>
          </cell>
        </row>
        <row r="2425">
          <cell r="A2425">
            <v>70112928</v>
          </cell>
          <cell r="B2425" t="str">
            <v>B급 중형 위장창고 8T</v>
          </cell>
        </row>
        <row r="2426">
          <cell r="A2426">
            <v>70112929</v>
          </cell>
          <cell r="B2426" t="str">
            <v>B급 중형 강화창고 8T</v>
          </cell>
        </row>
        <row r="2427">
          <cell r="A2427">
            <v>70113000</v>
          </cell>
          <cell r="B2427" t="str">
            <v>A급 중형 물자창고 8T</v>
          </cell>
        </row>
        <row r="2428">
          <cell r="A2428">
            <v>70113001</v>
          </cell>
          <cell r="B2428" t="str">
            <v>A급 중형 식료품 창고 8T</v>
          </cell>
        </row>
        <row r="2429">
          <cell r="A2429">
            <v>70113002</v>
          </cell>
          <cell r="B2429" t="str">
            <v>A급 중형 조미료 창고 8T</v>
          </cell>
        </row>
        <row r="2430">
          <cell r="A2430">
            <v>70113003</v>
          </cell>
          <cell r="B2430" t="str">
            <v>A급 중형 가축 창고 8T</v>
          </cell>
        </row>
        <row r="2431">
          <cell r="A2431">
            <v>70113004</v>
          </cell>
          <cell r="B2431" t="str">
            <v>A급 중형 의약품 창고 8T</v>
          </cell>
        </row>
        <row r="2432">
          <cell r="A2432">
            <v>70113005</v>
          </cell>
          <cell r="B2432" t="str">
            <v>A급 중형 잡화 창고 8T</v>
          </cell>
        </row>
        <row r="2433">
          <cell r="A2433">
            <v>70113006</v>
          </cell>
          <cell r="B2433" t="str">
            <v>A급 중형 주류 창고 8T</v>
          </cell>
        </row>
        <row r="2434">
          <cell r="A2434">
            <v>70113007</v>
          </cell>
          <cell r="B2434" t="str">
            <v>A급 중형 염료 창고 8T</v>
          </cell>
        </row>
        <row r="2435">
          <cell r="A2435">
            <v>70113008</v>
          </cell>
          <cell r="B2435" t="str">
            <v>A급 중형 광석 창고 8T</v>
          </cell>
        </row>
        <row r="2436">
          <cell r="A2436">
            <v>70113009</v>
          </cell>
          <cell r="B2436" t="str">
            <v>A급 중형 공업품 창고 8T</v>
          </cell>
        </row>
        <row r="2437">
          <cell r="A2437">
            <v>70113010</v>
          </cell>
          <cell r="B2437" t="str">
            <v>A급 중형 기호품 창고 8T</v>
          </cell>
        </row>
        <row r="2438">
          <cell r="A2438">
            <v>70113011</v>
          </cell>
          <cell r="B2438" t="str">
            <v>A급 중형 섬유 창고 8T</v>
          </cell>
        </row>
        <row r="2439">
          <cell r="A2439">
            <v>70113012</v>
          </cell>
          <cell r="B2439" t="str">
            <v>A급 중형 직물 창고 8T</v>
          </cell>
        </row>
        <row r="2440">
          <cell r="A2440">
            <v>70113013</v>
          </cell>
          <cell r="B2440" t="str">
            <v>A급 중형 공예품 창고 8T</v>
          </cell>
        </row>
        <row r="2441">
          <cell r="A2441">
            <v>70113014</v>
          </cell>
          <cell r="B2441" t="str">
            <v>A급 중형 미술품 창고 8T</v>
          </cell>
        </row>
        <row r="2442">
          <cell r="A2442">
            <v>70113015</v>
          </cell>
          <cell r="B2442" t="str">
            <v>A급 중형 향신료 창고 8T</v>
          </cell>
        </row>
        <row r="2443">
          <cell r="A2443">
            <v>70113016</v>
          </cell>
          <cell r="B2443" t="str">
            <v>A급 중형 귀금속 창고 8T</v>
          </cell>
        </row>
        <row r="2444">
          <cell r="A2444">
            <v>70113017</v>
          </cell>
          <cell r="B2444" t="str">
            <v>A급 중형 향료 창고 8T</v>
          </cell>
        </row>
        <row r="2445">
          <cell r="A2445">
            <v>70113018</v>
          </cell>
          <cell r="B2445" t="str">
            <v>A급 중형 보석 창고 8T</v>
          </cell>
        </row>
        <row r="2446">
          <cell r="A2446">
            <v>70113019</v>
          </cell>
          <cell r="B2446" t="str">
            <v>A급 중형 무기류 창고 8T</v>
          </cell>
        </row>
        <row r="2447">
          <cell r="A2447">
            <v>70113020</v>
          </cell>
          <cell r="B2447" t="str">
            <v>A급 중형 총포류 창고 8T</v>
          </cell>
        </row>
        <row r="2448">
          <cell r="A2448">
            <v>70113021</v>
          </cell>
          <cell r="B2448" t="str">
            <v>A급 중형 짐창고 8T</v>
          </cell>
        </row>
        <row r="2449">
          <cell r="A2449">
            <v>70113022</v>
          </cell>
          <cell r="B2449" t="str">
            <v>A급 중형 조수실 8T</v>
          </cell>
        </row>
        <row r="2450">
          <cell r="A2450">
            <v>70113023</v>
          </cell>
          <cell r="B2450" t="str">
            <v>A급 중형 선원실 8T</v>
          </cell>
        </row>
        <row r="2451">
          <cell r="A2451">
            <v>70113024</v>
          </cell>
          <cell r="B2451" t="str">
            <v>A급 중형 탄약창고 8T</v>
          </cell>
        </row>
        <row r="2452">
          <cell r="A2452">
            <v>70113025</v>
          </cell>
          <cell r="B2452" t="str">
            <v>A급 중형 무기창고 8T</v>
          </cell>
        </row>
        <row r="2453">
          <cell r="A2453">
            <v>70113026</v>
          </cell>
          <cell r="B2453" t="str">
            <v>A급 중형 휴게실 8T</v>
          </cell>
        </row>
        <row r="2454">
          <cell r="A2454">
            <v>70113027</v>
          </cell>
          <cell r="B2454" t="str">
            <v>A급 중형 연회장 8T</v>
          </cell>
        </row>
        <row r="2455">
          <cell r="A2455">
            <v>70113028</v>
          </cell>
          <cell r="B2455" t="str">
            <v>A급 중형 위장창고 8T</v>
          </cell>
        </row>
        <row r="2456">
          <cell r="A2456">
            <v>70113029</v>
          </cell>
          <cell r="B2456" t="str">
            <v>A급 중형 강화창고 8T</v>
          </cell>
        </row>
        <row r="2457">
          <cell r="A2457">
            <v>70113100</v>
          </cell>
          <cell r="B2457" t="str">
            <v>S급 중형 물자창고 8T</v>
          </cell>
        </row>
        <row r="2458">
          <cell r="A2458">
            <v>70113101</v>
          </cell>
          <cell r="B2458" t="str">
            <v>S급 중형 식료품 창고 8T</v>
          </cell>
        </row>
        <row r="2459">
          <cell r="A2459">
            <v>70113102</v>
          </cell>
          <cell r="B2459" t="str">
            <v>S급 중형 조미료 창고 8T</v>
          </cell>
        </row>
        <row r="2460">
          <cell r="A2460">
            <v>70113103</v>
          </cell>
          <cell r="B2460" t="str">
            <v>S급 중형 가축 창고 8T</v>
          </cell>
        </row>
        <row r="2461">
          <cell r="A2461">
            <v>70113104</v>
          </cell>
          <cell r="B2461" t="str">
            <v>S급 중형 의약품 창고 8T</v>
          </cell>
        </row>
        <row r="2462">
          <cell r="A2462">
            <v>70113105</v>
          </cell>
          <cell r="B2462" t="str">
            <v>S급 중형 잡화 창고 8T</v>
          </cell>
        </row>
        <row r="2463">
          <cell r="A2463">
            <v>70113106</v>
          </cell>
          <cell r="B2463" t="str">
            <v>S급 중형 주류 창고 8T</v>
          </cell>
        </row>
        <row r="2464">
          <cell r="A2464">
            <v>70113107</v>
          </cell>
          <cell r="B2464" t="str">
            <v>S급 중형 염료 창고 8T</v>
          </cell>
        </row>
        <row r="2465">
          <cell r="A2465">
            <v>70113108</v>
          </cell>
          <cell r="B2465" t="str">
            <v>S급 중형 광석 창고 8T</v>
          </cell>
        </row>
        <row r="2466">
          <cell r="A2466">
            <v>70113109</v>
          </cell>
          <cell r="B2466" t="str">
            <v>S급 중형 공업품 창고 8T</v>
          </cell>
        </row>
        <row r="2467">
          <cell r="A2467">
            <v>70113110</v>
          </cell>
          <cell r="B2467" t="str">
            <v>S급 중형 기호품 창고 8T</v>
          </cell>
        </row>
        <row r="2468">
          <cell r="A2468">
            <v>70113111</v>
          </cell>
          <cell r="B2468" t="str">
            <v>S급 중형 섬유 창고 8T</v>
          </cell>
        </row>
        <row r="2469">
          <cell r="A2469">
            <v>70113112</v>
          </cell>
          <cell r="B2469" t="str">
            <v>S급 중형 직물 창고 8T</v>
          </cell>
        </row>
        <row r="2470">
          <cell r="A2470">
            <v>70113113</v>
          </cell>
          <cell r="B2470" t="str">
            <v>S급 중형 공예품 창고 8T</v>
          </cell>
        </row>
        <row r="2471">
          <cell r="A2471">
            <v>70113114</v>
          </cell>
          <cell r="B2471" t="str">
            <v>S급 중형 미술품 창고 8T</v>
          </cell>
        </row>
        <row r="2472">
          <cell r="A2472">
            <v>70113115</v>
          </cell>
          <cell r="B2472" t="str">
            <v>S급 중형 향신료 창고 8T</v>
          </cell>
        </row>
        <row r="2473">
          <cell r="A2473">
            <v>70113116</v>
          </cell>
          <cell r="B2473" t="str">
            <v>S급 중형 귀금속 창고 8T</v>
          </cell>
        </row>
        <row r="2474">
          <cell r="A2474">
            <v>70113117</v>
          </cell>
          <cell r="B2474" t="str">
            <v>S급 중형 향료 창고 8T</v>
          </cell>
        </row>
        <row r="2475">
          <cell r="A2475">
            <v>70113118</v>
          </cell>
          <cell r="B2475" t="str">
            <v>S급 중형 보석 창고 8T</v>
          </cell>
        </row>
        <row r="2476">
          <cell r="A2476">
            <v>70113119</v>
          </cell>
          <cell r="B2476" t="str">
            <v>S급 중형 무기류 창고 8T</v>
          </cell>
        </row>
        <row r="2477">
          <cell r="A2477">
            <v>70113120</v>
          </cell>
          <cell r="B2477" t="str">
            <v>S급 중형 총포류 창고 8T</v>
          </cell>
        </row>
        <row r="2478">
          <cell r="A2478">
            <v>70113121</v>
          </cell>
          <cell r="B2478" t="str">
            <v>S급 중형 짐창고 8T</v>
          </cell>
        </row>
        <row r="2479">
          <cell r="A2479">
            <v>70113122</v>
          </cell>
          <cell r="B2479" t="str">
            <v>S급 중형 조수실 8T</v>
          </cell>
        </row>
        <row r="2480">
          <cell r="A2480">
            <v>70113123</v>
          </cell>
          <cell r="B2480" t="str">
            <v>S급 중형 선원실 8T</v>
          </cell>
        </row>
        <row r="2481">
          <cell r="A2481">
            <v>70113124</v>
          </cell>
          <cell r="B2481" t="str">
            <v>S급 중형 탄약창고 8T</v>
          </cell>
        </row>
        <row r="2482">
          <cell r="A2482">
            <v>70113125</v>
          </cell>
          <cell r="B2482" t="str">
            <v>S급 중형 무기창고 8T</v>
          </cell>
        </row>
        <row r="2483">
          <cell r="A2483">
            <v>70113126</v>
          </cell>
          <cell r="B2483" t="str">
            <v>S급 중형 휴게실 8T</v>
          </cell>
        </row>
        <row r="2484">
          <cell r="A2484">
            <v>70113127</v>
          </cell>
          <cell r="B2484" t="str">
            <v>S급 중형 연회장 8T</v>
          </cell>
        </row>
        <row r="2485">
          <cell r="A2485">
            <v>70113128</v>
          </cell>
          <cell r="B2485" t="str">
            <v>S급 중형 위장창고 8T</v>
          </cell>
        </row>
        <row r="2486">
          <cell r="A2486">
            <v>70113129</v>
          </cell>
          <cell r="B2486" t="str">
            <v>S급 중형 강화창고 8T</v>
          </cell>
        </row>
        <row r="2487">
          <cell r="A2487">
            <v>70113200</v>
          </cell>
          <cell r="B2487" t="str">
            <v>C급 중형 물자창고 9T</v>
          </cell>
        </row>
        <row r="2488">
          <cell r="A2488">
            <v>70113201</v>
          </cell>
          <cell r="B2488" t="str">
            <v>C급 중형 식료품 창고 9T</v>
          </cell>
        </row>
        <row r="2489">
          <cell r="A2489">
            <v>70113202</v>
          </cell>
          <cell r="B2489" t="str">
            <v>C급 중형 조미료 창고 9T</v>
          </cell>
        </row>
        <row r="2490">
          <cell r="A2490">
            <v>70113203</v>
          </cell>
          <cell r="B2490" t="str">
            <v>C급 중형 가축 창고 9T</v>
          </cell>
        </row>
        <row r="2491">
          <cell r="A2491">
            <v>70113204</v>
          </cell>
          <cell r="B2491" t="str">
            <v>C급 중형 의약품 창고 9T</v>
          </cell>
        </row>
        <row r="2492">
          <cell r="A2492">
            <v>70113205</v>
          </cell>
          <cell r="B2492" t="str">
            <v>C급 중형 잡화 창고 9T</v>
          </cell>
        </row>
        <row r="2493">
          <cell r="A2493">
            <v>70113206</v>
          </cell>
          <cell r="B2493" t="str">
            <v>C급 중형 주류 창고 9T</v>
          </cell>
        </row>
        <row r="2494">
          <cell r="A2494">
            <v>70113207</v>
          </cell>
          <cell r="B2494" t="str">
            <v>C급 중형 염료 창고 9T</v>
          </cell>
        </row>
        <row r="2495">
          <cell r="A2495">
            <v>70113208</v>
          </cell>
          <cell r="B2495" t="str">
            <v>C급 중형 광석 창고 9T</v>
          </cell>
        </row>
        <row r="2496">
          <cell r="A2496">
            <v>70113209</v>
          </cell>
          <cell r="B2496" t="str">
            <v>C급 중형 공업품 창고 9T</v>
          </cell>
        </row>
        <row r="2497">
          <cell r="A2497">
            <v>70113210</v>
          </cell>
          <cell r="B2497" t="str">
            <v>C급 중형 기호품 창고 9T</v>
          </cell>
        </row>
        <row r="2498">
          <cell r="A2498">
            <v>70113211</v>
          </cell>
          <cell r="B2498" t="str">
            <v>C급 중형 섬유 창고 9T</v>
          </cell>
        </row>
        <row r="2499">
          <cell r="A2499">
            <v>70113212</v>
          </cell>
          <cell r="B2499" t="str">
            <v>C급 중형 직물 창고 9T</v>
          </cell>
        </row>
        <row r="2500">
          <cell r="A2500">
            <v>70113213</v>
          </cell>
          <cell r="B2500" t="str">
            <v>C급 중형 공예품 창고 9T</v>
          </cell>
        </row>
        <row r="2501">
          <cell r="A2501">
            <v>70113214</v>
          </cell>
          <cell r="B2501" t="str">
            <v>C급 중형 미술품 창고 9T</v>
          </cell>
        </row>
        <row r="2502">
          <cell r="A2502">
            <v>70113215</v>
          </cell>
          <cell r="B2502" t="str">
            <v>C급 중형 향신료 창고 9T</v>
          </cell>
        </row>
        <row r="2503">
          <cell r="A2503">
            <v>70113216</v>
          </cell>
          <cell r="B2503" t="str">
            <v>C급 중형 귀금속 창고 9T</v>
          </cell>
        </row>
        <row r="2504">
          <cell r="A2504">
            <v>70113217</v>
          </cell>
          <cell r="B2504" t="str">
            <v>C급 중형 향료 창고 9T</v>
          </cell>
        </row>
        <row r="2505">
          <cell r="A2505">
            <v>70113218</v>
          </cell>
          <cell r="B2505" t="str">
            <v>C급 중형 보석 창고 9T</v>
          </cell>
        </row>
        <row r="2506">
          <cell r="A2506">
            <v>70113219</v>
          </cell>
          <cell r="B2506" t="str">
            <v>C급 중형 무기류 창고 9T</v>
          </cell>
        </row>
        <row r="2507">
          <cell r="A2507">
            <v>70113220</v>
          </cell>
          <cell r="B2507" t="str">
            <v>C급 중형 총포류 창고 9T</v>
          </cell>
        </row>
        <row r="2508">
          <cell r="A2508">
            <v>70113221</v>
          </cell>
          <cell r="B2508" t="str">
            <v>C급 중형 짐창고 9T</v>
          </cell>
        </row>
        <row r="2509">
          <cell r="A2509">
            <v>70113222</v>
          </cell>
          <cell r="B2509" t="str">
            <v>C급 중형 조수실 9T</v>
          </cell>
        </row>
        <row r="2510">
          <cell r="A2510">
            <v>70113223</v>
          </cell>
          <cell r="B2510" t="str">
            <v>C급 중형 선원실 9T</v>
          </cell>
        </row>
        <row r="2511">
          <cell r="A2511">
            <v>70113224</v>
          </cell>
          <cell r="B2511" t="str">
            <v>C급 중형 탄약창고 9T</v>
          </cell>
        </row>
        <row r="2512">
          <cell r="A2512">
            <v>70113225</v>
          </cell>
          <cell r="B2512" t="str">
            <v>C급 중형 무기창고 9T</v>
          </cell>
        </row>
        <row r="2513">
          <cell r="A2513">
            <v>70113226</v>
          </cell>
          <cell r="B2513" t="str">
            <v>C급 중형 휴게실 9T</v>
          </cell>
        </row>
        <row r="2514">
          <cell r="A2514">
            <v>70113227</v>
          </cell>
          <cell r="B2514" t="str">
            <v>C급 중형 연회장 9T</v>
          </cell>
        </row>
        <row r="2515">
          <cell r="A2515">
            <v>70113228</v>
          </cell>
          <cell r="B2515" t="str">
            <v>C급 중형 위장창고 9T</v>
          </cell>
        </row>
        <row r="2516">
          <cell r="A2516">
            <v>70113229</v>
          </cell>
          <cell r="B2516" t="str">
            <v>C급 중형 강화창고 9T</v>
          </cell>
        </row>
        <row r="2517">
          <cell r="A2517">
            <v>70113300</v>
          </cell>
          <cell r="B2517" t="str">
            <v>B급 중형 물자창고 9T</v>
          </cell>
        </row>
        <row r="2518">
          <cell r="A2518">
            <v>70113301</v>
          </cell>
          <cell r="B2518" t="str">
            <v>B급 중형 식료품 창고 9T</v>
          </cell>
        </row>
        <row r="2519">
          <cell r="A2519">
            <v>70113302</v>
          </cell>
          <cell r="B2519" t="str">
            <v>B급 중형 조미료 창고 9T</v>
          </cell>
        </row>
        <row r="2520">
          <cell r="A2520">
            <v>70113303</v>
          </cell>
          <cell r="B2520" t="str">
            <v>B급 중형 가축 창고 9T</v>
          </cell>
        </row>
        <row r="2521">
          <cell r="A2521">
            <v>70113304</v>
          </cell>
          <cell r="B2521" t="str">
            <v>B급 중형 의약품 창고 9T</v>
          </cell>
        </row>
        <row r="2522">
          <cell r="A2522">
            <v>70113305</v>
          </cell>
          <cell r="B2522" t="str">
            <v>B급 중형 잡화 창고 9T</v>
          </cell>
        </row>
        <row r="2523">
          <cell r="A2523">
            <v>70113306</v>
          </cell>
          <cell r="B2523" t="str">
            <v>B급 중형 주류 창고 9T</v>
          </cell>
        </row>
        <row r="2524">
          <cell r="A2524">
            <v>70113307</v>
          </cell>
          <cell r="B2524" t="str">
            <v>B급 중형 염료 창고 9T</v>
          </cell>
        </row>
        <row r="2525">
          <cell r="A2525">
            <v>70113308</v>
          </cell>
          <cell r="B2525" t="str">
            <v>B급 중형 광석 창고 9T</v>
          </cell>
        </row>
        <row r="2526">
          <cell r="A2526">
            <v>70113309</v>
          </cell>
          <cell r="B2526" t="str">
            <v>B급 중형 공업품 창고 9T</v>
          </cell>
        </row>
        <row r="2527">
          <cell r="A2527">
            <v>70113310</v>
          </cell>
          <cell r="B2527" t="str">
            <v>B급 중형 기호품 창고 9T</v>
          </cell>
        </row>
        <row r="2528">
          <cell r="A2528">
            <v>70113311</v>
          </cell>
          <cell r="B2528" t="str">
            <v>B급 중형 섬유 창고 9T</v>
          </cell>
        </row>
        <row r="2529">
          <cell r="A2529">
            <v>70113312</v>
          </cell>
          <cell r="B2529" t="str">
            <v>B급 중형 직물 창고 9T</v>
          </cell>
        </row>
        <row r="2530">
          <cell r="A2530">
            <v>70113313</v>
          </cell>
          <cell r="B2530" t="str">
            <v>B급 중형 공예품 창고 9T</v>
          </cell>
        </row>
        <row r="2531">
          <cell r="A2531">
            <v>70113314</v>
          </cell>
          <cell r="B2531" t="str">
            <v>B급 중형 미술품 창고 9T</v>
          </cell>
        </row>
        <row r="2532">
          <cell r="A2532">
            <v>70113315</v>
          </cell>
          <cell r="B2532" t="str">
            <v>B급 중형 향신료 창고 9T</v>
          </cell>
        </row>
        <row r="2533">
          <cell r="A2533">
            <v>70113316</v>
          </cell>
          <cell r="B2533" t="str">
            <v>B급 중형 귀금속 창고 9T</v>
          </cell>
        </row>
        <row r="2534">
          <cell r="A2534">
            <v>70113317</v>
          </cell>
          <cell r="B2534" t="str">
            <v>B급 중형 향료 창고 9T</v>
          </cell>
        </row>
        <row r="2535">
          <cell r="A2535">
            <v>70113318</v>
          </cell>
          <cell r="B2535" t="str">
            <v>B급 중형 보석 창고 9T</v>
          </cell>
        </row>
        <row r="2536">
          <cell r="A2536">
            <v>70113319</v>
          </cell>
          <cell r="B2536" t="str">
            <v>B급 중형 무기류 창고 9T</v>
          </cell>
        </row>
        <row r="2537">
          <cell r="A2537">
            <v>70113320</v>
          </cell>
          <cell r="B2537" t="str">
            <v>B급 중형 총포류 창고 9T</v>
          </cell>
        </row>
        <row r="2538">
          <cell r="A2538">
            <v>70113321</v>
          </cell>
          <cell r="B2538" t="str">
            <v>B급 중형 짐창고 9T</v>
          </cell>
        </row>
        <row r="2539">
          <cell r="A2539">
            <v>70113322</v>
          </cell>
          <cell r="B2539" t="str">
            <v>B급 중형 조수실 9T</v>
          </cell>
        </row>
        <row r="2540">
          <cell r="A2540">
            <v>70113323</v>
          </cell>
          <cell r="B2540" t="str">
            <v>B급 중형 선원실 9T</v>
          </cell>
        </row>
        <row r="2541">
          <cell r="A2541">
            <v>70113324</v>
          </cell>
          <cell r="B2541" t="str">
            <v>B급 중형 탄약창고 9T</v>
          </cell>
        </row>
        <row r="2542">
          <cell r="A2542">
            <v>70113325</v>
          </cell>
          <cell r="B2542" t="str">
            <v>B급 중형 무기창고 9T</v>
          </cell>
        </row>
        <row r="2543">
          <cell r="A2543">
            <v>70113326</v>
          </cell>
          <cell r="B2543" t="str">
            <v>B급 중형 휴게실 9T</v>
          </cell>
        </row>
        <row r="2544">
          <cell r="A2544">
            <v>70113327</v>
          </cell>
          <cell r="B2544" t="str">
            <v>B급 중형 연회장 9T</v>
          </cell>
        </row>
        <row r="2545">
          <cell r="A2545">
            <v>70113328</v>
          </cell>
          <cell r="B2545" t="str">
            <v>B급 중형 위장창고 9T</v>
          </cell>
        </row>
        <row r="2546">
          <cell r="A2546">
            <v>70113329</v>
          </cell>
          <cell r="B2546" t="str">
            <v>B급 중형 강화창고 9T</v>
          </cell>
        </row>
        <row r="2547">
          <cell r="A2547">
            <v>70113400</v>
          </cell>
          <cell r="B2547" t="str">
            <v>A급 중형 물자창고 9T</v>
          </cell>
        </row>
        <row r="2548">
          <cell r="A2548">
            <v>70113401</v>
          </cell>
          <cell r="B2548" t="str">
            <v>A급 중형 식료품 창고 9T</v>
          </cell>
        </row>
        <row r="2549">
          <cell r="A2549">
            <v>70113402</v>
          </cell>
          <cell r="B2549" t="str">
            <v>A급 중형 조미료 창고 9T</v>
          </cell>
        </row>
        <row r="2550">
          <cell r="A2550">
            <v>70113403</v>
          </cell>
          <cell r="B2550" t="str">
            <v>A급 중형 가축 창고 9T</v>
          </cell>
        </row>
        <row r="2551">
          <cell r="A2551">
            <v>70113404</v>
          </cell>
          <cell r="B2551" t="str">
            <v>A급 중형 의약품 창고 9T</v>
          </cell>
        </row>
        <row r="2552">
          <cell r="A2552">
            <v>70113405</v>
          </cell>
          <cell r="B2552" t="str">
            <v>A급 중형 잡화 창고 9T</v>
          </cell>
        </row>
        <row r="2553">
          <cell r="A2553">
            <v>70113406</v>
          </cell>
          <cell r="B2553" t="str">
            <v>A급 중형 주류 창고 9T</v>
          </cell>
        </row>
        <row r="2554">
          <cell r="A2554">
            <v>70113407</v>
          </cell>
          <cell r="B2554" t="str">
            <v>A급 중형 염료 창고 9T</v>
          </cell>
        </row>
        <row r="2555">
          <cell r="A2555">
            <v>70113408</v>
          </cell>
          <cell r="B2555" t="str">
            <v>A급 중형 광석 창고 9T</v>
          </cell>
        </row>
        <row r="2556">
          <cell r="A2556">
            <v>70113409</v>
          </cell>
          <cell r="B2556" t="str">
            <v>A급 중형 공업품 창고 9T</v>
          </cell>
        </row>
        <row r="2557">
          <cell r="A2557">
            <v>70113410</v>
          </cell>
          <cell r="B2557" t="str">
            <v>A급 중형 기호품 창고 9T</v>
          </cell>
        </row>
        <row r="2558">
          <cell r="A2558">
            <v>70113411</v>
          </cell>
          <cell r="B2558" t="str">
            <v>A급 중형 섬유 창고 9T</v>
          </cell>
        </row>
        <row r="2559">
          <cell r="A2559">
            <v>70113412</v>
          </cell>
          <cell r="B2559" t="str">
            <v>A급 중형 직물 창고 9T</v>
          </cell>
        </row>
        <row r="2560">
          <cell r="A2560">
            <v>70113413</v>
          </cell>
          <cell r="B2560" t="str">
            <v>A급 중형 공예품 창고 9T</v>
          </cell>
        </row>
        <row r="2561">
          <cell r="A2561">
            <v>70113414</v>
          </cell>
          <cell r="B2561" t="str">
            <v>A급 중형 미술품 창고 9T</v>
          </cell>
        </row>
        <row r="2562">
          <cell r="A2562">
            <v>70113415</v>
          </cell>
          <cell r="B2562" t="str">
            <v>A급 중형 향신료 창고 9T</v>
          </cell>
        </row>
        <row r="2563">
          <cell r="A2563">
            <v>70113416</v>
          </cell>
          <cell r="B2563" t="str">
            <v>A급 중형 귀금속 창고 9T</v>
          </cell>
        </row>
        <row r="2564">
          <cell r="A2564">
            <v>70113417</v>
          </cell>
          <cell r="B2564" t="str">
            <v>A급 중형 향료 창고 9T</v>
          </cell>
        </row>
        <row r="2565">
          <cell r="A2565">
            <v>70113418</v>
          </cell>
          <cell r="B2565" t="str">
            <v>A급 중형 보석 창고 9T</v>
          </cell>
        </row>
        <row r="2566">
          <cell r="A2566">
            <v>70113419</v>
          </cell>
          <cell r="B2566" t="str">
            <v>A급 중형 무기류 창고 9T</v>
          </cell>
        </row>
        <row r="2567">
          <cell r="A2567">
            <v>70113420</v>
          </cell>
          <cell r="B2567" t="str">
            <v>A급 중형 총포류 창고 9T</v>
          </cell>
        </row>
        <row r="2568">
          <cell r="A2568">
            <v>70113421</v>
          </cell>
          <cell r="B2568" t="str">
            <v>A급 중형 짐창고 9T</v>
          </cell>
        </row>
        <row r="2569">
          <cell r="A2569">
            <v>70113422</v>
          </cell>
          <cell r="B2569" t="str">
            <v>A급 중형 조수실 9T</v>
          </cell>
        </row>
        <row r="2570">
          <cell r="A2570">
            <v>70113423</v>
          </cell>
          <cell r="B2570" t="str">
            <v>A급 중형 선원실 9T</v>
          </cell>
        </row>
        <row r="2571">
          <cell r="A2571">
            <v>70113424</v>
          </cell>
          <cell r="B2571" t="str">
            <v>A급 중형 탄약창고 9T</v>
          </cell>
        </row>
        <row r="2572">
          <cell r="A2572">
            <v>70113425</v>
          </cell>
          <cell r="B2572" t="str">
            <v>A급 중형 무기창고 9T</v>
          </cell>
        </row>
        <row r="2573">
          <cell r="A2573">
            <v>70113426</v>
          </cell>
          <cell r="B2573" t="str">
            <v>A급 중형 휴게실 9T</v>
          </cell>
        </row>
        <row r="2574">
          <cell r="A2574">
            <v>70113427</v>
          </cell>
          <cell r="B2574" t="str">
            <v>A급 중형 연회장 9T</v>
          </cell>
        </row>
        <row r="2575">
          <cell r="A2575">
            <v>70113428</v>
          </cell>
          <cell r="B2575" t="str">
            <v>A급 중형 위장창고 9T</v>
          </cell>
        </row>
        <row r="2576">
          <cell r="A2576">
            <v>70113429</v>
          </cell>
          <cell r="B2576" t="str">
            <v>A급 중형 강화창고 9T</v>
          </cell>
        </row>
        <row r="2577">
          <cell r="A2577">
            <v>70113500</v>
          </cell>
          <cell r="B2577" t="str">
            <v>S급 중형 물자창고 9T</v>
          </cell>
        </row>
        <row r="2578">
          <cell r="A2578">
            <v>70113501</v>
          </cell>
          <cell r="B2578" t="str">
            <v>S급 중형 식료품 창고 9T</v>
          </cell>
        </row>
        <row r="2579">
          <cell r="A2579">
            <v>70113502</v>
          </cell>
          <cell r="B2579" t="str">
            <v>S급 중형 조미료 창고 9T</v>
          </cell>
        </row>
        <row r="2580">
          <cell r="A2580">
            <v>70113503</v>
          </cell>
          <cell r="B2580" t="str">
            <v>S급 중형 가축 창고 9T</v>
          </cell>
        </row>
        <row r="2581">
          <cell r="A2581">
            <v>70113504</v>
          </cell>
          <cell r="B2581" t="str">
            <v>S급 중형 의약품 창고 9T</v>
          </cell>
        </row>
        <row r="2582">
          <cell r="A2582">
            <v>70113505</v>
          </cell>
          <cell r="B2582" t="str">
            <v>S급 중형 잡화 창고 9T</v>
          </cell>
        </row>
        <row r="2583">
          <cell r="A2583">
            <v>70113506</v>
          </cell>
          <cell r="B2583" t="str">
            <v>S급 중형 주류 창고 9T</v>
          </cell>
        </row>
        <row r="2584">
          <cell r="A2584">
            <v>70113507</v>
          </cell>
          <cell r="B2584" t="str">
            <v>S급 중형 염료 창고 9T</v>
          </cell>
        </row>
        <row r="2585">
          <cell r="A2585">
            <v>70113508</v>
          </cell>
          <cell r="B2585" t="str">
            <v>S급 중형 광석 창고 9T</v>
          </cell>
        </row>
        <row r="2586">
          <cell r="A2586">
            <v>70113509</v>
          </cell>
          <cell r="B2586" t="str">
            <v>S급 중형 공업품 창고 9T</v>
          </cell>
        </row>
        <row r="2587">
          <cell r="A2587">
            <v>70113510</v>
          </cell>
          <cell r="B2587" t="str">
            <v>S급 중형 기호품 창고 9T</v>
          </cell>
        </row>
        <row r="2588">
          <cell r="A2588">
            <v>70113511</v>
          </cell>
          <cell r="B2588" t="str">
            <v>S급 중형 섬유 창고 9T</v>
          </cell>
        </row>
        <row r="2589">
          <cell r="A2589">
            <v>70113512</v>
          </cell>
          <cell r="B2589" t="str">
            <v>S급 중형 직물 창고 9T</v>
          </cell>
        </row>
        <row r="2590">
          <cell r="A2590">
            <v>70113513</v>
          </cell>
          <cell r="B2590" t="str">
            <v>S급 중형 공예품 창고 9T</v>
          </cell>
        </row>
        <row r="2591">
          <cell r="A2591">
            <v>70113514</v>
          </cell>
          <cell r="B2591" t="str">
            <v>S급 중형 미술품 창고 9T</v>
          </cell>
        </row>
        <row r="2592">
          <cell r="A2592">
            <v>70113515</v>
          </cell>
          <cell r="B2592" t="str">
            <v>S급 중형 향신료 창고 9T</v>
          </cell>
        </row>
        <row r="2593">
          <cell r="A2593">
            <v>70113516</v>
          </cell>
          <cell r="B2593" t="str">
            <v>S급 중형 귀금속 창고 9T</v>
          </cell>
        </row>
        <row r="2594">
          <cell r="A2594">
            <v>70113517</v>
          </cell>
          <cell r="B2594" t="str">
            <v>S급 중형 향료 창고 9T</v>
          </cell>
        </row>
        <row r="2595">
          <cell r="A2595">
            <v>70113518</v>
          </cell>
          <cell r="B2595" t="str">
            <v>S급 중형 보석 창고 9T</v>
          </cell>
        </row>
        <row r="2596">
          <cell r="A2596">
            <v>70113519</v>
          </cell>
          <cell r="B2596" t="str">
            <v>S급 중형 무기류 창고 9T</v>
          </cell>
        </row>
        <row r="2597">
          <cell r="A2597">
            <v>70113520</v>
          </cell>
          <cell r="B2597" t="str">
            <v>S급 중형 총포류 창고 9T</v>
          </cell>
        </row>
        <row r="2598">
          <cell r="A2598">
            <v>70113521</v>
          </cell>
          <cell r="B2598" t="str">
            <v>S급 중형 짐창고 9T</v>
          </cell>
        </row>
        <row r="2599">
          <cell r="A2599">
            <v>70113522</v>
          </cell>
          <cell r="B2599" t="str">
            <v>S급 중형 조수실 9T</v>
          </cell>
        </row>
        <row r="2600">
          <cell r="A2600">
            <v>70113523</v>
          </cell>
          <cell r="B2600" t="str">
            <v>S급 중형 선원실 9T</v>
          </cell>
        </row>
        <row r="2601">
          <cell r="A2601">
            <v>70113524</v>
          </cell>
          <cell r="B2601" t="str">
            <v>S급 중형 탄약창고 9T</v>
          </cell>
        </row>
        <row r="2602">
          <cell r="A2602">
            <v>70113525</v>
          </cell>
          <cell r="B2602" t="str">
            <v>S급 중형 무기창고 9T</v>
          </cell>
        </row>
        <row r="2603">
          <cell r="A2603">
            <v>70113526</v>
          </cell>
          <cell r="B2603" t="str">
            <v>S급 중형 휴게실 9T</v>
          </cell>
        </row>
        <row r="2604">
          <cell r="A2604">
            <v>70113527</v>
          </cell>
          <cell r="B2604" t="str">
            <v>S급 중형 연회장 9T</v>
          </cell>
        </row>
        <row r="2605">
          <cell r="A2605">
            <v>70113528</v>
          </cell>
          <cell r="B2605" t="str">
            <v>S급 중형 위장창고 9T</v>
          </cell>
        </row>
        <row r="2606">
          <cell r="A2606">
            <v>70113529</v>
          </cell>
          <cell r="B2606" t="str">
            <v>S급 중형 강화창고 9T</v>
          </cell>
        </row>
        <row r="2607">
          <cell r="A2607">
            <v>70113600</v>
          </cell>
          <cell r="B2607" t="str">
            <v>C급 중형 물자창고 10T</v>
          </cell>
        </row>
        <row r="2608">
          <cell r="A2608">
            <v>70113601</v>
          </cell>
          <cell r="B2608" t="str">
            <v>C급 중형 식료품 창고 10T</v>
          </cell>
        </row>
        <row r="2609">
          <cell r="A2609">
            <v>70113602</v>
          </cell>
          <cell r="B2609" t="str">
            <v>C급 중형 조미료 창고 10T</v>
          </cell>
        </row>
        <row r="2610">
          <cell r="A2610">
            <v>70113603</v>
          </cell>
          <cell r="B2610" t="str">
            <v>C급 중형 가축 창고 10T</v>
          </cell>
        </row>
        <row r="2611">
          <cell r="A2611">
            <v>70113604</v>
          </cell>
          <cell r="B2611" t="str">
            <v>C급 중형 의약품 창고 10T</v>
          </cell>
        </row>
        <row r="2612">
          <cell r="A2612">
            <v>70113605</v>
          </cell>
          <cell r="B2612" t="str">
            <v>C급 중형 잡화 창고 10T</v>
          </cell>
        </row>
        <row r="2613">
          <cell r="A2613">
            <v>70113606</v>
          </cell>
          <cell r="B2613" t="str">
            <v>C급 중형 주류 창고 10T</v>
          </cell>
        </row>
        <row r="2614">
          <cell r="A2614">
            <v>70113607</v>
          </cell>
          <cell r="B2614" t="str">
            <v>C급 중형 염료 창고 10T</v>
          </cell>
        </row>
        <row r="2615">
          <cell r="A2615">
            <v>70113608</v>
          </cell>
          <cell r="B2615" t="str">
            <v>C급 중형 광석 창고 10T</v>
          </cell>
        </row>
        <row r="2616">
          <cell r="A2616">
            <v>70113609</v>
          </cell>
          <cell r="B2616" t="str">
            <v>C급 중형 공업품 창고 10T</v>
          </cell>
        </row>
        <row r="2617">
          <cell r="A2617">
            <v>70113610</v>
          </cell>
          <cell r="B2617" t="str">
            <v>C급 중형 기호품 창고 10T</v>
          </cell>
        </row>
        <row r="2618">
          <cell r="A2618">
            <v>70113611</v>
          </cell>
          <cell r="B2618" t="str">
            <v>C급 중형 섬유 창고 10T</v>
          </cell>
        </row>
        <row r="2619">
          <cell r="A2619">
            <v>70113612</v>
          </cell>
          <cell r="B2619" t="str">
            <v>C급 중형 직물 창고 10T</v>
          </cell>
        </row>
        <row r="2620">
          <cell r="A2620">
            <v>70113613</v>
          </cell>
          <cell r="B2620" t="str">
            <v>C급 중형 공예품 창고 10T</v>
          </cell>
        </row>
        <row r="2621">
          <cell r="A2621">
            <v>70113614</v>
          </cell>
          <cell r="B2621" t="str">
            <v>C급 중형 미술품 창고 10T</v>
          </cell>
        </row>
        <row r="2622">
          <cell r="A2622">
            <v>70113615</v>
          </cell>
          <cell r="B2622" t="str">
            <v>C급 중형 향신료 창고 10T</v>
          </cell>
        </row>
        <row r="2623">
          <cell r="A2623">
            <v>70113616</v>
          </cell>
          <cell r="B2623" t="str">
            <v>C급 중형 귀금속 창고 10T</v>
          </cell>
        </row>
        <row r="2624">
          <cell r="A2624">
            <v>70113617</v>
          </cell>
          <cell r="B2624" t="str">
            <v>C급 중형 향료 창고 10T</v>
          </cell>
        </row>
        <row r="2625">
          <cell r="A2625">
            <v>70113618</v>
          </cell>
          <cell r="B2625" t="str">
            <v>C급 중형 보석 창고 10T</v>
          </cell>
        </row>
        <row r="2626">
          <cell r="A2626">
            <v>70113619</v>
          </cell>
          <cell r="B2626" t="str">
            <v>C급 중형 무기류 창고 10T</v>
          </cell>
        </row>
        <row r="2627">
          <cell r="A2627">
            <v>70113620</v>
          </cell>
          <cell r="B2627" t="str">
            <v>C급 중형 총포류 창고 10T</v>
          </cell>
        </row>
        <row r="2628">
          <cell r="A2628">
            <v>70113621</v>
          </cell>
          <cell r="B2628" t="str">
            <v>C급 중형 짐창고 10T</v>
          </cell>
        </row>
        <row r="2629">
          <cell r="A2629">
            <v>70113622</v>
          </cell>
          <cell r="B2629" t="str">
            <v>C급 중형 조수실 10T</v>
          </cell>
        </row>
        <row r="2630">
          <cell r="A2630">
            <v>70113623</v>
          </cell>
          <cell r="B2630" t="str">
            <v>C급 중형 선원실 10T</v>
          </cell>
        </row>
        <row r="2631">
          <cell r="A2631">
            <v>70113624</v>
          </cell>
          <cell r="B2631" t="str">
            <v>C급 중형 탄약창고 10T</v>
          </cell>
        </row>
        <row r="2632">
          <cell r="A2632">
            <v>70113625</v>
          </cell>
          <cell r="B2632" t="str">
            <v>C급 중형 무기창고 10T</v>
          </cell>
        </row>
        <row r="2633">
          <cell r="A2633">
            <v>70113626</v>
          </cell>
          <cell r="B2633" t="str">
            <v>C급 중형 휴게실 10T</v>
          </cell>
        </row>
        <row r="2634">
          <cell r="A2634">
            <v>70113627</v>
          </cell>
          <cell r="B2634" t="str">
            <v>C급 중형 연회장 10T</v>
          </cell>
        </row>
        <row r="2635">
          <cell r="A2635">
            <v>70113628</v>
          </cell>
          <cell r="B2635" t="str">
            <v>C급 중형 위장창고 10T</v>
          </cell>
        </row>
        <row r="2636">
          <cell r="A2636">
            <v>70113629</v>
          </cell>
          <cell r="B2636" t="str">
            <v>C급 중형 강화창고 10T</v>
          </cell>
        </row>
        <row r="2637">
          <cell r="A2637">
            <v>70113700</v>
          </cell>
          <cell r="B2637" t="str">
            <v>B급 중형 물자창고 10T</v>
          </cell>
        </row>
        <row r="2638">
          <cell r="A2638">
            <v>70113701</v>
          </cell>
          <cell r="B2638" t="str">
            <v>B급 중형 식료품 창고 10T</v>
          </cell>
        </row>
        <row r="2639">
          <cell r="A2639">
            <v>70113702</v>
          </cell>
          <cell r="B2639" t="str">
            <v>B급 중형 조미료 창고 10T</v>
          </cell>
        </row>
        <row r="2640">
          <cell r="A2640">
            <v>70113703</v>
          </cell>
          <cell r="B2640" t="str">
            <v>B급 중형 가축 창고 10T</v>
          </cell>
        </row>
        <row r="2641">
          <cell r="A2641">
            <v>70113704</v>
          </cell>
          <cell r="B2641" t="str">
            <v>B급 중형 의약품 창고 10T</v>
          </cell>
        </row>
        <row r="2642">
          <cell r="A2642">
            <v>70113705</v>
          </cell>
          <cell r="B2642" t="str">
            <v>B급 중형 잡화 창고 10T</v>
          </cell>
        </row>
        <row r="2643">
          <cell r="A2643">
            <v>70113706</v>
          </cell>
          <cell r="B2643" t="str">
            <v>B급 중형 주류 창고 10T</v>
          </cell>
        </row>
        <row r="2644">
          <cell r="A2644">
            <v>70113707</v>
          </cell>
          <cell r="B2644" t="str">
            <v>B급 중형 염료 창고 10T</v>
          </cell>
        </row>
        <row r="2645">
          <cell r="A2645">
            <v>70113708</v>
          </cell>
          <cell r="B2645" t="str">
            <v>B급 중형 광석 창고 10T</v>
          </cell>
        </row>
        <row r="2646">
          <cell r="A2646">
            <v>70113709</v>
          </cell>
          <cell r="B2646" t="str">
            <v>B급 중형 공업품 창고 10T</v>
          </cell>
        </row>
        <row r="2647">
          <cell r="A2647">
            <v>70113710</v>
          </cell>
          <cell r="B2647" t="str">
            <v>B급 중형 기호품 창고 10T</v>
          </cell>
        </row>
        <row r="2648">
          <cell r="A2648">
            <v>70113711</v>
          </cell>
          <cell r="B2648" t="str">
            <v>B급 중형 섬유 창고 10T</v>
          </cell>
        </row>
        <row r="2649">
          <cell r="A2649">
            <v>70113712</v>
          </cell>
          <cell r="B2649" t="str">
            <v>B급 중형 직물 창고 10T</v>
          </cell>
        </row>
        <row r="2650">
          <cell r="A2650">
            <v>70113713</v>
          </cell>
          <cell r="B2650" t="str">
            <v>B급 중형 공예품 창고 10T</v>
          </cell>
        </row>
        <row r="2651">
          <cell r="A2651">
            <v>70113714</v>
          </cell>
          <cell r="B2651" t="str">
            <v>B급 중형 미술품 창고 10T</v>
          </cell>
        </row>
        <row r="2652">
          <cell r="A2652">
            <v>70113715</v>
          </cell>
          <cell r="B2652" t="str">
            <v>B급 중형 향신료 창고 10T</v>
          </cell>
        </row>
        <row r="2653">
          <cell r="A2653">
            <v>70113716</v>
          </cell>
          <cell r="B2653" t="str">
            <v>B급 중형 귀금속 창고 10T</v>
          </cell>
        </row>
        <row r="2654">
          <cell r="A2654">
            <v>70113717</v>
          </cell>
          <cell r="B2654" t="str">
            <v>B급 중형 향료 창고 10T</v>
          </cell>
        </row>
        <row r="2655">
          <cell r="A2655">
            <v>70113718</v>
          </cell>
          <cell r="B2655" t="str">
            <v>B급 중형 보석 창고 10T</v>
          </cell>
        </row>
        <row r="2656">
          <cell r="A2656">
            <v>70113719</v>
          </cell>
          <cell r="B2656" t="str">
            <v>B급 중형 무기류 창고 10T</v>
          </cell>
        </row>
        <row r="2657">
          <cell r="A2657">
            <v>70113720</v>
          </cell>
          <cell r="B2657" t="str">
            <v>B급 중형 총포류 창고 10T</v>
          </cell>
        </row>
        <row r="2658">
          <cell r="A2658">
            <v>70113721</v>
          </cell>
          <cell r="B2658" t="str">
            <v>B급 중형 짐창고 10T</v>
          </cell>
        </row>
        <row r="2659">
          <cell r="A2659">
            <v>70113722</v>
          </cell>
          <cell r="B2659" t="str">
            <v>B급 중형 조수실 10T</v>
          </cell>
        </row>
        <row r="2660">
          <cell r="A2660">
            <v>70113723</v>
          </cell>
          <cell r="B2660" t="str">
            <v>B급 중형 선원실 10T</v>
          </cell>
        </row>
        <row r="2661">
          <cell r="A2661">
            <v>70113724</v>
          </cell>
          <cell r="B2661" t="str">
            <v>B급 중형 탄약창고 10T</v>
          </cell>
        </row>
        <row r="2662">
          <cell r="A2662">
            <v>70113725</v>
          </cell>
          <cell r="B2662" t="str">
            <v>B급 중형 무기창고 10T</v>
          </cell>
        </row>
        <row r="2663">
          <cell r="A2663">
            <v>70113726</v>
          </cell>
          <cell r="B2663" t="str">
            <v>B급 중형 휴게실 10T</v>
          </cell>
        </row>
        <row r="2664">
          <cell r="A2664">
            <v>70113727</v>
          </cell>
          <cell r="B2664" t="str">
            <v>B급 중형 연회장 10T</v>
          </cell>
        </row>
        <row r="2665">
          <cell r="A2665">
            <v>70113728</v>
          </cell>
          <cell r="B2665" t="str">
            <v>B급 중형 위장창고 10T</v>
          </cell>
        </row>
        <row r="2666">
          <cell r="A2666">
            <v>70113729</v>
          </cell>
          <cell r="B2666" t="str">
            <v>B급 중형 강화창고 10T</v>
          </cell>
        </row>
        <row r="2667">
          <cell r="A2667">
            <v>70113800</v>
          </cell>
          <cell r="B2667" t="str">
            <v>A급 중형 물자창고 10T</v>
          </cell>
        </row>
        <row r="2668">
          <cell r="A2668">
            <v>70113801</v>
          </cell>
          <cell r="B2668" t="str">
            <v>A급 중형 식료품 창고 10T</v>
          </cell>
        </row>
        <row r="2669">
          <cell r="A2669">
            <v>70113802</v>
          </cell>
          <cell r="B2669" t="str">
            <v>A급 중형 조미료 창고 10T</v>
          </cell>
        </row>
        <row r="2670">
          <cell r="A2670">
            <v>70113803</v>
          </cell>
          <cell r="B2670" t="str">
            <v>A급 중형 가축 창고 10T</v>
          </cell>
        </row>
        <row r="2671">
          <cell r="A2671">
            <v>70113804</v>
          </cell>
          <cell r="B2671" t="str">
            <v>A급 중형 의약품 창고 10T</v>
          </cell>
        </row>
        <row r="2672">
          <cell r="A2672">
            <v>70113805</v>
          </cell>
          <cell r="B2672" t="str">
            <v>A급 중형 잡화 창고 10T</v>
          </cell>
        </row>
        <row r="2673">
          <cell r="A2673">
            <v>70113806</v>
          </cell>
          <cell r="B2673" t="str">
            <v>A급 중형 주류 창고 10T</v>
          </cell>
        </row>
        <row r="2674">
          <cell r="A2674">
            <v>70113807</v>
          </cell>
          <cell r="B2674" t="str">
            <v>A급 중형 염료 창고 10T</v>
          </cell>
        </row>
        <row r="2675">
          <cell r="A2675">
            <v>70113808</v>
          </cell>
          <cell r="B2675" t="str">
            <v>A급 중형 광석 창고 10T</v>
          </cell>
        </row>
        <row r="2676">
          <cell r="A2676">
            <v>70113809</v>
          </cell>
          <cell r="B2676" t="str">
            <v>A급 중형 공업품 창고 10T</v>
          </cell>
        </row>
        <row r="2677">
          <cell r="A2677">
            <v>70113810</v>
          </cell>
          <cell r="B2677" t="str">
            <v>A급 중형 기호품 창고 10T</v>
          </cell>
        </row>
        <row r="2678">
          <cell r="A2678">
            <v>70113811</v>
          </cell>
          <cell r="B2678" t="str">
            <v>A급 중형 섬유 창고 10T</v>
          </cell>
        </row>
        <row r="2679">
          <cell r="A2679">
            <v>70113812</v>
          </cell>
          <cell r="B2679" t="str">
            <v>A급 중형 직물 창고 10T</v>
          </cell>
        </row>
        <row r="2680">
          <cell r="A2680">
            <v>70113813</v>
          </cell>
          <cell r="B2680" t="str">
            <v>A급 중형 공예품 창고 10T</v>
          </cell>
        </row>
        <row r="2681">
          <cell r="A2681">
            <v>70113814</v>
          </cell>
          <cell r="B2681" t="str">
            <v>A급 중형 미술품 창고 10T</v>
          </cell>
        </row>
        <row r="2682">
          <cell r="A2682">
            <v>70113815</v>
          </cell>
          <cell r="B2682" t="str">
            <v>A급 중형 향신료 창고 10T</v>
          </cell>
        </row>
        <row r="2683">
          <cell r="A2683">
            <v>70113816</v>
          </cell>
          <cell r="B2683" t="str">
            <v>A급 중형 귀금속 창고 10T</v>
          </cell>
        </row>
        <row r="2684">
          <cell r="A2684">
            <v>70113817</v>
          </cell>
          <cell r="B2684" t="str">
            <v>A급 중형 향료 창고 10T</v>
          </cell>
        </row>
        <row r="2685">
          <cell r="A2685">
            <v>70113818</v>
          </cell>
          <cell r="B2685" t="str">
            <v>A급 중형 보석 창고 10T</v>
          </cell>
        </row>
        <row r="2686">
          <cell r="A2686">
            <v>70113819</v>
          </cell>
          <cell r="B2686" t="str">
            <v>A급 중형 무기류 창고 10T</v>
          </cell>
        </row>
        <row r="2687">
          <cell r="A2687">
            <v>70113820</v>
          </cell>
          <cell r="B2687" t="str">
            <v>A급 중형 총포류 창고 10T</v>
          </cell>
        </row>
        <row r="2688">
          <cell r="A2688">
            <v>70113821</v>
          </cell>
          <cell r="B2688" t="str">
            <v>A급 중형 짐창고 10T</v>
          </cell>
        </row>
        <row r="2689">
          <cell r="A2689">
            <v>70113822</v>
          </cell>
          <cell r="B2689" t="str">
            <v>A급 중형 조수실 10T</v>
          </cell>
        </row>
        <row r="2690">
          <cell r="A2690">
            <v>70113823</v>
          </cell>
          <cell r="B2690" t="str">
            <v>A급 중형 선원실 10T</v>
          </cell>
        </row>
        <row r="2691">
          <cell r="A2691">
            <v>70113824</v>
          </cell>
          <cell r="B2691" t="str">
            <v>A급 중형 탄약창고 10T</v>
          </cell>
        </row>
        <row r="2692">
          <cell r="A2692">
            <v>70113825</v>
          </cell>
          <cell r="B2692" t="str">
            <v>A급 중형 무기창고 10T</v>
          </cell>
        </row>
        <row r="2693">
          <cell r="A2693">
            <v>70113826</v>
          </cell>
          <cell r="B2693" t="str">
            <v>A급 중형 휴게실 10T</v>
          </cell>
        </row>
        <row r="2694">
          <cell r="A2694">
            <v>70113827</v>
          </cell>
          <cell r="B2694" t="str">
            <v>A급 중형 연회장 10T</v>
          </cell>
        </row>
        <row r="2695">
          <cell r="A2695">
            <v>70113828</v>
          </cell>
          <cell r="B2695" t="str">
            <v>A급 중형 위장창고 10T</v>
          </cell>
        </row>
        <row r="2696">
          <cell r="A2696">
            <v>70113829</v>
          </cell>
          <cell r="B2696" t="str">
            <v>A급 중형 강화창고 10T</v>
          </cell>
        </row>
        <row r="2697">
          <cell r="A2697">
            <v>70113900</v>
          </cell>
          <cell r="B2697" t="str">
            <v>S급 중형 물자창고 10T</v>
          </cell>
        </row>
        <row r="2698">
          <cell r="A2698">
            <v>70113901</v>
          </cell>
          <cell r="B2698" t="str">
            <v>S급 중형 식료품 창고 10T</v>
          </cell>
        </row>
        <row r="2699">
          <cell r="A2699">
            <v>70113902</v>
          </cell>
          <cell r="B2699" t="str">
            <v>S급 중형 조미료 창고 10T</v>
          </cell>
        </row>
        <row r="2700">
          <cell r="A2700">
            <v>70113903</v>
          </cell>
          <cell r="B2700" t="str">
            <v>S급 중형 가축 창고 10T</v>
          </cell>
        </row>
        <row r="2701">
          <cell r="A2701">
            <v>70113904</v>
          </cell>
          <cell r="B2701" t="str">
            <v>S급 중형 의약품 창고 10T</v>
          </cell>
        </row>
        <row r="2702">
          <cell r="A2702">
            <v>70113905</v>
          </cell>
          <cell r="B2702" t="str">
            <v>S급 중형 잡화 창고 10T</v>
          </cell>
        </row>
        <row r="2703">
          <cell r="A2703">
            <v>70113906</v>
          </cell>
          <cell r="B2703" t="str">
            <v>S급 중형 주류 창고 10T</v>
          </cell>
        </row>
        <row r="2704">
          <cell r="A2704">
            <v>70113907</v>
          </cell>
          <cell r="B2704" t="str">
            <v>S급 중형 염료 창고 10T</v>
          </cell>
        </row>
        <row r="2705">
          <cell r="A2705">
            <v>70113908</v>
          </cell>
          <cell r="B2705" t="str">
            <v>S급 중형 광석 창고 10T</v>
          </cell>
        </row>
        <row r="2706">
          <cell r="A2706">
            <v>70113909</v>
          </cell>
          <cell r="B2706" t="str">
            <v>S급 중형 공업품 창고 10T</v>
          </cell>
        </row>
        <row r="2707">
          <cell r="A2707">
            <v>70113910</v>
          </cell>
          <cell r="B2707" t="str">
            <v>S급 중형 기호품 창고 10T</v>
          </cell>
        </row>
        <row r="2708">
          <cell r="A2708">
            <v>70113911</v>
          </cell>
          <cell r="B2708" t="str">
            <v>S급 중형 섬유 창고 10T</v>
          </cell>
        </row>
        <row r="2709">
          <cell r="A2709">
            <v>70113912</v>
          </cell>
          <cell r="B2709" t="str">
            <v>S급 중형 직물 창고 10T</v>
          </cell>
        </row>
        <row r="2710">
          <cell r="A2710">
            <v>70113913</v>
          </cell>
          <cell r="B2710" t="str">
            <v>S급 중형 공예품 창고 10T</v>
          </cell>
        </row>
        <row r="2711">
          <cell r="A2711">
            <v>70113914</v>
          </cell>
          <cell r="B2711" t="str">
            <v>S급 중형 미술품 창고 10T</v>
          </cell>
        </row>
        <row r="2712">
          <cell r="A2712">
            <v>70113915</v>
          </cell>
          <cell r="B2712" t="str">
            <v>S급 중형 향신료 창고 10T</v>
          </cell>
        </row>
        <row r="2713">
          <cell r="A2713">
            <v>70113916</v>
          </cell>
          <cell r="B2713" t="str">
            <v>S급 중형 귀금속 창고 10T</v>
          </cell>
        </row>
        <row r="2714">
          <cell r="A2714">
            <v>70113917</v>
          </cell>
          <cell r="B2714" t="str">
            <v>S급 중형 향료 창고 10T</v>
          </cell>
        </row>
        <row r="2715">
          <cell r="A2715">
            <v>70113918</v>
          </cell>
          <cell r="B2715" t="str">
            <v>S급 중형 보석 창고 10T</v>
          </cell>
        </row>
        <row r="2716">
          <cell r="A2716">
            <v>70113919</v>
          </cell>
          <cell r="B2716" t="str">
            <v>S급 중형 무기류 창고 10T</v>
          </cell>
        </row>
        <row r="2717">
          <cell r="A2717">
            <v>70113920</v>
          </cell>
          <cell r="B2717" t="str">
            <v>S급 중형 총포류 창고 10T</v>
          </cell>
        </row>
        <row r="2718">
          <cell r="A2718">
            <v>70113921</v>
          </cell>
          <cell r="B2718" t="str">
            <v>S급 중형 짐창고 10T</v>
          </cell>
        </row>
        <row r="2719">
          <cell r="A2719">
            <v>70113922</v>
          </cell>
          <cell r="B2719" t="str">
            <v>S급 중형 조수실 10T</v>
          </cell>
        </row>
        <row r="2720">
          <cell r="A2720">
            <v>70113923</v>
          </cell>
          <cell r="B2720" t="str">
            <v>S급 중형 선원실 10T</v>
          </cell>
        </row>
        <row r="2721">
          <cell r="A2721">
            <v>70113924</v>
          </cell>
          <cell r="B2721" t="str">
            <v>S급 중형 탄약창고 10T</v>
          </cell>
        </row>
        <row r="2722">
          <cell r="A2722">
            <v>70113925</v>
          </cell>
          <cell r="B2722" t="str">
            <v>S급 중형 무기창고 10T</v>
          </cell>
        </row>
        <row r="2723">
          <cell r="A2723">
            <v>70113926</v>
          </cell>
          <cell r="B2723" t="str">
            <v>S급 중형 휴게실 10T</v>
          </cell>
        </row>
        <row r="2724">
          <cell r="A2724">
            <v>70113927</v>
          </cell>
          <cell r="B2724" t="str">
            <v>S급 중형 연회장 10T</v>
          </cell>
        </row>
        <row r="2725">
          <cell r="A2725">
            <v>70113928</v>
          </cell>
          <cell r="B2725" t="str">
            <v>S급 중형 위장창고 10T</v>
          </cell>
        </row>
        <row r="2726">
          <cell r="A2726">
            <v>70113929</v>
          </cell>
          <cell r="B2726" t="str">
            <v>S급 중형 강화창고 10T</v>
          </cell>
        </row>
        <row r="2727">
          <cell r="A2727">
            <v>70120001</v>
          </cell>
          <cell r="B2727" t="str">
            <v>종업원실</v>
          </cell>
        </row>
        <row r="2728">
          <cell r="A2728">
            <v>70120002</v>
          </cell>
          <cell r="B2728" t="str">
            <v>응접실</v>
          </cell>
        </row>
        <row r="2729">
          <cell r="A2729">
            <v>70130000</v>
          </cell>
          <cell r="B2729" t="str">
            <v>C급 돛대 1T</v>
          </cell>
        </row>
        <row r="2730">
          <cell r="A2730">
            <v>70130001</v>
          </cell>
          <cell r="B2730" t="str">
            <v>C급 파수대 1T</v>
          </cell>
        </row>
        <row r="2731">
          <cell r="A2731">
            <v>70130002</v>
          </cell>
          <cell r="B2731" t="str">
            <v>C급 부관실 1T</v>
          </cell>
        </row>
        <row r="2732">
          <cell r="A2732">
            <v>70130003</v>
          </cell>
          <cell r="B2732" t="str">
            <v>C급 재목실 1T</v>
          </cell>
        </row>
        <row r="2733">
          <cell r="A2733">
            <v>70130004</v>
          </cell>
          <cell r="B2733" t="str">
            <v>C급 회계실 1T</v>
          </cell>
        </row>
        <row r="2734">
          <cell r="A2734">
            <v>70130005</v>
          </cell>
          <cell r="B2734" t="str">
            <v>C급 측량실 1T</v>
          </cell>
        </row>
        <row r="2735">
          <cell r="A2735">
            <v>70130006</v>
          </cell>
          <cell r="B2735" t="str">
            <v>C급 무장포대 1T</v>
          </cell>
        </row>
        <row r="2736">
          <cell r="A2736">
            <v>70130007</v>
          </cell>
          <cell r="B2736" t="str">
            <v>C급 해병대기실 1T</v>
          </cell>
        </row>
        <row r="2737">
          <cell r="A2737">
            <v>70130008</v>
          </cell>
          <cell r="B2737" t="str">
            <v>C급 개인실 1T</v>
          </cell>
        </row>
        <row r="2738">
          <cell r="A2738">
            <v>70130009</v>
          </cell>
          <cell r="B2738" t="str">
            <v>C급 예배실 1T</v>
          </cell>
        </row>
        <row r="2739">
          <cell r="A2739">
            <v>70130010</v>
          </cell>
          <cell r="B2739" t="str">
            <v>C급 조리실 1T</v>
          </cell>
        </row>
        <row r="2740">
          <cell r="A2740">
            <v>70130011</v>
          </cell>
          <cell r="B2740" t="str">
            <v>C급 진료실 1T</v>
          </cell>
        </row>
        <row r="2741">
          <cell r="A2741">
            <v>70130012</v>
          </cell>
          <cell r="B2741" t="str">
            <v>C급 체력단련실 1T</v>
          </cell>
        </row>
        <row r="2742">
          <cell r="A2742">
            <v>70130013</v>
          </cell>
          <cell r="B2742" t="str">
            <v>C급 참모실 1T</v>
          </cell>
        </row>
        <row r="2743">
          <cell r="A2743">
            <v>70130014</v>
          </cell>
          <cell r="B2743" t="str">
            <v>C급 오락실 1T</v>
          </cell>
        </row>
        <row r="2744">
          <cell r="A2744">
            <v>70130015</v>
          </cell>
          <cell r="B2744" t="str">
            <v>C급 사육실 1T</v>
          </cell>
        </row>
        <row r="2745">
          <cell r="A2745">
            <v>70130016</v>
          </cell>
          <cell r="B2745" t="str">
            <v>C급 연구실 1T</v>
          </cell>
        </row>
        <row r="2746">
          <cell r="A2746">
            <v>70130017</v>
          </cell>
          <cell r="B2746" t="str">
            <v>C급 도서실 1T</v>
          </cell>
        </row>
        <row r="2747">
          <cell r="A2747">
            <v>70130100</v>
          </cell>
          <cell r="B2747" t="str">
            <v>B급 돛대 1T</v>
          </cell>
        </row>
        <row r="2748">
          <cell r="A2748">
            <v>70130101</v>
          </cell>
          <cell r="B2748" t="str">
            <v>B급 파수대 1T</v>
          </cell>
        </row>
        <row r="2749">
          <cell r="A2749">
            <v>70130102</v>
          </cell>
          <cell r="B2749" t="str">
            <v>B급 부관실 1T</v>
          </cell>
        </row>
        <row r="2750">
          <cell r="A2750">
            <v>70130103</v>
          </cell>
          <cell r="B2750" t="str">
            <v>B급 재목실 1T</v>
          </cell>
        </row>
        <row r="2751">
          <cell r="A2751">
            <v>70130104</v>
          </cell>
          <cell r="B2751" t="str">
            <v>B급 회계실 1T</v>
          </cell>
        </row>
        <row r="2752">
          <cell r="A2752">
            <v>70130105</v>
          </cell>
          <cell r="B2752" t="str">
            <v>B급 측량실 1T</v>
          </cell>
        </row>
        <row r="2753">
          <cell r="A2753">
            <v>70130106</v>
          </cell>
          <cell r="B2753" t="str">
            <v>B급 무장포대 1T</v>
          </cell>
        </row>
        <row r="2754">
          <cell r="A2754">
            <v>70130107</v>
          </cell>
          <cell r="B2754" t="str">
            <v>B급 해병대기실 1T</v>
          </cell>
        </row>
        <row r="2755">
          <cell r="A2755">
            <v>70130108</v>
          </cell>
          <cell r="B2755" t="str">
            <v>B급 개인실 1T</v>
          </cell>
        </row>
        <row r="2756">
          <cell r="A2756">
            <v>70130109</v>
          </cell>
          <cell r="B2756" t="str">
            <v>B급 예배실 1T</v>
          </cell>
        </row>
        <row r="2757">
          <cell r="A2757">
            <v>70130110</v>
          </cell>
          <cell r="B2757" t="str">
            <v>B급 조리실 1T</v>
          </cell>
        </row>
        <row r="2758">
          <cell r="A2758">
            <v>70130111</v>
          </cell>
          <cell r="B2758" t="str">
            <v>B급 진료실 1T</v>
          </cell>
        </row>
        <row r="2759">
          <cell r="A2759">
            <v>70130112</v>
          </cell>
          <cell r="B2759" t="str">
            <v>B급 체력단련실 1T</v>
          </cell>
        </row>
        <row r="2760">
          <cell r="A2760">
            <v>70130113</v>
          </cell>
          <cell r="B2760" t="str">
            <v>B급 참모실 1T</v>
          </cell>
        </row>
        <row r="2761">
          <cell r="A2761">
            <v>70130114</v>
          </cell>
          <cell r="B2761" t="str">
            <v>B급 오락실 1T</v>
          </cell>
        </row>
        <row r="2762">
          <cell r="A2762">
            <v>70130115</v>
          </cell>
          <cell r="B2762" t="str">
            <v>B급 사육실 1T</v>
          </cell>
        </row>
        <row r="2763">
          <cell r="A2763">
            <v>70130116</v>
          </cell>
          <cell r="B2763" t="str">
            <v>B급 연구실 1T</v>
          </cell>
        </row>
        <row r="2764">
          <cell r="A2764">
            <v>70130117</v>
          </cell>
          <cell r="B2764" t="str">
            <v>B급 도서실 1T</v>
          </cell>
        </row>
        <row r="2765">
          <cell r="A2765">
            <v>70130200</v>
          </cell>
          <cell r="B2765" t="str">
            <v>A급 돛대 1T</v>
          </cell>
        </row>
        <row r="2766">
          <cell r="A2766">
            <v>70130201</v>
          </cell>
          <cell r="B2766" t="str">
            <v>A급 파수대 1T</v>
          </cell>
        </row>
        <row r="2767">
          <cell r="A2767">
            <v>70130202</v>
          </cell>
          <cell r="B2767" t="str">
            <v>A급 부관실 1T</v>
          </cell>
        </row>
        <row r="2768">
          <cell r="A2768">
            <v>70130203</v>
          </cell>
          <cell r="B2768" t="str">
            <v>A급 재목실 1T</v>
          </cell>
        </row>
        <row r="2769">
          <cell r="A2769">
            <v>70130204</v>
          </cell>
          <cell r="B2769" t="str">
            <v>A급 회계실 1T</v>
          </cell>
        </row>
        <row r="2770">
          <cell r="A2770">
            <v>70130205</v>
          </cell>
          <cell r="B2770" t="str">
            <v>A급 측량실 1T</v>
          </cell>
        </row>
        <row r="2771">
          <cell r="A2771">
            <v>70130206</v>
          </cell>
          <cell r="B2771" t="str">
            <v>A급 무장포대 1T</v>
          </cell>
        </row>
        <row r="2772">
          <cell r="A2772">
            <v>70130207</v>
          </cell>
          <cell r="B2772" t="str">
            <v>A급 해병대기실 1T</v>
          </cell>
        </row>
        <row r="2773">
          <cell r="A2773">
            <v>70130208</v>
          </cell>
          <cell r="B2773" t="str">
            <v>A급 개인실 1T</v>
          </cell>
        </row>
        <row r="2774">
          <cell r="A2774">
            <v>70130209</v>
          </cell>
          <cell r="B2774" t="str">
            <v>A급 예배실 1T</v>
          </cell>
        </row>
        <row r="2775">
          <cell r="A2775">
            <v>70130210</v>
          </cell>
          <cell r="B2775" t="str">
            <v>A급 조리실 1T</v>
          </cell>
        </row>
        <row r="2776">
          <cell r="A2776">
            <v>70130211</v>
          </cell>
          <cell r="B2776" t="str">
            <v>A급 진료실 1T</v>
          </cell>
        </row>
        <row r="2777">
          <cell r="A2777">
            <v>70130212</v>
          </cell>
          <cell r="B2777" t="str">
            <v>A급 체력단련실 1T</v>
          </cell>
        </row>
        <row r="2778">
          <cell r="A2778">
            <v>70130213</v>
          </cell>
          <cell r="B2778" t="str">
            <v>A급 참모실 1T</v>
          </cell>
        </row>
        <row r="2779">
          <cell r="A2779">
            <v>70130214</v>
          </cell>
          <cell r="B2779" t="str">
            <v>A급 오락실 1T</v>
          </cell>
        </row>
        <row r="2780">
          <cell r="A2780">
            <v>70130215</v>
          </cell>
          <cell r="B2780" t="str">
            <v>A급 사육실 1T</v>
          </cell>
        </row>
        <row r="2781">
          <cell r="A2781">
            <v>70130216</v>
          </cell>
          <cell r="B2781" t="str">
            <v>A급 연구실 1T</v>
          </cell>
        </row>
        <row r="2782">
          <cell r="A2782">
            <v>70130217</v>
          </cell>
          <cell r="B2782" t="str">
            <v>A급 도서실 1T</v>
          </cell>
        </row>
        <row r="2783">
          <cell r="A2783">
            <v>70130300</v>
          </cell>
          <cell r="B2783" t="str">
            <v>S급 돛대 1T</v>
          </cell>
        </row>
        <row r="2784">
          <cell r="A2784">
            <v>70130301</v>
          </cell>
          <cell r="B2784" t="str">
            <v>S급 파수대 1T</v>
          </cell>
        </row>
        <row r="2785">
          <cell r="A2785">
            <v>70130302</v>
          </cell>
          <cell r="B2785" t="str">
            <v>S급 부관실 1T</v>
          </cell>
        </row>
        <row r="2786">
          <cell r="A2786">
            <v>70130303</v>
          </cell>
          <cell r="B2786" t="str">
            <v>S급 재목실 1T</v>
          </cell>
        </row>
        <row r="2787">
          <cell r="A2787">
            <v>70130304</v>
          </cell>
          <cell r="B2787" t="str">
            <v>S급 회계실 1T</v>
          </cell>
        </row>
        <row r="2788">
          <cell r="A2788">
            <v>70130305</v>
          </cell>
          <cell r="B2788" t="str">
            <v>S급 측량실 1T</v>
          </cell>
        </row>
        <row r="2789">
          <cell r="A2789">
            <v>70130306</v>
          </cell>
          <cell r="B2789" t="str">
            <v>S급 무장포대 1T</v>
          </cell>
        </row>
        <row r="2790">
          <cell r="A2790">
            <v>70130307</v>
          </cell>
          <cell r="B2790" t="str">
            <v>S급 해병대기실 1T</v>
          </cell>
        </row>
        <row r="2791">
          <cell r="A2791">
            <v>70130308</v>
          </cell>
          <cell r="B2791" t="str">
            <v>S급 개인실 1T</v>
          </cell>
        </row>
        <row r="2792">
          <cell r="A2792">
            <v>70130309</v>
          </cell>
          <cell r="B2792" t="str">
            <v>S급 예배실 1T</v>
          </cell>
        </row>
        <row r="2793">
          <cell r="A2793">
            <v>70130310</v>
          </cell>
          <cell r="B2793" t="str">
            <v>S급 조리실 1T</v>
          </cell>
        </row>
        <row r="2794">
          <cell r="A2794">
            <v>70130311</v>
          </cell>
          <cell r="B2794" t="str">
            <v>S급 진료실 1T</v>
          </cell>
        </row>
        <row r="2795">
          <cell r="A2795">
            <v>70130312</v>
          </cell>
          <cell r="B2795" t="str">
            <v>S급 체력단련실 1T</v>
          </cell>
        </row>
        <row r="2796">
          <cell r="A2796">
            <v>70130313</v>
          </cell>
          <cell r="B2796" t="str">
            <v>S급 참모실 1T</v>
          </cell>
        </row>
        <row r="2797">
          <cell r="A2797">
            <v>70130314</v>
          </cell>
          <cell r="B2797" t="str">
            <v>S급 오락실 1T</v>
          </cell>
        </row>
        <row r="2798">
          <cell r="A2798">
            <v>70130315</v>
          </cell>
          <cell r="B2798" t="str">
            <v>S급 사육실 1T</v>
          </cell>
        </row>
        <row r="2799">
          <cell r="A2799">
            <v>70130316</v>
          </cell>
          <cell r="B2799" t="str">
            <v>S급 연구실 1T</v>
          </cell>
        </row>
        <row r="2800">
          <cell r="A2800">
            <v>70130317</v>
          </cell>
          <cell r="B2800" t="str">
            <v>S급 도서실 1T</v>
          </cell>
        </row>
        <row r="2801">
          <cell r="A2801">
            <v>70130400</v>
          </cell>
          <cell r="B2801" t="str">
            <v>C급 돛대 2T</v>
          </cell>
        </row>
        <row r="2802">
          <cell r="A2802">
            <v>70130401</v>
          </cell>
          <cell r="B2802" t="str">
            <v>C급 파수대 2T</v>
          </cell>
        </row>
        <row r="2803">
          <cell r="A2803">
            <v>70130402</v>
          </cell>
          <cell r="B2803" t="str">
            <v>C급 부관실 2T</v>
          </cell>
        </row>
        <row r="2804">
          <cell r="A2804">
            <v>70130403</v>
          </cell>
          <cell r="B2804" t="str">
            <v>C급 재목실 2T</v>
          </cell>
        </row>
        <row r="2805">
          <cell r="A2805">
            <v>70130404</v>
          </cell>
          <cell r="B2805" t="str">
            <v>C급 회계실 2T</v>
          </cell>
        </row>
        <row r="2806">
          <cell r="A2806">
            <v>70130405</v>
          </cell>
          <cell r="B2806" t="str">
            <v>C급 측량실 2T</v>
          </cell>
        </row>
        <row r="2807">
          <cell r="A2807">
            <v>70130406</v>
          </cell>
          <cell r="B2807" t="str">
            <v>C급 무장포대 2T</v>
          </cell>
        </row>
        <row r="2808">
          <cell r="A2808">
            <v>70130407</v>
          </cell>
          <cell r="B2808" t="str">
            <v>C급 해병대기실 2T</v>
          </cell>
        </row>
        <row r="2809">
          <cell r="A2809">
            <v>70130408</v>
          </cell>
          <cell r="B2809" t="str">
            <v>C급 개인실 2T</v>
          </cell>
        </row>
        <row r="2810">
          <cell r="A2810">
            <v>70130409</v>
          </cell>
          <cell r="B2810" t="str">
            <v>C급 예배실 2T</v>
          </cell>
        </row>
        <row r="2811">
          <cell r="A2811">
            <v>70130410</v>
          </cell>
          <cell r="B2811" t="str">
            <v>C급 조리실 2T</v>
          </cell>
        </row>
        <row r="2812">
          <cell r="A2812">
            <v>70130411</v>
          </cell>
          <cell r="B2812" t="str">
            <v>C급 진료실 2T</v>
          </cell>
        </row>
        <row r="2813">
          <cell r="A2813">
            <v>70130412</v>
          </cell>
          <cell r="B2813" t="str">
            <v>C급 체력단련실 2T</v>
          </cell>
        </row>
        <row r="2814">
          <cell r="A2814">
            <v>70130413</v>
          </cell>
          <cell r="B2814" t="str">
            <v>C급 참모실 2T</v>
          </cell>
        </row>
        <row r="2815">
          <cell r="A2815">
            <v>70130414</v>
          </cell>
          <cell r="B2815" t="str">
            <v>C급 오락실 2T</v>
          </cell>
        </row>
        <row r="2816">
          <cell r="A2816">
            <v>70130415</v>
          </cell>
          <cell r="B2816" t="str">
            <v>C급 사육실 2T</v>
          </cell>
        </row>
        <row r="2817">
          <cell r="A2817">
            <v>70130416</v>
          </cell>
          <cell r="B2817" t="str">
            <v>C급 연구실 2T</v>
          </cell>
        </row>
        <row r="2818">
          <cell r="A2818">
            <v>70130417</v>
          </cell>
          <cell r="B2818" t="str">
            <v>C급 도서실 2T</v>
          </cell>
        </row>
        <row r="2819">
          <cell r="A2819">
            <v>70130500</v>
          </cell>
          <cell r="B2819" t="str">
            <v>B급 돛대 2T</v>
          </cell>
        </row>
        <row r="2820">
          <cell r="A2820">
            <v>70130501</v>
          </cell>
          <cell r="B2820" t="str">
            <v>B급 파수대 2T</v>
          </cell>
        </row>
        <row r="2821">
          <cell r="A2821">
            <v>70130502</v>
          </cell>
          <cell r="B2821" t="str">
            <v>B급 부관실 2T</v>
          </cell>
        </row>
        <row r="2822">
          <cell r="A2822">
            <v>70130503</v>
          </cell>
          <cell r="B2822" t="str">
            <v>B급 재목실 2T</v>
          </cell>
        </row>
        <row r="2823">
          <cell r="A2823">
            <v>70130504</v>
          </cell>
          <cell r="B2823" t="str">
            <v>B급 회계실 2T</v>
          </cell>
        </row>
        <row r="2824">
          <cell r="A2824">
            <v>70130505</v>
          </cell>
          <cell r="B2824" t="str">
            <v>B급 측량실 2T</v>
          </cell>
        </row>
        <row r="2825">
          <cell r="A2825">
            <v>70130506</v>
          </cell>
          <cell r="B2825" t="str">
            <v>B급 무장포대 2T</v>
          </cell>
        </row>
        <row r="2826">
          <cell r="A2826">
            <v>70130507</v>
          </cell>
          <cell r="B2826" t="str">
            <v>B급 해병대기실 2T</v>
          </cell>
        </row>
        <row r="2827">
          <cell r="A2827">
            <v>70130508</v>
          </cell>
          <cell r="B2827" t="str">
            <v>B급 개인실 2T</v>
          </cell>
        </row>
        <row r="2828">
          <cell r="A2828">
            <v>70130509</v>
          </cell>
          <cell r="B2828" t="str">
            <v>B급 예배실 2T</v>
          </cell>
        </row>
        <row r="2829">
          <cell r="A2829">
            <v>70130510</v>
          </cell>
          <cell r="B2829" t="str">
            <v>B급 조리실 2T</v>
          </cell>
        </row>
        <row r="2830">
          <cell r="A2830">
            <v>70130511</v>
          </cell>
          <cell r="B2830" t="str">
            <v>B급 진료실 2T</v>
          </cell>
        </row>
        <row r="2831">
          <cell r="A2831">
            <v>70130512</v>
          </cell>
          <cell r="B2831" t="str">
            <v>B급 체력단련실 2T</v>
          </cell>
        </row>
        <row r="2832">
          <cell r="A2832">
            <v>70130513</v>
          </cell>
          <cell r="B2832" t="str">
            <v>B급 참모실 2T</v>
          </cell>
        </row>
        <row r="2833">
          <cell r="A2833">
            <v>70130514</v>
          </cell>
          <cell r="B2833" t="str">
            <v>B급 오락실 2T</v>
          </cell>
        </row>
        <row r="2834">
          <cell r="A2834">
            <v>70130515</v>
          </cell>
          <cell r="B2834" t="str">
            <v>B급 사육실 2T</v>
          </cell>
        </row>
        <row r="2835">
          <cell r="A2835">
            <v>70130516</v>
          </cell>
          <cell r="B2835" t="str">
            <v>B급 연구실 2T</v>
          </cell>
        </row>
        <row r="2836">
          <cell r="A2836">
            <v>70130517</v>
          </cell>
          <cell r="B2836" t="str">
            <v>B급 도서실 2T</v>
          </cell>
        </row>
        <row r="2837">
          <cell r="A2837">
            <v>70130600</v>
          </cell>
          <cell r="B2837" t="str">
            <v>A급 돛대 2T</v>
          </cell>
        </row>
        <row r="2838">
          <cell r="A2838">
            <v>70130601</v>
          </cell>
          <cell r="B2838" t="str">
            <v>A급 파수대 2T</v>
          </cell>
        </row>
        <row r="2839">
          <cell r="A2839">
            <v>70130602</v>
          </cell>
          <cell r="B2839" t="str">
            <v>A급 부관실 2T</v>
          </cell>
        </row>
        <row r="2840">
          <cell r="A2840">
            <v>70130603</v>
          </cell>
          <cell r="B2840" t="str">
            <v>A급 재목실 2T</v>
          </cell>
        </row>
        <row r="2841">
          <cell r="A2841">
            <v>70130604</v>
          </cell>
          <cell r="B2841" t="str">
            <v>A급 회계실 2T</v>
          </cell>
        </row>
        <row r="2842">
          <cell r="A2842">
            <v>70130605</v>
          </cell>
          <cell r="B2842" t="str">
            <v>A급 측량실 2T</v>
          </cell>
        </row>
        <row r="2843">
          <cell r="A2843">
            <v>70130606</v>
          </cell>
          <cell r="B2843" t="str">
            <v>A급 무장포대 2T</v>
          </cell>
        </row>
        <row r="2844">
          <cell r="A2844">
            <v>70130607</v>
          </cell>
          <cell r="B2844" t="str">
            <v>A급 해병대기실 2T</v>
          </cell>
        </row>
        <row r="2845">
          <cell r="A2845">
            <v>70130608</v>
          </cell>
          <cell r="B2845" t="str">
            <v>A급 개인실 2T</v>
          </cell>
        </row>
        <row r="2846">
          <cell r="A2846">
            <v>70130609</v>
          </cell>
          <cell r="B2846" t="str">
            <v>A급 예배실 2T</v>
          </cell>
        </row>
        <row r="2847">
          <cell r="A2847">
            <v>70130610</v>
          </cell>
          <cell r="B2847" t="str">
            <v>A급 조리실 2T</v>
          </cell>
        </row>
        <row r="2848">
          <cell r="A2848">
            <v>70130611</v>
          </cell>
          <cell r="B2848" t="str">
            <v>A급 진료실 2T</v>
          </cell>
        </row>
        <row r="2849">
          <cell r="A2849">
            <v>70130612</v>
          </cell>
          <cell r="B2849" t="str">
            <v>A급 체력단련실 2T</v>
          </cell>
        </row>
        <row r="2850">
          <cell r="A2850">
            <v>70130613</v>
          </cell>
          <cell r="B2850" t="str">
            <v>A급 참모실 2T</v>
          </cell>
        </row>
        <row r="2851">
          <cell r="A2851">
            <v>70130614</v>
          </cell>
          <cell r="B2851" t="str">
            <v>A급 오락실 2T</v>
          </cell>
        </row>
        <row r="2852">
          <cell r="A2852">
            <v>70130615</v>
          </cell>
          <cell r="B2852" t="str">
            <v>A급 사육실 2T</v>
          </cell>
        </row>
        <row r="2853">
          <cell r="A2853">
            <v>70130616</v>
          </cell>
          <cell r="B2853" t="str">
            <v>A급 연구실 2T</v>
          </cell>
        </row>
        <row r="2854">
          <cell r="A2854">
            <v>70130617</v>
          </cell>
          <cell r="B2854" t="str">
            <v>A급 도서실 2T</v>
          </cell>
        </row>
        <row r="2855">
          <cell r="A2855">
            <v>70130700</v>
          </cell>
          <cell r="B2855" t="str">
            <v>S급 돛대 2T</v>
          </cell>
        </row>
        <row r="2856">
          <cell r="A2856">
            <v>70130701</v>
          </cell>
          <cell r="B2856" t="str">
            <v>S급 파수대 2T</v>
          </cell>
        </row>
        <row r="2857">
          <cell r="A2857">
            <v>70130702</v>
          </cell>
          <cell r="B2857" t="str">
            <v>S급 부관실 2T</v>
          </cell>
        </row>
        <row r="2858">
          <cell r="A2858">
            <v>70130703</v>
          </cell>
          <cell r="B2858" t="str">
            <v>S급 재목실 2T</v>
          </cell>
        </row>
        <row r="2859">
          <cell r="A2859">
            <v>70130704</v>
          </cell>
          <cell r="B2859" t="str">
            <v>S급 회계실 2T</v>
          </cell>
        </row>
        <row r="2860">
          <cell r="A2860">
            <v>70130705</v>
          </cell>
          <cell r="B2860" t="str">
            <v>S급 측량실 2T</v>
          </cell>
        </row>
        <row r="2861">
          <cell r="A2861">
            <v>70130706</v>
          </cell>
          <cell r="B2861" t="str">
            <v>S급 무장포대 2T</v>
          </cell>
        </row>
        <row r="2862">
          <cell r="A2862">
            <v>70130707</v>
          </cell>
          <cell r="B2862" t="str">
            <v>S급 해병대기실 2T</v>
          </cell>
        </row>
        <row r="2863">
          <cell r="A2863">
            <v>70130708</v>
          </cell>
          <cell r="B2863" t="str">
            <v>S급 개인실 2T</v>
          </cell>
        </row>
        <row r="2864">
          <cell r="A2864">
            <v>70130709</v>
          </cell>
          <cell r="B2864" t="str">
            <v>S급 예배실 2T</v>
          </cell>
        </row>
        <row r="2865">
          <cell r="A2865">
            <v>70130710</v>
          </cell>
          <cell r="B2865" t="str">
            <v>S급 조리실 2T</v>
          </cell>
        </row>
        <row r="2866">
          <cell r="A2866">
            <v>70130711</v>
          </cell>
          <cell r="B2866" t="str">
            <v>S급 진료실 2T</v>
          </cell>
        </row>
        <row r="2867">
          <cell r="A2867">
            <v>70130712</v>
          </cell>
          <cell r="B2867" t="str">
            <v>S급 체력단련실 2T</v>
          </cell>
        </row>
        <row r="2868">
          <cell r="A2868">
            <v>70130713</v>
          </cell>
          <cell r="B2868" t="str">
            <v>S급 참모실 2T</v>
          </cell>
        </row>
        <row r="2869">
          <cell r="A2869">
            <v>70130714</v>
          </cell>
          <cell r="B2869" t="str">
            <v>S급 오락실 2T</v>
          </cell>
        </row>
        <row r="2870">
          <cell r="A2870">
            <v>70130715</v>
          </cell>
          <cell r="B2870" t="str">
            <v>S급 사육실 2T</v>
          </cell>
        </row>
        <row r="2871">
          <cell r="A2871">
            <v>70130716</v>
          </cell>
          <cell r="B2871" t="str">
            <v>S급 연구실 2T</v>
          </cell>
        </row>
        <row r="2872">
          <cell r="A2872">
            <v>70130717</v>
          </cell>
          <cell r="B2872" t="str">
            <v>S급 도서실 2T</v>
          </cell>
        </row>
        <row r="2873">
          <cell r="A2873">
            <v>70130800</v>
          </cell>
          <cell r="B2873" t="str">
            <v>C급 돛대 3T</v>
          </cell>
        </row>
        <row r="2874">
          <cell r="A2874">
            <v>70130801</v>
          </cell>
          <cell r="B2874" t="str">
            <v>C급 파수대 3T</v>
          </cell>
        </row>
        <row r="2875">
          <cell r="A2875">
            <v>70130802</v>
          </cell>
          <cell r="B2875" t="str">
            <v>C급 부관실 3T</v>
          </cell>
        </row>
        <row r="2876">
          <cell r="A2876">
            <v>70130803</v>
          </cell>
          <cell r="B2876" t="str">
            <v>C급 재목실 3T</v>
          </cell>
        </row>
        <row r="2877">
          <cell r="A2877">
            <v>70130804</v>
          </cell>
          <cell r="B2877" t="str">
            <v>C급 회계실 3T</v>
          </cell>
        </row>
        <row r="2878">
          <cell r="A2878">
            <v>70130805</v>
          </cell>
          <cell r="B2878" t="str">
            <v>C급 측량실 3T</v>
          </cell>
        </row>
        <row r="2879">
          <cell r="A2879">
            <v>70130806</v>
          </cell>
          <cell r="B2879" t="str">
            <v>C급 무장포대 3T</v>
          </cell>
        </row>
        <row r="2880">
          <cell r="A2880">
            <v>70130807</v>
          </cell>
          <cell r="B2880" t="str">
            <v>C급 해병대기실 3T</v>
          </cell>
        </row>
        <row r="2881">
          <cell r="A2881">
            <v>70130808</v>
          </cell>
          <cell r="B2881" t="str">
            <v>C급 개인실 3T</v>
          </cell>
        </row>
        <row r="2882">
          <cell r="A2882">
            <v>70130809</v>
          </cell>
          <cell r="B2882" t="str">
            <v>C급 예배실 3T</v>
          </cell>
        </row>
        <row r="2883">
          <cell r="A2883">
            <v>70130810</v>
          </cell>
          <cell r="B2883" t="str">
            <v>C급 조리실 3T</v>
          </cell>
        </row>
        <row r="2884">
          <cell r="A2884">
            <v>70130811</v>
          </cell>
          <cell r="B2884" t="str">
            <v>C급 진료실 3T</v>
          </cell>
        </row>
        <row r="2885">
          <cell r="A2885">
            <v>70130812</v>
          </cell>
          <cell r="B2885" t="str">
            <v>C급 체력단련실 3T</v>
          </cell>
        </row>
        <row r="2886">
          <cell r="A2886">
            <v>70130813</v>
          </cell>
          <cell r="B2886" t="str">
            <v>C급 참모실 3T</v>
          </cell>
        </row>
        <row r="2887">
          <cell r="A2887">
            <v>70130814</v>
          </cell>
          <cell r="B2887" t="str">
            <v>C급 오락실 3T</v>
          </cell>
        </row>
        <row r="2888">
          <cell r="A2888">
            <v>70130815</v>
          </cell>
          <cell r="B2888" t="str">
            <v>C급 사육실 3T</v>
          </cell>
        </row>
        <row r="2889">
          <cell r="A2889">
            <v>70130816</v>
          </cell>
          <cell r="B2889" t="str">
            <v>C급 연구실 3T</v>
          </cell>
        </row>
        <row r="2890">
          <cell r="A2890">
            <v>70130817</v>
          </cell>
          <cell r="B2890" t="str">
            <v>C급 도서실 3T</v>
          </cell>
        </row>
        <row r="2891">
          <cell r="A2891">
            <v>70130900</v>
          </cell>
          <cell r="B2891" t="str">
            <v>B급 돛대 3T</v>
          </cell>
        </row>
        <row r="2892">
          <cell r="A2892">
            <v>70130901</v>
          </cell>
          <cell r="B2892" t="str">
            <v>B급 파수대 3T</v>
          </cell>
        </row>
        <row r="2893">
          <cell r="A2893">
            <v>70130902</v>
          </cell>
          <cell r="B2893" t="str">
            <v>B급 부관실 3T</v>
          </cell>
        </row>
        <row r="2894">
          <cell r="A2894">
            <v>70130903</v>
          </cell>
          <cell r="B2894" t="str">
            <v>B급 재목실 3T</v>
          </cell>
        </row>
        <row r="2895">
          <cell r="A2895">
            <v>70130904</v>
          </cell>
          <cell r="B2895" t="str">
            <v>B급 회계실 3T</v>
          </cell>
        </row>
        <row r="2896">
          <cell r="A2896">
            <v>70130905</v>
          </cell>
          <cell r="B2896" t="str">
            <v>B급 측량실 3T</v>
          </cell>
        </row>
        <row r="2897">
          <cell r="A2897">
            <v>70130906</v>
          </cell>
          <cell r="B2897" t="str">
            <v>B급 무장포대 3T</v>
          </cell>
        </row>
        <row r="2898">
          <cell r="A2898">
            <v>70130907</v>
          </cell>
          <cell r="B2898" t="str">
            <v>B급 해병대기실 3T</v>
          </cell>
        </row>
        <row r="2899">
          <cell r="A2899">
            <v>70130908</v>
          </cell>
          <cell r="B2899" t="str">
            <v>B급 개인실 3T</v>
          </cell>
        </row>
        <row r="2900">
          <cell r="A2900">
            <v>70130909</v>
          </cell>
          <cell r="B2900" t="str">
            <v>B급 예배실 3T</v>
          </cell>
        </row>
        <row r="2901">
          <cell r="A2901">
            <v>70130910</v>
          </cell>
          <cell r="B2901" t="str">
            <v>B급 조리실 3T</v>
          </cell>
        </row>
        <row r="2902">
          <cell r="A2902">
            <v>70130911</v>
          </cell>
          <cell r="B2902" t="str">
            <v>B급 진료실 3T</v>
          </cell>
        </row>
        <row r="2903">
          <cell r="A2903">
            <v>70130912</v>
          </cell>
          <cell r="B2903" t="str">
            <v>B급 체력단련실 3T</v>
          </cell>
        </row>
        <row r="2904">
          <cell r="A2904">
            <v>70130913</v>
          </cell>
          <cell r="B2904" t="str">
            <v>B급 참모실 3T</v>
          </cell>
        </row>
        <row r="2905">
          <cell r="A2905">
            <v>70130914</v>
          </cell>
          <cell r="B2905" t="str">
            <v>B급 오락실 3T</v>
          </cell>
        </row>
        <row r="2906">
          <cell r="A2906">
            <v>70130915</v>
          </cell>
          <cell r="B2906" t="str">
            <v>B급 사육실 3T</v>
          </cell>
        </row>
        <row r="2907">
          <cell r="A2907">
            <v>70130916</v>
          </cell>
          <cell r="B2907" t="str">
            <v>B급 연구실 3T</v>
          </cell>
        </row>
        <row r="2908">
          <cell r="A2908">
            <v>70130917</v>
          </cell>
          <cell r="B2908" t="str">
            <v>B급 도서실 3T</v>
          </cell>
        </row>
        <row r="2909">
          <cell r="A2909">
            <v>70131000</v>
          </cell>
          <cell r="B2909" t="str">
            <v>A급 돛대 3T</v>
          </cell>
        </row>
        <row r="2910">
          <cell r="A2910">
            <v>70131001</v>
          </cell>
          <cell r="B2910" t="str">
            <v>A급 파수대 3T</v>
          </cell>
        </row>
        <row r="2911">
          <cell r="A2911">
            <v>70131002</v>
          </cell>
          <cell r="B2911" t="str">
            <v>A급 부관실 3T</v>
          </cell>
        </row>
        <row r="2912">
          <cell r="A2912">
            <v>70131003</v>
          </cell>
          <cell r="B2912" t="str">
            <v>A급 재목실 3T</v>
          </cell>
        </row>
        <row r="2913">
          <cell r="A2913">
            <v>70131004</v>
          </cell>
          <cell r="B2913" t="str">
            <v>A급 회계실 3T</v>
          </cell>
        </row>
        <row r="2914">
          <cell r="A2914">
            <v>70131005</v>
          </cell>
          <cell r="B2914" t="str">
            <v>A급 측량실 3T</v>
          </cell>
        </row>
        <row r="2915">
          <cell r="A2915">
            <v>70131006</v>
          </cell>
          <cell r="B2915" t="str">
            <v>A급 무장포대 3T</v>
          </cell>
        </row>
        <row r="2916">
          <cell r="A2916">
            <v>70131007</v>
          </cell>
          <cell r="B2916" t="str">
            <v>A급 해병대기실 3T</v>
          </cell>
        </row>
        <row r="2917">
          <cell r="A2917">
            <v>70131008</v>
          </cell>
          <cell r="B2917" t="str">
            <v>A급 개인실 3T</v>
          </cell>
        </row>
        <row r="2918">
          <cell r="A2918">
            <v>70131009</v>
          </cell>
          <cell r="B2918" t="str">
            <v>A급 예배실 3T</v>
          </cell>
        </row>
        <row r="2919">
          <cell r="A2919">
            <v>70131010</v>
          </cell>
          <cell r="B2919" t="str">
            <v>A급 조리실 3T</v>
          </cell>
        </row>
        <row r="2920">
          <cell r="A2920">
            <v>70131011</v>
          </cell>
          <cell r="B2920" t="str">
            <v>A급 진료실 3T</v>
          </cell>
        </row>
        <row r="2921">
          <cell r="A2921">
            <v>70131012</v>
          </cell>
          <cell r="B2921" t="str">
            <v>A급 체력단련실 3T</v>
          </cell>
        </row>
        <row r="2922">
          <cell r="A2922">
            <v>70131013</v>
          </cell>
          <cell r="B2922" t="str">
            <v>A급 참모실 3T</v>
          </cell>
        </row>
        <row r="2923">
          <cell r="A2923">
            <v>70131014</v>
          </cell>
          <cell r="B2923" t="str">
            <v>A급 오락실 3T</v>
          </cell>
        </row>
        <row r="2924">
          <cell r="A2924">
            <v>70131015</v>
          </cell>
          <cell r="B2924" t="str">
            <v>A급 사육실 3T</v>
          </cell>
        </row>
        <row r="2925">
          <cell r="A2925">
            <v>70131016</v>
          </cell>
          <cell r="B2925" t="str">
            <v>A급 연구실 3T</v>
          </cell>
        </row>
        <row r="2926">
          <cell r="A2926">
            <v>70131017</v>
          </cell>
          <cell r="B2926" t="str">
            <v>A급 도서실 3T</v>
          </cell>
        </row>
        <row r="2927">
          <cell r="A2927">
            <v>70131100</v>
          </cell>
          <cell r="B2927" t="str">
            <v>S급 돛대 3T</v>
          </cell>
        </row>
        <row r="2928">
          <cell r="A2928">
            <v>70131101</v>
          </cell>
          <cell r="B2928" t="str">
            <v>S급 파수대 3T</v>
          </cell>
        </row>
        <row r="2929">
          <cell r="A2929">
            <v>70131102</v>
          </cell>
          <cell r="B2929" t="str">
            <v>S급 부관실 3T</v>
          </cell>
        </row>
        <row r="2930">
          <cell r="A2930">
            <v>70131103</v>
          </cell>
          <cell r="B2930" t="str">
            <v>S급 재목실 3T</v>
          </cell>
        </row>
        <row r="2931">
          <cell r="A2931">
            <v>70131104</v>
          </cell>
          <cell r="B2931" t="str">
            <v>S급 회계실 3T</v>
          </cell>
        </row>
        <row r="2932">
          <cell r="A2932">
            <v>70131105</v>
          </cell>
          <cell r="B2932" t="str">
            <v>S급 측량실 3T</v>
          </cell>
        </row>
        <row r="2933">
          <cell r="A2933">
            <v>70131106</v>
          </cell>
          <cell r="B2933" t="str">
            <v>S급 무장포대 3T</v>
          </cell>
        </row>
        <row r="2934">
          <cell r="A2934">
            <v>70131107</v>
          </cell>
          <cell r="B2934" t="str">
            <v>S급 해병대기실 3T</v>
          </cell>
        </row>
        <row r="2935">
          <cell r="A2935">
            <v>70131108</v>
          </cell>
          <cell r="B2935" t="str">
            <v>S급 개인실 3T</v>
          </cell>
        </row>
        <row r="2936">
          <cell r="A2936">
            <v>70131109</v>
          </cell>
          <cell r="B2936" t="str">
            <v>S급 예배실 3T</v>
          </cell>
        </row>
        <row r="2937">
          <cell r="A2937">
            <v>70131110</v>
          </cell>
          <cell r="B2937" t="str">
            <v>S급 조리실 3T</v>
          </cell>
        </row>
        <row r="2938">
          <cell r="A2938">
            <v>70131111</v>
          </cell>
          <cell r="B2938" t="str">
            <v>S급 진료실 3T</v>
          </cell>
        </row>
        <row r="2939">
          <cell r="A2939">
            <v>70131112</v>
          </cell>
          <cell r="B2939" t="str">
            <v>S급 체력단련실 3T</v>
          </cell>
        </row>
        <row r="2940">
          <cell r="A2940">
            <v>70131113</v>
          </cell>
          <cell r="B2940" t="str">
            <v>S급 참모실 3T</v>
          </cell>
        </row>
        <row r="2941">
          <cell r="A2941">
            <v>70131114</v>
          </cell>
          <cell r="B2941" t="str">
            <v>S급 오락실 3T</v>
          </cell>
        </row>
        <row r="2942">
          <cell r="A2942">
            <v>70131115</v>
          </cell>
          <cell r="B2942" t="str">
            <v>S급 사육실 3T</v>
          </cell>
        </row>
        <row r="2943">
          <cell r="A2943">
            <v>70131116</v>
          </cell>
          <cell r="B2943" t="str">
            <v>S급 연구실 3T</v>
          </cell>
        </row>
        <row r="2944">
          <cell r="A2944">
            <v>70131117</v>
          </cell>
          <cell r="B2944" t="str">
            <v>S급 도서실 3T</v>
          </cell>
        </row>
        <row r="2945">
          <cell r="A2945">
            <v>70131200</v>
          </cell>
          <cell r="B2945" t="str">
            <v>C급 돛대 4T</v>
          </cell>
        </row>
        <row r="2946">
          <cell r="A2946">
            <v>70131201</v>
          </cell>
          <cell r="B2946" t="str">
            <v>C급 파수대 4T</v>
          </cell>
        </row>
        <row r="2947">
          <cell r="A2947">
            <v>70131202</v>
          </cell>
          <cell r="B2947" t="str">
            <v>C급 부관실 4T</v>
          </cell>
        </row>
        <row r="2948">
          <cell r="A2948">
            <v>70131203</v>
          </cell>
          <cell r="B2948" t="str">
            <v>C급 재목실 4T</v>
          </cell>
        </row>
        <row r="2949">
          <cell r="A2949">
            <v>70131204</v>
          </cell>
          <cell r="B2949" t="str">
            <v>C급 회계실 4T</v>
          </cell>
        </row>
        <row r="2950">
          <cell r="A2950">
            <v>70131205</v>
          </cell>
          <cell r="B2950" t="str">
            <v>C급 측량실 4T</v>
          </cell>
        </row>
        <row r="2951">
          <cell r="A2951">
            <v>70131206</v>
          </cell>
          <cell r="B2951" t="str">
            <v>C급 무장포대 4T</v>
          </cell>
        </row>
        <row r="2952">
          <cell r="A2952">
            <v>70131207</v>
          </cell>
          <cell r="B2952" t="str">
            <v>C급 해병대기실 4T</v>
          </cell>
        </row>
        <row r="2953">
          <cell r="A2953">
            <v>70131208</v>
          </cell>
          <cell r="B2953" t="str">
            <v>C급 개인실 4T</v>
          </cell>
        </row>
        <row r="2954">
          <cell r="A2954">
            <v>70131209</v>
          </cell>
          <cell r="B2954" t="str">
            <v>C급 예배실 4T</v>
          </cell>
        </row>
        <row r="2955">
          <cell r="A2955">
            <v>70131210</v>
          </cell>
          <cell r="B2955" t="str">
            <v>C급 조리실 4T</v>
          </cell>
        </row>
        <row r="2956">
          <cell r="A2956">
            <v>70131211</v>
          </cell>
          <cell r="B2956" t="str">
            <v>C급 진료실 4T</v>
          </cell>
        </row>
        <row r="2957">
          <cell r="A2957">
            <v>70131212</v>
          </cell>
          <cell r="B2957" t="str">
            <v>C급 체력단련실 4T</v>
          </cell>
        </row>
        <row r="2958">
          <cell r="A2958">
            <v>70131213</v>
          </cell>
          <cell r="B2958" t="str">
            <v>C급 참모실 4T</v>
          </cell>
        </row>
        <row r="2959">
          <cell r="A2959">
            <v>70131214</v>
          </cell>
          <cell r="B2959" t="str">
            <v>C급 오락실 4T</v>
          </cell>
        </row>
        <row r="2960">
          <cell r="A2960">
            <v>70131215</v>
          </cell>
          <cell r="B2960" t="str">
            <v>C급 사육실 4T</v>
          </cell>
        </row>
        <row r="2961">
          <cell r="A2961">
            <v>70131216</v>
          </cell>
          <cell r="B2961" t="str">
            <v>C급 연구실 4T</v>
          </cell>
        </row>
        <row r="2962">
          <cell r="A2962">
            <v>70131217</v>
          </cell>
          <cell r="B2962" t="str">
            <v>C급 도서실 4T</v>
          </cell>
        </row>
        <row r="2963">
          <cell r="A2963">
            <v>70131300</v>
          </cell>
          <cell r="B2963" t="str">
            <v>B급 돛대 4T</v>
          </cell>
        </row>
        <row r="2964">
          <cell r="A2964">
            <v>70131301</v>
          </cell>
          <cell r="B2964" t="str">
            <v>B급 파수대 4T</v>
          </cell>
        </row>
        <row r="2965">
          <cell r="A2965">
            <v>70131302</v>
          </cell>
          <cell r="B2965" t="str">
            <v>B급 부관실 4T</v>
          </cell>
        </row>
        <row r="2966">
          <cell r="A2966">
            <v>70131303</v>
          </cell>
          <cell r="B2966" t="str">
            <v>B급 재목실 4T</v>
          </cell>
        </row>
        <row r="2967">
          <cell r="A2967">
            <v>70131304</v>
          </cell>
          <cell r="B2967" t="str">
            <v>B급 회계실 4T</v>
          </cell>
        </row>
        <row r="2968">
          <cell r="A2968">
            <v>70131305</v>
          </cell>
          <cell r="B2968" t="str">
            <v>B급 측량실 4T</v>
          </cell>
        </row>
        <row r="2969">
          <cell r="A2969">
            <v>70131306</v>
          </cell>
          <cell r="B2969" t="str">
            <v>B급 무장포대 4T</v>
          </cell>
        </row>
        <row r="2970">
          <cell r="A2970">
            <v>70131307</v>
          </cell>
          <cell r="B2970" t="str">
            <v>B급 해병대기실 4T</v>
          </cell>
        </row>
        <row r="2971">
          <cell r="A2971">
            <v>70131308</v>
          </cell>
          <cell r="B2971" t="str">
            <v>B급 개인실 4T</v>
          </cell>
        </row>
        <row r="2972">
          <cell r="A2972">
            <v>70131309</v>
          </cell>
          <cell r="B2972" t="str">
            <v>B급 예배실 4T</v>
          </cell>
        </row>
        <row r="2973">
          <cell r="A2973">
            <v>70131310</v>
          </cell>
          <cell r="B2973" t="str">
            <v>B급 조리실 4T</v>
          </cell>
        </row>
        <row r="2974">
          <cell r="A2974">
            <v>70131311</v>
          </cell>
          <cell r="B2974" t="str">
            <v>B급 진료실 4T</v>
          </cell>
        </row>
        <row r="2975">
          <cell r="A2975">
            <v>70131312</v>
          </cell>
          <cell r="B2975" t="str">
            <v>B급 체력단련실 4T</v>
          </cell>
        </row>
        <row r="2976">
          <cell r="A2976">
            <v>70131313</v>
          </cell>
          <cell r="B2976" t="str">
            <v>B급 참모실 4T</v>
          </cell>
        </row>
        <row r="2977">
          <cell r="A2977">
            <v>70131314</v>
          </cell>
          <cell r="B2977" t="str">
            <v>B급 오락실 4T</v>
          </cell>
        </row>
        <row r="2978">
          <cell r="A2978">
            <v>70131315</v>
          </cell>
          <cell r="B2978" t="str">
            <v>B급 사육실 4T</v>
          </cell>
        </row>
        <row r="2979">
          <cell r="A2979">
            <v>70131316</v>
          </cell>
          <cell r="B2979" t="str">
            <v>B급 연구실 4T</v>
          </cell>
        </row>
        <row r="2980">
          <cell r="A2980">
            <v>70131317</v>
          </cell>
          <cell r="B2980" t="str">
            <v>B급 도서실 4T</v>
          </cell>
        </row>
        <row r="2981">
          <cell r="A2981">
            <v>70131400</v>
          </cell>
          <cell r="B2981" t="str">
            <v>A급 돛대 4T</v>
          </cell>
        </row>
        <row r="2982">
          <cell r="A2982">
            <v>70131401</v>
          </cell>
          <cell r="B2982" t="str">
            <v>A급 파수대 4T</v>
          </cell>
        </row>
        <row r="2983">
          <cell r="A2983">
            <v>70131402</v>
          </cell>
          <cell r="B2983" t="str">
            <v>A급 부관실 4T</v>
          </cell>
        </row>
        <row r="2984">
          <cell r="A2984">
            <v>70131403</v>
          </cell>
          <cell r="B2984" t="str">
            <v>A급 재목실 4T</v>
          </cell>
        </row>
        <row r="2985">
          <cell r="A2985">
            <v>70131404</v>
          </cell>
          <cell r="B2985" t="str">
            <v>A급 회계실 4T</v>
          </cell>
        </row>
        <row r="2986">
          <cell r="A2986">
            <v>70131405</v>
          </cell>
          <cell r="B2986" t="str">
            <v>A급 측량실 4T</v>
          </cell>
        </row>
        <row r="2987">
          <cell r="A2987">
            <v>70131406</v>
          </cell>
          <cell r="B2987" t="str">
            <v>A급 무장포대 4T</v>
          </cell>
        </row>
        <row r="2988">
          <cell r="A2988">
            <v>70131407</v>
          </cell>
          <cell r="B2988" t="str">
            <v>A급 해병대기실 4T</v>
          </cell>
        </row>
        <row r="2989">
          <cell r="A2989">
            <v>70131408</v>
          </cell>
          <cell r="B2989" t="str">
            <v>A급 개인실 4T</v>
          </cell>
        </row>
        <row r="2990">
          <cell r="A2990">
            <v>70131409</v>
          </cell>
          <cell r="B2990" t="str">
            <v>A급 예배실 4T</v>
          </cell>
        </row>
        <row r="2991">
          <cell r="A2991">
            <v>70131410</v>
          </cell>
          <cell r="B2991" t="str">
            <v>A급 조리실 4T</v>
          </cell>
        </row>
        <row r="2992">
          <cell r="A2992">
            <v>70131411</v>
          </cell>
          <cell r="B2992" t="str">
            <v>A급 진료실 4T</v>
          </cell>
        </row>
        <row r="2993">
          <cell r="A2993">
            <v>70131412</v>
          </cell>
          <cell r="B2993" t="str">
            <v>A급 체력단련실 4T</v>
          </cell>
        </row>
        <row r="2994">
          <cell r="A2994">
            <v>70131413</v>
          </cell>
          <cell r="B2994" t="str">
            <v>A급 참모실 4T</v>
          </cell>
        </row>
        <row r="2995">
          <cell r="A2995">
            <v>70131414</v>
          </cell>
          <cell r="B2995" t="str">
            <v>A급 오락실 4T</v>
          </cell>
        </row>
        <row r="2996">
          <cell r="A2996">
            <v>70131415</v>
          </cell>
          <cell r="B2996" t="str">
            <v>A급 사육실 4T</v>
          </cell>
        </row>
        <row r="2997">
          <cell r="A2997">
            <v>70131416</v>
          </cell>
          <cell r="B2997" t="str">
            <v>A급 연구실 4T</v>
          </cell>
        </row>
        <row r="2998">
          <cell r="A2998">
            <v>70131417</v>
          </cell>
          <cell r="B2998" t="str">
            <v>A급 도서실 4T</v>
          </cell>
        </row>
        <row r="2999">
          <cell r="A2999">
            <v>70131500</v>
          </cell>
          <cell r="B2999" t="str">
            <v>S급 돛대 4T</v>
          </cell>
        </row>
        <row r="3000">
          <cell r="A3000">
            <v>70131501</v>
          </cell>
          <cell r="B3000" t="str">
            <v>S급 파수대 4T</v>
          </cell>
        </row>
        <row r="3001">
          <cell r="A3001">
            <v>70131502</v>
          </cell>
          <cell r="B3001" t="str">
            <v>S급 부관실 4T</v>
          </cell>
        </row>
        <row r="3002">
          <cell r="A3002">
            <v>70131503</v>
          </cell>
          <cell r="B3002" t="str">
            <v>S급 재목실 4T</v>
          </cell>
        </row>
        <row r="3003">
          <cell r="A3003">
            <v>70131504</v>
          </cell>
          <cell r="B3003" t="str">
            <v>S급 회계실 4T</v>
          </cell>
        </row>
        <row r="3004">
          <cell r="A3004">
            <v>70131505</v>
          </cell>
          <cell r="B3004" t="str">
            <v>S급 측량실 4T</v>
          </cell>
        </row>
        <row r="3005">
          <cell r="A3005">
            <v>70131506</v>
          </cell>
          <cell r="B3005" t="str">
            <v>S급 무장포대 4T</v>
          </cell>
        </row>
        <row r="3006">
          <cell r="A3006">
            <v>70131507</v>
          </cell>
          <cell r="B3006" t="str">
            <v>S급 해병대기실 4T</v>
          </cell>
        </row>
        <row r="3007">
          <cell r="A3007">
            <v>70131508</v>
          </cell>
          <cell r="B3007" t="str">
            <v>S급 개인실 4T</v>
          </cell>
        </row>
        <row r="3008">
          <cell r="A3008">
            <v>70131509</v>
          </cell>
          <cell r="B3008" t="str">
            <v>S급 예배실 4T</v>
          </cell>
        </row>
        <row r="3009">
          <cell r="A3009">
            <v>70131510</v>
          </cell>
          <cell r="B3009" t="str">
            <v>S급 조리실 4T</v>
          </cell>
        </row>
        <row r="3010">
          <cell r="A3010">
            <v>70131511</v>
          </cell>
          <cell r="B3010" t="str">
            <v>S급 진료실 4T</v>
          </cell>
        </row>
        <row r="3011">
          <cell r="A3011">
            <v>70131512</v>
          </cell>
          <cell r="B3011" t="str">
            <v>S급 체력단련실 4T</v>
          </cell>
        </row>
        <row r="3012">
          <cell r="A3012">
            <v>70131513</v>
          </cell>
          <cell r="B3012" t="str">
            <v>S급 참모실 4T</v>
          </cell>
        </row>
        <row r="3013">
          <cell r="A3013">
            <v>70131514</v>
          </cell>
          <cell r="B3013" t="str">
            <v>S급 오락실 4T</v>
          </cell>
        </row>
        <row r="3014">
          <cell r="A3014">
            <v>70131515</v>
          </cell>
          <cell r="B3014" t="str">
            <v>S급 사육실 4T</v>
          </cell>
        </row>
        <row r="3015">
          <cell r="A3015">
            <v>70131516</v>
          </cell>
          <cell r="B3015" t="str">
            <v>S급 연구실 4T</v>
          </cell>
        </row>
        <row r="3016">
          <cell r="A3016">
            <v>70131517</v>
          </cell>
          <cell r="B3016" t="str">
            <v>S급 도서실 4T</v>
          </cell>
        </row>
        <row r="3017">
          <cell r="A3017">
            <v>70131600</v>
          </cell>
          <cell r="B3017" t="str">
            <v>C급 돛대 5T</v>
          </cell>
        </row>
        <row r="3018">
          <cell r="A3018">
            <v>70131601</v>
          </cell>
          <cell r="B3018" t="str">
            <v>C급 파수대 5T</v>
          </cell>
        </row>
        <row r="3019">
          <cell r="A3019">
            <v>70131602</v>
          </cell>
          <cell r="B3019" t="str">
            <v>C급 부관실 5T</v>
          </cell>
        </row>
        <row r="3020">
          <cell r="A3020">
            <v>70131603</v>
          </cell>
          <cell r="B3020" t="str">
            <v>C급 재목실 5T</v>
          </cell>
        </row>
        <row r="3021">
          <cell r="A3021">
            <v>70131604</v>
          </cell>
          <cell r="B3021" t="str">
            <v>C급 회계실 5T</v>
          </cell>
        </row>
        <row r="3022">
          <cell r="A3022">
            <v>70131605</v>
          </cell>
          <cell r="B3022" t="str">
            <v>C급 측량실 5T</v>
          </cell>
        </row>
        <row r="3023">
          <cell r="A3023">
            <v>70131606</v>
          </cell>
          <cell r="B3023" t="str">
            <v>C급 무장포대 5T</v>
          </cell>
        </row>
        <row r="3024">
          <cell r="A3024">
            <v>70131607</v>
          </cell>
          <cell r="B3024" t="str">
            <v>C급 해병대기실 5T</v>
          </cell>
        </row>
        <row r="3025">
          <cell r="A3025">
            <v>70131608</v>
          </cell>
          <cell r="B3025" t="str">
            <v>C급 개인실 5T</v>
          </cell>
        </row>
        <row r="3026">
          <cell r="A3026">
            <v>70131609</v>
          </cell>
          <cell r="B3026" t="str">
            <v>C급 예배실 5T</v>
          </cell>
        </row>
        <row r="3027">
          <cell r="A3027">
            <v>70131610</v>
          </cell>
          <cell r="B3027" t="str">
            <v>C급 조리실 5T</v>
          </cell>
        </row>
        <row r="3028">
          <cell r="A3028">
            <v>70131611</v>
          </cell>
          <cell r="B3028" t="str">
            <v>C급 진료실 5T</v>
          </cell>
        </row>
        <row r="3029">
          <cell r="A3029">
            <v>70131612</v>
          </cell>
          <cell r="B3029" t="str">
            <v>C급 체력단련실 5T</v>
          </cell>
        </row>
        <row r="3030">
          <cell r="A3030">
            <v>70131613</v>
          </cell>
          <cell r="B3030" t="str">
            <v>C급 참모실 5T</v>
          </cell>
        </row>
        <row r="3031">
          <cell r="A3031">
            <v>70131614</v>
          </cell>
          <cell r="B3031" t="str">
            <v>C급 오락실 5T</v>
          </cell>
        </row>
        <row r="3032">
          <cell r="A3032">
            <v>70131615</v>
          </cell>
          <cell r="B3032" t="str">
            <v>C급 사육실 5T</v>
          </cell>
        </row>
        <row r="3033">
          <cell r="A3033">
            <v>70131616</v>
          </cell>
          <cell r="B3033" t="str">
            <v>C급 연구실 5T</v>
          </cell>
        </row>
        <row r="3034">
          <cell r="A3034">
            <v>70131617</v>
          </cell>
          <cell r="B3034" t="str">
            <v>C급 도서실 5T</v>
          </cell>
        </row>
        <row r="3035">
          <cell r="A3035">
            <v>70131700</v>
          </cell>
          <cell r="B3035" t="str">
            <v>B급 돛대 5T</v>
          </cell>
        </row>
        <row r="3036">
          <cell r="A3036">
            <v>70131701</v>
          </cell>
          <cell r="B3036" t="str">
            <v>B급 파수대 5T</v>
          </cell>
        </row>
        <row r="3037">
          <cell r="A3037">
            <v>70131702</v>
          </cell>
          <cell r="B3037" t="str">
            <v>B급 부관실 5T</v>
          </cell>
        </row>
        <row r="3038">
          <cell r="A3038">
            <v>70131703</v>
          </cell>
          <cell r="B3038" t="str">
            <v>B급 재목실 5T</v>
          </cell>
        </row>
        <row r="3039">
          <cell r="A3039">
            <v>70131704</v>
          </cell>
          <cell r="B3039" t="str">
            <v>B급 회계실 5T</v>
          </cell>
        </row>
        <row r="3040">
          <cell r="A3040">
            <v>70131705</v>
          </cell>
          <cell r="B3040" t="str">
            <v>B급 측량실 5T</v>
          </cell>
        </row>
        <row r="3041">
          <cell r="A3041">
            <v>70131706</v>
          </cell>
          <cell r="B3041" t="str">
            <v>B급 무장포대 5T</v>
          </cell>
        </row>
        <row r="3042">
          <cell r="A3042">
            <v>70131707</v>
          </cell>
          <cell r="B3042" t="str">
            <v>B급 해병대기실 5T</v>
          </cell>
        </row>
        <row r="3043">
          <cell r="A3043">
            <v>70131708</v>
          </cell>
          <cell r="B3043" t="str">
            <v>B급 개인실 5T</v>
          </cell>
        </row>
        <row r="3044">
          <cell r="A3044">
            <v>70131709</v>
          </cell>
          <cell r="B3044" t="str">
            <v>B급 예배실 5T</v>
          </cell>
        </row>
        <row r="3045">
          <cell r="A3045">
            <v>70131710</v>
          </cell>
          <cell r="B3045" t="str">
            <v>B급 조리실 5T</v>
          </cell>
        </row>
        <row r="3046">
          <cell r="A3046">
            <v>70131711</v>
          </cell>
          <cell r="B3046" t="str">
            <v>B급 진료실 5T</v>
          </cell>
        </row>
        <row r="3047">
          <cell r="A3047">
            <v>70131712</v>
          </cell>
          <cell r="B3047" t="str">
            <v>B급 체력단련실 5T</v>
          </cell>
        </row>
        <row r="3048">
          <cell r="A3048">
            <v>70131713</v>
          </cell>
          <cell r="B3048" t="str">
            <v>B급 참모실 5T</v>
          </cell>
        </row>
        <row r="3049">
          <cell r="A3049">
            <v>70131714</v>
          </cell>
          <cell r="B3049" t="str">
            <v>B급 오락실 5T</v>
          </cell>
        </row>
        <row r="3050">
          <cell r="A3050">
            <v>70131715</v>
          </cell>
          <cell r="B3050" t="str">
            <v>B급 사육실 5T</v>
          </cell>
        </row>
        <row r="3051">
          <cell r="A3051">
            <v>70131716</v>
          </cell>
          <cell r="B3051" t="str">
            <v>B급 연구실 5T</v>
          </cell>
        </row>
        <row r="3052">
          <cell r="A3052">
            <v>70131717</v>
          </cell>
          <cell r="B3052" t="str">
            <v>B급 도서실 5T</v>
          </cell>
        </row>
        <row r="3053">
          <cell r="A3053">
            <v>70131800</v>
          </cell>
          <cell r="B3053" t="str">
            <v>A급 돛대 5T</v>
          </cell>
        </row>
        <row r="3054">
          <cell r="A3054">
            <v>70131801</v>
          </cell>
          <cell r="B3054" t="str">
            <v>A급 파수대 5T</v>
          </cell>
        </row>
        <row r="3055">
          <cell r="A3055">
            <v>70131802</v>
          </cell>
          <cell r="B3055" t="str">
            <v>A급 부관실 5T</v>
          </cell>
        </row>
        <row r="3056">
          <cell r="A3056">
            <v>70131803</v>
          </cell>
          <cell r="B3056" t="str">
            <v>A급 재목실 5T</v>
          </cell>
        </row>
        <row r="3057">
          <cell r="A3057">
            <v>70131804</v>
          </cell>
          <cell r="B3057" t="str">
            <v>A급 회계실 5T</v>
          </cell>
        </row>
        <row r="3058">
          <cell r="A3058">
            <v>70131805</v>
          </cell>
          <cell r="B3058" t="str">
            <v>A급 측량실 5T</v>
          </cell>
        </row>
        <row r="3059">
          <cell r="A3059">
            <v>70131806</v>
          </cell>
          <cell r="B3059" t="str">
            <v>A급 무장포대 5T</v>
          </cell>
        </row>
        <row r="3060">
          <cell r="A3060">
            <v>70131807</v>
          </cell>
          <cell r="B3060" t="str">
            <v>A급 해병대기실 5T</v>
          </cell>
        </row>
        <row r="3061">
          <cell r="A3061">
            <v>70131808</v>
          </cell>
          <cell r="B3061" t="str">
            <v>A급 개인실 5T</v>
          </cell>
        </row>
        <row r="3062">
          <cell r="A3062">
            <v>70131809</v>
          </cell>
          <cell r="B3062" t="str">
            <v>A급 예배실 5T</v>
          </cell>
        </row>
        <row r="3063">
          <cell r="A3063">
            <v>70131810</v>
          </cell>
          <cell r="B3063" t="str">
            <v>A급 조리실 5T</v>
          </cell>
        </row>
        <row r="3064">
          <cell r="A3064">
            <v>70131811</v>
          </cell>
          <cell r="B3064" t="str">
            <v>A급 진료실 5T</v>
          </cell>
        </row>
        <row r="3065">
          <cell r="A3065">
            <v>70131812</v>
          </cell>
          <cell r="B3065" t="str">
            <v>A급 체력단련실 5T</v>
          </cell>
        </row>
        <row r="3066">
          <cell r="A3066">
            <v>70131813</v>
          </cell>
          <cell r="B3066" t="str">
            <v>A급 참모실 5T</v>
          </cell>
        </row>
        <row r="3067">
          <cell r="A3067">
            <v>70131814</v>
          </cell>
          <cell r="B3067" t="str">
            <v>A급 오락실 5T</v>
          </cell>
        </row>
        <row r="3068">
          <cell r="A3068">
            <v>70131815</v>
          </cell>
          <cell r="B3068" t="str">
            <v>A급 사육실 5T</v>
          </cell>
        </row>
        <row r="3069">
          <cell r="A3069">
            <v>70131816</v>
          </cell>
          <cell r="B3069" t="str">
            <v>A급 연구실 5T</v>
          </cell>
        </row>
        <row r="3070">
          <cell r="A3070">
            <v>70131817</v>
          </cell>
          <cell r="B3070" t="str">
            <v>A급 도서실 5T</v>
          </cell>
        </row>
        <row r="3071">
          <cell r="A3071">
            <v>70131900</v>
          </cell>
          <cell r="B3071" t="str">
            <v>S급 돛대 5T</v>
          </cell>
        </row>
        <row r="3072">
          <cell r="A3072">
            <v>70131901</v>
          </cell>
          <cell r="B3072" t="str">
            <v>S급 파수대 5T</v>
          </cell>
        </row>
        <row r="3073">
          <cell r="A3073">
            <v>70131902</v>
          </cell>
          <cell r="B3073" t="str">
            <v>S급 부관실 5T</v>
          </cell>
        </row>
        <row r="3074">
          <cell r="A3074">
            <v>70131903</v>
          </cell>
          <cell r="B3074" t="str">
            <v>S급 재목실 5T</v>
          </cell>
        </row>
        <row r="3075">
          <cell r="A3075">
            <v>70131904</v>
          </cell>
          <cell r="B3075" t="str">
            <v>S급 회계실 5T</v>
          </cell>
        </row>
        <row r="3076">
          <cell r="A3076">
            <v>70131905</v>
          </cell>
          <cell r="B3076" t="str">
            <v>S급 측량실 5T</v>
          </cell>
        </row>
        <row r="3077">
          <cell r="A3077">
            <v>70131906</v>
          </cell>
          <cell r="B3077" t="str">
            <v>S급 무장포대 5T</v>
          </cell>
        </row>
        <row r="3078">
          <cell r="A3078">
            <v>70131907</v>
          </cell>
          <cell r="B3078" t="str">
            <v>S급 해병대기실 5T</v>
          </cell>
        </row>
        <row r="3079">
          <cell r="A3079">
            <v>70131908</v>
          </cell>
          <cell r="B3079" t="str">
            <v>S급 개인실 5T</v>
          </cell>
        </row>
        <row r="3080">
          <cell r="A3080">
            <v>70131909</v>
          </cell>
          <cell r="B3080" t="str">
            <v>S급 예배실 5T</v>
          </cell>
        </row>
        <row r="3081">
          <cell r="A3081">
            <v>70131910</v>
          </cell>
          <cell r="B3081" t="str">
            <v>S급 조리실 5T</v>
          </cell>
        </row>
        <row r="3082">
          <cell r="A3082">
            <v>70131911</v>
          </cell>
          <cell r="B3082" t="str">
            <v>S급 진료실 5T</v>
          </cell>
        </row>
        <row r="3083">
          <cell r="A3083">
            <v>70131912</v>
          </cell>
          <cell r="B3083" t="str">
            <v>S급 체력단련실 5T</v>
          </cell>
        </row>
        <row r="3084">
          <cell r="A3084">
            <v>70131913</v>
          </cell>
          <cell r="B3084" t="str">
            <v>S급 참모실 5T</v>
          </cell>
        </row>
        <row r="3085">
          <cell r="A3085">
            <v>70131914</v>
          </cell>
          <cell r="B3085" t="str">
            <v>S급 오락실 5T</v>
          </cell>
        </row>
        <row r="3086">
          <cell r="A3086">
            <v>70131915</v>
          </cell>
          <cell r="B3086" t="str">
            <v>S급 사육실 5T</v>
          </cell>
        </row>
        <row r="3087">
          <cell r="A3087">
            <v>70131916</v>
          </cell>
          <cell r="B3087" t="str">
            <v>S급 연구실 5T</v>
          </cell>
        </row>
        <row r="3088">
          <cell r="A3088">
            <v>70131917</v>
          </cell>
          <cell r="B3088" t="str">
            <v>S급 도서실 5T</v>
          </cell>
        </row>
        <row r="3089">
          <cell r="A3089">
            <v>70132000</v>
          </cell>
          <cell r="B3089" t="str">
            <v>C급 돛대 6T</v>
          </cell>
        </row>
        <row r="3090">
          <cell r="A3090">
            <v>70132001</v>
          </cell>
          <cell r="B3090" t="str">
            <v>C급 파수대 6T</v>
          </cell>
        </row>
        <row r="3091">
          <cell r="A3091">
            <v>70132002</v>
          </cell>
          <cell r="B3091" t="str">
            <v>C급 부관실 6T</v>
          </cell>
        </row>
        <row r="3092">
          <cell r="A3092">
            <v>70132003</v>
          </cell>
          <cell r="B3092" t="str">
            <v>C급 재목실 6T</v>
          </cell>
        </row>
        <row r="3093">
          <cell r="A3093">
            <v>70132004</v>
          </cell>
          <cell r="B3093" t="str">
            <v>C급 회계실 6T</v>
          </cell>
        </row>
        <row r="3094">
          <cell r="A3094">
            <v>70132005</v>
          </cell>
          <cell r="B3094" t="str">
            <v>C급 측량실 6T</v>
          </cell>
        </row>
        <row r="3095">
          <cell r="A3095">
            <v>70132006</v>
          </cell>
          <cell r="B3095" t="str">
            <v>C급 무장포대 6T</v>
          </cell>
        </row>
        <row r="3096">
          <cell r="A3096">
            <v>70132007</v>
          </cell>
          <cell r="B3096" t="str">
            <v>C급 해병대기실 6T</v>
          </cell>
        </row>
        <row r="3097">
          <cell r="A3097">
            <v>70132008</v>
          </cell>
          <cell r="B3097" t="str">
            <v>C급 개인실 6T</v>
          </cell>
        </row>
        <row r="3098">
          <cell r="A3098">
            <v>70132009</v>
          </cell>
          <cell r="B3098" t="str">
            <v>C급 예배실 6T</v>
          </cell>
        </row>
        <row r="3099">
          <cell r="A3099">
            <v>70132010</v>
          </cell>
          <cell r="B3099" t="str">
            <v>C급 조리실 6T</v>
          </cell>
        </row>
        <row r="3100">
          <cell r="A3100">
            <v>70132011</v>
          </cell>
          <cell r="B3100" t="str">
            <v>C급 진료실 6T</v>
          </cell>
        </row>
        <row r="3101">
          <cell r="A3101">
            <v>70132012</v>
          </cell>
          <cell r="B3101" t="str">
            <v>C급 체력단련실 6T</v>
          </cell>
        </row>
        <row r="3102">
          <cell r="A3102">
            <v>70132013</v>
          </cell>
          <cell r="B3102" t="str">
            <v>C급 참모실 6T</v>
          </cell>
        </row>
        <row r="3103">
          <cell r="A3103">
            <v>70132014</v>
          </cell>
          <cell r="B3103" t="str">
            <v>C급 오락실 6T</v>
          </cell>
        </row>
        <row r="3104">
          <cell r="A3104">
            <v>70132015</v>
          </cell>
          <cell r="B3104" t="str">
            <v>C급 사육실 6T</v>
          </cell>
        </row>
        <row r="3105">
          <cell r="A3105">
            <v>70132016</v>
          </cell>
          <cell r="B3105" t="str">
            <v>C급 연구실 6T</v>
          </cell>
        </row>
        <row r="3106">
          <cell r="A3106">
            <v>70132017</v>
          </cell>
          <cell r="B3106" t="str">
            <v>C급 도서실 6T</v>
          </cell>
        </row>
        <row r="3107">
          <cell r="A3107">
            <v>70132100</v>
          </cell>
          <cell r="B3107" t="str">
            <v>B급 돛대 6T</v>
          </cell>
        </row>
        <row r="3108">
          <cell r="A3108">
            <v>70132101</v>
          </cell>
          <cell r="B3108" t="str">
            <v>B급 파수대 6T</v>
          </cell>
        </row>
        <row r="3109">
          <cell r="A3109">
            <v>70132102</v>
          </cell>
          <cell r="B3109" t="str">
            <v>B급 부관실 6T</v>
          </cell>
        </row>
        <row r="3110">
          <cell r="A3110">
            <v>70132103</v>
          </cell>
          <cell r="B3110" t="str">
            <v>B급 재목실 6T</v>
          </cell>
        </row>
        <row r="3111">
          <cell r="A3111">
            <v>70132104</v>
          </cell>
          <cell r="B3111" t="str">
            <v>B급 회계실 6T</v>
          </cell>
        </row>
        <row r="3112">
          <cell r="A3112">
            <v>70132105</v>
          </cell>
          <cell r="B3112" t="str">
            <v>B급 측량실 6T</v>
          </cell>
        </row>
        <row r="3113">
          <cell r="A3113">
            <v>70132106</v>
          </cell>
          <cell r="B3113" t="str">
            <v>B급 무장포대 6T</v>
          </cell>
        </row>
        <row r="3114">
          <cell r="A3114">
            <v>70132107</v>
          </cell>
          <cell r="B3114" t="str">
            <v>B급 해병대기실 6T</v>
          </cell>
        </row>
        <row r="3115">
          <cell r="A3115">
            <v>70132108</v>
          </cell>
          <cell r="B3115" t="str">
            <v>B급 개인실 6T</v>
          </cell>
        </row>
        <row r="3116">
          <cell r="A3116">
            <v>70132109</v>
          </cell>
          <cell r="B3116" t="str">
            <v>B급 예배실 6T</v>
          </cell>
        </row>
        <row r="3117">
          <cell r="A3117">
            <v>70132110</v>
          </cell>
          <cell r="B3117" t="str">
            <v>B급 조리실 6T</v>
          </cell>
        </row>
        <row r="3118">
          <cell r="A3118">
            <v>70132111</v>
          </cell>
          <cell r="B3118" t="str">
            <v>B급 진료실 6T</v>
          </cell>
        </row>
        <row r="3119">
          <cell r="A3119">
            <v>70132112</v>
          </cell>
          <cell r="B3119" t="str">
            <v>B급 체력단련실 6T</v>
          </cell>
        </row>
        <row r="3120">
          <cell r="A3120">
            <v>70132113</v>
          </cell>
          <cell r="B3120" t="str">
            <v>B급 참모실 6T</v>
          </cell>
        </row>
        <row r="3121">
          <cell r="A3121">
            <v>70132114</v>
          </cell>
          <cell r="B3121" t="str">
            <v>B급 오락실 6T</v>
          </cell>
        </row>
        <row r="3122">
          <cell r="A3122">
            <v>70132115</v>
          </cell>
          <cell r="B3122" t="str">
            <v>B급 사육실 6T</v>
          </cell>
        </row>
        <row r="3123">
          <cell r="A3123">
            <v>70132116</v>
          </cell>
          <cell r="B3123" t="str">
            <v>B급 연구실 6T</v>
          </cell>
        </row>
        <row r="3124">
          <cell r="A3124">
            <v>70132117</v>
          </cell>
          <cell r="B3124" t="str">
            <v>B급 도서실 6T</v>
          </cell>
        </row>
        <row r="3125">
          <cell r="A3125">
            <v>70132200</v>
          </cell>
          <cell r="B3125" t="str">
            <v>A급 돛대 6T</v>
          </cell>
        </row>
        <row r="3126">
          <cell r="A3126">
            <v>70132201</v>
          </cell>
          <cell r="B3126" t="str">
            <v>A급 파수대 6T</v>
          </cell>
        </row>
        <row r="3127">
          <cell r="A3127">
            <v>70132202</v>
          </cell>
          <cell r="B3127" t="str">
            <v>A급 부관실 6T</v>
          </cell>
        </row>
        <row r="3128">
          <cell r="A3128">
            <v>70132203</v>
          </cell>
          <cell r="B3128" t="str">
            <v>A급 재목실 6T</v>
          </cell>
        </row>
        <row r="3129">
          <cell r="A3129">
            <v>70132204</v>
          </cell>
          <cell r="B3129" t="str">
            <v>A급 회계실 6T</v>
          </cell>
        </row>
        <row r="3130">
          <cell r="A3130">
            <v>70132205</v>
          </cell>
          <cell r="B3130" t="str">
            <v>A급 측량실 6T</v>
          </cell>
        </row>
        <row r="3131">
          <cell r="A3131">
            <v>70132206</v>
          </cell>
          <cell r="B3131" t="str">
            <v>A급 무장포대 6T</v>
          </cell>
        </row>
        <row r="3132">
          <cell r="A3132">
            <v>70132207</v>
          </cell>
          <cell r="B3132" t="str">
            <v>A급 해병대기실 6T</v>
          </cell>
        </row>
        <row r="3133">
          <cell r="A3133">
            <v>70132208</v>
          </cell>
          <cell r="B3133" t="str">
            <v>A급 개인실 6T</v>
          </cell>
        </row>
        <row r="3134">
          <cell r="A3134">
            <v>70132209</v>
          </cell>
          <cell r="B3134" t="str">
            <v>A급 예배실 6T</v>
          </cell>
        </row>
        <row r="3135">
          <cell r="A3135">
            <v>70132210</v>
          </cell>
          <cell r="B3135" t="str">
            <v>A급 조리실 6T</v>
          </cell>
        </row>
        <row r="3136">
          <cell r="A3136">
            <v>70132211</v>
          </cell>
          <cell r="B3136" t="str">
            <v>A급 진료실 6T</v>
          </cell>
        </row>
        <row r="3137">
          <cell r="A3137">
            <v>70132212</v>
          </cell>
          <cell r="B3137" t="str">
            <v>A급 체력단련실 6T</v>
          </cell>
        </row>
        <row r="3138">
          <cell r="A3138">
            <v>70132213</v>
          </cell>
          <cell r="B3138" t="str">
            <v>A급 참모실 6T</v>
          </cell>
        </row>
        <row r="3139">
          <cell r="A3139">
            <v>70132214</v>
          </cell>
          <cell r="B3139" t="str">
            <v>A급 오락실 6T</v>
          </cell>
        </row>
        <row r="3140">
          <cell r="A3140">
            <v>70132215</v>
          </cell>
          <cell r="B3140" t="str">
            <v>A급 사육실 6T</v>
          </cell>
        </row>
        <row r="3141">
          <cell r="A3141">
            <v>70132216</v>
          </cell>
          <cell r="B3141" t="str">
            <v>A급 연구실 6T</v>
          </cell>
        </row>
        <row r="3142">
          <cell r="A3142">
            <v>70132217</v>
          </cell>
          <cell r="B3142" t="str">
            <v>A급 도서실 6T</v>
          </cell>
        </row>
        <row r="3143">
          <cell r="A3143">
            <v>70132300</v>
          </cell>
          <cell r="B3143" t="str">
            <v>S급 돛대 6T</v>
          </cell>
        </row>
        <row r="3144">
          <cell r="A3144">
            <v>70132301</v>
          </cell>
          <cell r="B3144" t="str">
            <v>S급 파수대 6T</v>
          </cell>
        </row>
        <row r="3145">
          <cell r="A3145">
            <v>70132302</v>
          </cell>
          <cell r="B3145" t="str">
            <v>S급 부관실 6T</v>
          </cell>
        </row>
        <row r="3146">
          <cell r="A3146">
            <v>70132303</v>
          </cell>
          <cell r="B3146" t="str">
            <v>S급 재목실 6T</v>
          </cell>
        </row>
        <row r="3147">
          <cell r="A3147">
            <v>70132304</v>
          </cell>
          <cell r="B3147" t="str">
            <v>S급 회계실 6T</v>
          </cell>
        </row>
        <row r="3148">
          <cell r="A3148">
            <v>70132305</v>
          </cell>
          <cell r="B3148" t="str">
            <v>S급 측량실 6T</v>
          </cell>
        </row>
        <row r="3149">
          <cell r="A3149">
            <v>70132306</v>
          </cell>
          <cell r="B3149" t="str">
            <v>S급 무장포대 6T</v>
          </cell>
        </row>
        <row r="3150">
          <cell r="A3150">
            <v>70132307</v>
          </cell>
          <cell r="B3150" t="str">
            <v>S급 해병대기실 6T</v>
          </cell>
        </row>
        <row r="3151">
          <cell r="A3151">
            <v>70132308</v>
          </cell>
          <cell r="B3151" t="str">
            <v>S급 개인실 6T</v>
          </cell>
        </row>
        <row r="3152">
          <cell r="A3152">
            <v>70132309</v>
          </cell>
          <cell r="B3152" t="str">
            <v>S급 예배실 6T</v>
          </cell>
        </row>
        <row r="3153">
          <cell r="A3153">
            <v>70132310</v>
          </cell>
          <cell r="B3153" t="str">
            <v>S급 조리실 6T</v>
          </cell>
        </row>
        <row r="3154">
          <cell r="A3154">
            <v>70132311</v>
          </cell>
          <cell r="B3154" t="str">
            <v>S급 진료실 6T</v>
          </cell>
        </row>
        <row r="3155">
          <cell r="A3155">
            <v>70132312</v>
          </cell>
          <cell r="B3155" t="str">
            <v>S급 체력단련실 6T</v>
          </cell>
        </row>
        <row r="3156">
          <cell r="A3156">
            <v>70132313</v>
          </cell>
          <cell r="B3156" t="str">
            <v>S급 참모실 6T</v>
          </cell>
        </row>
        <row r="3157">
          <cell r="A3157">
            <v>70132314</v>
          </cell>
          <cell r="B3157" t="str">
            <v>S급 오락실 6T</v>
          </cell>
        </row>
        <row r="3158">
          <cell r="A3158">
            <v>70132315</v>
          </cell>
          <cell r="B3158" t="str">
            <v>S급 사육실 6T</v>
          </cell>
        </row>
        <row r="3159">
          <cell r="A3159">
            <v>70132316</v>
          </cell>
          <cell r="B3159" t="str">
            <v>S급 연구실 6T</v>
          </cell>
        </row>
        <row r="3160">
          <cell r="A3160">
            <v>70132317</v>
          </cell>
          <cell r="B3160" t="str">
            <v>S급 도서실 6T</v>
          </cell>
        </row>
        <row r="3161">
          <cell r="A3161">
            <v>70132400</v>
          </cell>
          <cell r="B3161" t="str">
            <v>C급 돛대 7T</v>
          </cell>
        </row>
        <row r="3162">
          <cell r="A3162">
            <v>70132401</v>
          </cell>
          <cell r="B3162" t="str">
            <v>C급 파수대 7T</v>
          </cell>
        </row>
        <row r="3163">
          <cell r="A3163">
            <v>70132402</v>
          </cell>
          <cell r="B3163" t="str">
            <v>C급 부관실 7T</v>
          </cell>
        </row>
        <row r="3164">
          <cell r="A3164">
            <v>70132403</v>
          </cell>
          <cell r="B3164" t="str">
            <v>C급 재목실 7T</v>
          </cell>
        </row>
        <row r="3165">
          <cell r="A3165">
            <v>70132404</v>
          </cell>
          <cell r="B3165" t="str">
            <v>C급 회계실 7T</v>
          </cell>
        </row>
        <row r="3166">
          <cell r="A3166">
            <v>70132405</v>
          </cell>
          <cell r="B3166" t="str">
            <v>C급 측량실 7T</v>
          </cell>
        </row>
        <row r="3167">
          <cell r="A3167">
            <v>70132406</v>
          </cell>
          <cell r="B3167" t="str">
            <v>C급 무장포대 7T</v>
          </cell>
        </row>
        <row r="3168">
          <cell r="A3168">
            <v>70132407</v>
          </cell>
          <cell r="B3168" t="str">
            <v>C급 해병대기실 7T</v>
          </cell>
        </row>
        <row r="3169">
          <cell r="A3169">
            <v>70132408</v>
          </cell>
          <cell r="B3169" t="str">
            <v>C급 개인실 7T</v>
          </cell>
        </row>
        <row r="3170">
          <cell r="A3170">
            <v>70132409</v>
          </cell>
          <cell r="B3170" t="str">
            <v>C급 예배실 7T</v>
          </cell>
        </row>
        <row r="3171">
          <cell r="A3171">
            <v>70132410</v>
          </cell>
          <cell r="B3171" t="str">
            <v>C급 조리실 7T</v>
          </cell>
        </row>
        <row r="3172">
          <cell r="A3172">
            <v>70132411</v>
          </cell>
          <cell r="B3172" t="str">
            <v>C급 진료실 7T</v>
          </cell>
        </row>
        <row r="3173">
          <cell r="A3173">
            <v>70132412</v>
          </cell>
          <cell r="B3173" t="str">
            <v>C급 체력단련실 7T</v>
          </cell>
        </row>
        <row r="3174">
          <cell r="A3174">
            <v>70132413</v>
          </cell>
          <cell r="B3174" t="str">
            <v>C급 참모실 7T</v>
          </cell>
        </row>
        <row r="3175">
          <cell r="A3175">
            <v>70132414</v>
          </cell>
          <cell r="B3175" t="str">
            <v>C급 오락실 7T</v>
          </cell>
        </row>
        <row r="3176">
          <cell r="A3176">
            <v>70132415</v>
          </cell>
          <cell r="B3176" t="str">
            <v>C급 사육실 7T</v>
          </cell>
        </row>
        <row r="3177">
          <cell r="A3177">
            <v>70132416</v>
          </cell>
          <cell r="B3177" t="str">
            <v>C급 연구실 7T</v>
          </cell>
        </row>
        <row r="3178">
          <cell r="A3178">
            <v>70132417</v>
          </cell>
          <cell r="B3178" t="str">
            <v>C급 도서실 7T</v>
          </cell>
        </row>
        <row r="3179">
          <cell r="A3179">
            <v>70132500</v>
          </cell>
          <cell r="B3179" t="str">
            <v>B급 돛대 7T</v>
          </cell>
        </row>
        <row r="3180">
          <cell r="A3180">
            <v>70132501</v>
          </cell>
          <cell r="B3180" t="str">
            <v>B급 파수대 7T</v>
          </cell>
        </row>
        <row r="3181">
          <cell r="A3181">
            <v>70132502</v>
          </cell>
          <cell r="B3181" t="str">
            <v>B급 부관실 7T</v>
          </cell>
        </row>
        <row r="3182">
          <cell r="A3182">
            <v>70132503</v>
          </cell>
          <cell r="B3182" t="str">
            <v>B급 재목실 7T</v>
          </cell>
        </row>
        <row r="3183">
          <cell r="A3183">
            <v>70132504</v>
          </cell>
          <cell r="B3183" t="str">
            <v>B급 회계실 7T</v>
          </cell>
        </row>
        <row r="3184">
          <cell r="A3184">
            <v>70132505</v>
          </cell>
          <cell r="B3184" t="str">
            <v>B급 측량실 7T</v>
          </cell>
        </row>
        <row r="3185">
          <cell r="A3185">
            <v>70132506</v>
          </cell>
          <cell r="B3185" t="str">
            <v>B급 무장포대 7T</v>
          </cell>
        </row>
        <row r="3186">
          <cell r="A3186">
            <v>70132507</v>
          </cell>
          <cell r="B3186" t="str">
            <v>B급 해병대기실 7T</v>
          </cell>
        </row>
        <row r="3187">
          <cell r="A3187">
            <v>70132508</v>
          </cell>
          <cell r="B3187" t="str">
            <v>B급 개인실 7T</v>
          </cell>
        </row>
        <row r="3188">
          <cell r="A3188">
            <v>70132509</v>
          </cell>
          <cell r="B3188" t="str">
            <v>B급 예배실 7T</v>
          </cell>
        </row>
        <row r="3189">
          <cell r="A3189">
            <v>70132510</v>
          </cell>
          <cell r="B3189" t="str">
            <v>B급 조리실 7T</v>
          </cell>
        </row>
        <row r="3190">
          <cell r="A3190">
            <v>70132511</v>
          </cell>
          <cell r="B3190" t="str">
            <v>B급 진료실 7T</v>
          </cell>
        </row>
        <row r="3191">
          <cell r="A3191">
            <v>70132512</v>
          </cell>
          <cell r="B3191" t="str">
            <v>B급 체력단련실 7T</v>
          </cell>
        </row>
        <row r="3192">
          <cell r="A3192">
            <v>70132513</v>
          </cell>
          <cell r="B3192" t="str">
            <v>B급 참모실 7T</v>
          </cell>
        </row>
        <row r="3193">
          <cell r="A3193">
            <v>70132514</v>
          </cell>
          <cell r="B3193" t="str">
            <v>B급 오락실 7T</v>
          </cell>
        </row>
        <row r="3194">
          <cell r="A3194">
            <v>70132515</v>
          </cell>
          <cell r="B3194" t="str">
            <v>B급 사육실 7T</v>
          </cell>
        </row>
        <row r="3195">
          <cell r="A3195">
            <v>70132516</v>
          </cell>
          <cell r="B3195" t="str">
            <v>B급 연구실 7T</v>
          </cell>
        </row>
        <row r="3196">
          <cell r="A3196">
            <v>70132517</v>
          </cell>
          <cell r="B3196" t="str">
            <v>B급 도서실 7T</v>
          </cell>
        </row>
        <row r="3197">
          <cell r="A3197">
            <v>70132600</v>
          </cell>
          <cell r="B3197" t="str">
            <v>A급 돛대 7T</v>
          </cell>
        </row>
        <row r="3198">
          <cell r="A3198">
            <v>70132601</v>
          </cell>
          <cell r="B3198" t="str">
            <v>A급 파수대 7T</v>
          </cell>
        </row>
        <row r="3199">
          <cell r="A3199">
            <v>70132602</v>
          </cell>
          <cell r="B3199" t="str">
            <v>A급 부관실 7T</v>
          </cell>
        </row>
        <row r="3200">
          <cell r="A3200">
            <v>70132603</v>
          </cell>
          <cell r="B3200" t="str">
            <v>A급 재목실 7T</v>
          </cell>
        </row>
        <row r="3201">
          <cell r="A3201">
            <v>70132604</v>
          </cell>
          <cell r="B3201" t="str">
            <v>A급 회계실 7T</v>
          </cell>
        </row>
        <row r="3202">
          <cell r="A3202">
            <v>70132605</v>
          </cell>
          <cell r="B3202" t="str">
            <v>A급 측량실 7T</v>
          </cell>
        </row>
        <row r="3203">
          <cell r="A3203">
            <v>70132606</v>
          </cell>
          <cell r="B3203" t="str">
            <v>A급 무장포대 7T</v>
          </cell>
        </row>
        <row r="3204">
          <cell r="A3204">
            <v>70132607</v>
          </cell>
          <cell r="B3204" t="str">
            <v>A급 해병대기실 7T</v>
          </cell>
        </row>
        <row r="3205">
          <cell r="A3205">
            <v>70132608</v>
          </cell>
          <cell r="B3205" t="str">
            <v>A급 개인실 7T</v>
          </cell>
        </row>
        <row r="3206">
          <cell r="A3206">
            <v>70132609</v>
          </cell>
          <cell r="B3206" t="str">
            <v>A급 예배실 7T</v>
          </cell>
        </row>
        <row r="3207">
          <cell r="A3207">
            <v>70132610</v>
          </cell>
          <cell r="B3207" t="str">
            <v>A급 조리실 7T</v>
          </cell>
        </row>
        <row r="3208">
          <cell r="A3208">
            <v>70132611</v>
          </cell>
          <cell r="B3208" t="str">
            <v>A급 진료실 7T</v>
          </cell>
        </row>
        <row r="3209">
          <cell r="A3209">
            <v>70132612</v>
          </cell>
          <cell r="B3209" t="str">
            <v>A급 체력단련실 7T</v>
          </cell>
        </row>
        <row r="3210">
          <cell r="A3210">
            <v>70132613</v>
          </cell>
          <cell r="B3210" t="str">
            <v>A급 참모실 7T</v>
          </cell>
        </row>
        <row r="3211">
          <cell r="A3211">
            <v>70132614</v>
          </cell>
          <cell r="B3211" t="str">
            <v>A급 오락실 7T</v>
          </cell>
        </row>
        <row r="3212">
          <cell r="A3212">
            <v>70132615</v>
          </cell>
          <cell r="B3212" t="str">
            <v>A급 사육실 7T</v>
          </cell>
        </row>
        <row r="3213">
          <cell r="A3213">
            <v>70132616</v>
          </cell>
          <cell r="B3213" t="str">
            <v>A급 연구실 7T</v>
          </cell>
        </row>
        <row r="3214">
          <cell r="A3214">
            <v>70132617</v>
          </cell>
          <cell r="B3214" t="str">
            <v>A급 도서실 7T</v>
          </cell>
        </row>
        <row r="3215">
          <cell r="A3215">
            <v>70132700</v>
          </cell>
          <cell r="B3215" t="str">
            <v>S급 돛대 7T</v>
          </cell>
        </row>
        <row r="3216">
          <cell r="A3216">
            <v>70132701</v>
          </cell>
          <cell r="B3216" t="str">
            <v>S급 파수대 7T</v>
          </cell>
        </row>
        <row r="3217">
          <cell r="A3217">
            <v>70132702</v>
          </cell>
          <cell r="B3217" t="str">
            <v>S급 부관실 7T</v>
          </cell>
        </row>
        <row r="3218">
          <cell r="A3218">
            <v>70132703</v>
          </cell>
          <cell r="B3218" t="str">
            <v>S급 재목실 7T</v>
          </cell>
        </row>
        <row r="3219">
          <cell r="A3219">
            <v>70132704</v>
          </cell>
          <cell r="B3219" t="str">
            <v>S급 회계실 7T</v>
          </cell>
        </row>
        <row r="3220">
          <cell r="A3220">
            <v>70132705</v>
          </cell>
          <cell r="B3220" t="str">
            <v>S급 측량실 7T</v>
          </cell>
        </row>
        <row r="3221">
          <cell r="A3221">
            <v>70132706</v>
          </cell>
          <cell r="B3221" t="str">
            <v>S급 무장포대 7T</v>
          </cell>
        </row>
        <row r="3222">
          <cell r="A3222">
            <v>70132707</v>
          </cell>
          <cell r="B3222" t="str">
            <v>S급 해병대기실 7T</v>
          </cell>
        </row>
        <row r="3223">
          <cell r="A3223">
            <v>70132708</v>
          </cell>
          <cell r="B3223" t="str">
            <v>S급 개인실 7T</v>
          </cell>
        </row>
        <row r="3224">
          <cell r="A3224">
            <v>70132709</v>
          </cell>
          <cell r="B3224" t="str">
            <v>S급 예배실 7T</v>
          </cell>
        </row>
        <row r="3225">
          <cell r="A3225">
            <v>70132710</v>
          </cell>
          <cell r="B3225" t="str">
            <v>S급 조리실 7T</v>
          </cell>
        </row>
        <row r="3226">
          <cell r="A3226">
            <v>70132711</v>
          </cell>
          <cell r="B3226" t="str">
            <v>S급 진료실 7T</v>
          </cell>
        </row>
        <row r="3227">
          <cell r="A3227">
            <v>70132712</v>
          </cell>
          <cell r="B3227" t="str">
            <v>S급 체력단련실 7T</v>
          </cell>
        </row>
        <row r="3228">
          <cell r="A3228">
            <v>70132713</v>
          </cell>
          <cell r="B3228" t="str">
            <v>S급 참모실 7T</v>
          </cell>
        </row>
        <row r="3229">
          <cell r="A3229">
            <v>70132714</v>
          </cell>
          <cell r="B3229" t="str">
            <v>S급 오락실 7T</v>
          </cell>
        </row>
        <row r="3230">
          <cell r="A3230">
            <v>70132715</v>
          </cell>
          <cell r="B3230" t="str">
            <v>S급 사육실 7T</v>
          </cell>
        </row>
        <row r="3231">
          <cell r="A3231">
            <v>70132716</v>
          </cell>
          <cell r="B3231" t="str">
            <v>S급 연구실 7T</v>
          </cell>
        </row>
        <row r="3232">
          <cell r="A3232">
            <v>70132717</v>
          </cell>
          <cell r="B3232" t="str">
            <v>S급 도서실 7T</v>
          </cell>
        </row>
        <row r="3233">
          <cell r="A3233">
            <v>70132800</v>
          </cell>
          <cell r="B3233" t="str">
            <v>C급 돛대 8T</v>
          </cell>
        </row>
        <row r="3234">
          <cell r="A3234">
            <v>70132801</v>
          </cell>
          <cell r="B3234" t="str">
            <v>C급 파수대 8T</v>
          </cell>
        </row>
        <row r="3235">
          <cell r="A3235">
            <v>70132802</v>
          </cell>
          <cell r="B3235" t="str">
            <v>C급 부관실 8T</v>
          </cell>
        </row>
        <row r="3236">
          <cell r="A3236">
            <v>70132803</v>
          </cell>
          <cell r="B3236" t="str">
            <v>C급 재목실 8T</v>
          </cell>
        </row>
        <row r="3237">
          <cell r="A3237">
            <v>70132804</v>
          </cell>
          <cell r="B3237" t="str">
            <v>C급 회계실 8T</v>
          </cell>
        </row>
        <row r="3238">
          <cell r="A3238">
            <v>70132805</v>
          </cell>
          <cell r="B3238" t="str">
            <v>C급 측량실 8T</v>
          </cell>
        </row>
        <row r="3239">
          <cell r="A3239">
            <v>70132806</v>
          </cell>
          <cell r="B3239" t="str">
            <v>C급 무장포대 8T</v>
          </cell>
        </row>
        <row r="3240">
          <cell r="A3240">
            <v>70132807</v>
          </cell>
          <cell r="B3240" t="str">
            <v>C급 해병대기실 8T</v>
          </cell>
        </row>
        <row r="3241">
          <cell r="A3241">
            <v>70132808</v>
          </cell>
          <cell r="B3241" t="str">
            <v>C급 개인실 8T</v>
          </cell>
        </row>
        <row r="3242">
          <cell r="A3242">
            <v>70132809</v>
          </cell>
          <cell r="B3242" t="str">
            <v>C급 예배실 8T</v>
          </cell>
        </row>
        <row r="3243">
          <cell r="A3243">
            <v>70132810</v>
          </cell>
          <cell r="B3243" t="str">
            <v>C급 조리실 8T</v>
          </cell>
        </row>
        <row r="3244">
          <cell r="A3244">
            <v>70132811</v>
          </cell>
          <cell r="B3244" t="str">
            <v>C급 진료실 8T</v>
          </cell>
        </row>
        <row r="3245">
          <cell r="A3245">
            <v>70132812</v>
          </cell>
          <cell r="B3245" t="str">
            <v>C급 체력단련실 8T</v>
          </cell>
        </row>
        <row r="3246">
          <cell r="A3246">
            <v>70132813</v>
          </cell>
          <cell r="B3246" t="str">
            <v>C급 참모실 8T</v>
          </cell>
        </row>
        <row r="3247">
          <cell r="A3247">
            <v>70132814</v>
          </cell>
          <cell r="B3247" t="str">
            <v>C급 오락실 8T</v>
          </cell>
        </row>
        <row r="3248">
          <cell r="A3248">
            <v>70132815</v>
          </cell>
          <cell r="B3248" t="str">
            <v>C급 사육실 8T</v>
          </cell>
        </row>
        <row r="3249">
          <cell r="A3249">
            <v>70132816</v>
          </cell>
          <cell r="B3249" t="str">
            <v>C급 연구실 8T</v>
          </cell>
        </row>
        <row r="3250">
          <cell r="A3250">
            <v>70132817</v>
          </cell>
          <cell r="B3250" t="str">
            <v>C급 도서실 8T</v>
          </cell>
        </row>
        <row r="3251">
          <cell r="A3251">
            <v>70132900</v>
          </cell>
          <cell r="B3251" t="str">
            <v>B급 돛대 8T</v>
          </cell>
        </row>
        <row r="3252">
          <cell r="A3252">
            <v>70132901</v>
          </cell>
          <cell r="B3252" t="str">
            <v>B급 파수대 8T</v>
          </cell>
        </row>
        <row r="3253">
          <cell r="A3253">
            <v>70132902</v>
          </cell>
          <cell r="B3253" t="str">
            <v>B급 부관실 8T</v>
          </cell>
        </row>
        <row r="3254">
          <cell r="A3254">
            <v>70132903</v>
          </cell>
          <cell r="B3254" t="str">
            <v>B급 재목실 8T</v>
          </cell>
        </row>
        <row r="3255">
          <cell r="A3255">
            <v>70132904</v>
          </cell>
          <cell r="B3255" t="str">
            <v>B급 회계실 8T</v>
          </cell>
        </row>
        <row r="3256">
          <cell r="A3256">
            <v>70132905</v>
          </cell>
          <cell r="B3256" t="str">
            <v>B급 측량실 8T</v>
          </cell>
        </row>
        <row r="3257">
          <cell r="A3257">
            <v>70132906</v>
          </cell>
          <cell r="B3257" t="str">
            <v>B급 무장포대 8T</v>
          </cell>
        </row>
        <row r="3258">
          <cell r="A3258">
            <v>70132907</v>
          </cell>
          <cell r="B3258" t="str">
            <v>B급 해병대기실 8T</v>
          </cell>
        </row>
        <row r="3259">
          <cell r="A3259">
            <v>70132908</v>
          </cell>
          <cell r="B3259" t="str">
            <v>B급 개인실 8T</v>
          </cell>
        </row>
        <row r="3260">
          <cell r="A3260">
            <v>70132909</v>
          </cell>
          <cell r="B3260" t="str">
            <v>B급 예배실 8T</v>
          </cell>
        </row>
        <row r="3261">
          <cell r="A3261">
            <v>70132910</v>
          </cell>
          <cell r="B3261" t="str">
            <v>B급 조리실 8T</v>
          </cell>
        </row>
        <row r="3262">
          <cell r="A3262">
            <v>70132911</v>
          </cell>
          <cell r="B3262" t="str">
            <v>B급 진료실 8T</v>
          </cell>
        </row>
        <row r="3263">
          <cell r="A3263">
            <v>70132912</v>
          </cell>
          <cell r="B3263" t="str">
            <v>B급 체력단련실 8T</v>
          </cell>
        </row>
        <row r="3264">
          <cell r="A3264">
            <v>70132913</v>
          </cell>
          <cell r="B3264" t="str">
            <v>B급 참모실 8T</v>
          </cell>
        </row>
        <row r="3265">
          <cell r="A3265">
            <v>70132914</v>
          </cell>
          <cell r="B3265" t="str">
            <v>B급 오락실 8T</v>
          </cell>
        </row>
        <row r="3266">
          <cell r="A3266">
            <v>70132915</v>
          </cell>
          <cell r="B3266" t="str">
            <v>B급 사육실 8T</v>
          </cell>
        </row>
        <row r="3267">
          <cell r="A3267">
            <v>70132916</v>
          </cell>
          <cell r="B3267" t="str">
            <v>B급 연구실 8T</v>
          </cell>
        </row>
        <row r="3268">
          <cell r="A3268">
            <v>70132917</v>
          </cell>
          <cell r="B3268" t="str">
            <v>B급 도서실 8T</v>
          </cell>
        </row>
        <row r="3269">
          <cell r="A3269">
            <v>70133000</v>
          </cell>
          <cell r="B3269" t="str">
            <v>A급 돛대 8T</v>
          </cell>
        </row>
        <row r="3270">
          <cell r="A3270">
            <v>70133001</v>
          </cell>
          <cell r="B3270" t="str">
            <v>A급 파수대 8T</v>
          </cell>
        </row>
        <row r="3271">
          <cell r="A3271">
            <v>70133002</v>
          </cell>
          <cell r="B3271" t="str">
            <v>A급 부관실 8T</v>
          </cell>
        </row>
        <row r="3272">
          <cell r="A3272">
            <v>70133003</v>
          </cell>
          <cell r="B3272" t="str">
            <v>A급 재목실 8T</v>
          </cell>
        </row>
        <row r="3273">
          <cell r="A3273">
            <v>70133004</v>
          </cell>
          <cell r="B3273" t="str">
            <v>A급 회계실 8T</v>
          </cell>
        </row>
        <row r="3274">
          <cell r="A3274">
            <v>70133005</v>
          </cell>
          <cell r="B3274" t="str">
            <v>A급 측량실 8T</v>
          </cell>
        </row>
        <row r="3275">
          <cell r="A3275">
            <v>70133006</v>
          </cell>
          <cell r="B3275" t="str">
            <v>A급 무장포대 8T</v>
          </cell>
        </row>
        <row r="3276">
          <cell r="A3276">
            <v>70133007</v>
          </cell>
          <cell r="B3276" t="str">
            <v>A급 해병대기실 8T</v>
          </cell>
        </row>
        <row r="3277">
          <cell r="A3277">
            <v>70133008</v>
          </cell>
          <cell r="B3277" t="str">
            <v>A급 개인실 8T</v>
          </cell>
        </row>
        <row r="3278">
          <cell r="A3278">
            <v>70133009</v>
          </cell>
          <cell r="B3278" t="str">
            <v>A급 예배실 8T</v>
          </cell>
        </row>
        <row r="3279">
          <cell r="A3279">
            <v>70133010</v>
          </cell>
          <cell r="B3279" t="str">
            <v>A급 조리실 8T</v>
          </cell>
        </row>
        <row r="3280">
          <cell r="A3280">
            <v>70133011</v>
          </cell>
          <cell r="B3280" t="str">
            <v>A급 진료실 8T</v>
          </cell>
        </row>
        <row r="3281">
          <cell r="A3281">
            <v>70133012</v>
          </cell>
          <cell r="B3281" t="str">
            <v>A급 체력단련실 8T</v>
          </cell>
        </row>
        <row r="3282">
          <cell r="A3282">
            <v>70133013</v>
          </cell>
          <cell r="B3282" t="str">
            <v>A급 참모실 8T</v>
          </cell>
        </row>
        <row r="3283">
          <cell r="A3283">
            <v>70133014</v>
          </cell>
          <cell r="B3283" t="str">
            <v>A급 오락실 8T</v>
          </cell>
        </row>
        <row r="3284">
          <cell r="A3284">
            <v>70133015</v>
          </cell>
          <cell r="B3284" t="str">
            <v>A급 사육실 8T</v>
          </cell>
        </row>
        <row r="3285">
          <cell r="A3285">
            <v>70133016</v>
          </cell>
          <cell r="B3285" t="str">
            <v>A급 연구실 8T</v>
          </cell>
        </row>
        <row r="3286">
          <cell r="A3286">
            <v>70133017</v>
          </cell>
          <cell r="B3286" t="str">
            <v>A급 도서실 8T</v>
          </cell>
        </row>
        <row r="3287">
          <cell r="A3287">
            <v>70133100</v>
          </cell>
          <cell r="B3287" t="str">
            <v>S급 돛대 8T</v>
          </cell>
        </row>
        <row r="3288">
          <cell r="A3288">
            <v>70133101</v>
          </cell>
          <cell r="B3288" t="str">
            <v>S급 파수대 8T</v>
          </cell>
        </row>
        <row r="3289">
          <cell r="A3289">
            <v>70133102</v>
          </cell>
          <cell r="B3289" t="str">
            <v>S급 부관실 8T</v>
          </cell>
        </row>
        <row r="3290">
          <cell r="A3290">
            <v>70133103</v>
          </cell>
          <cell r="B3290" t="str">
            <v>S급 재목실 8T</v>
          </cell>
        </row>
        <row r="3291">
          <cell r="A3291">
            <v>70133104</v>
          </cell>
          <cell r="B3291" t="str">
            <v>S급 회계실 8T</v>
          </cell>
        </row>
        <row r="3292">
          <cell r="A3292">
            <v>70133105</v>
          </cell>
          <cell r="B3292" t="str">
            <v>S급 측량실 8T</v>
          </cell>
        </row>
        <row r="3293">
          <cell r="A3293">
            <v>70133106</v>
          </cell>
          <cell r="B3293" t="str">
            <v>S급 무장포대 8T</v>
          </cell>
        </row>
        <row r="3294">
          <cell r="A3294">
            <v>70133107</v>
          </cell>
          <cell r="B3294" t="str">
            <v>S급 해병대기실 8T</v>
          </cell>
        </row>
        <row r="3295">
          <cell r="A3295">
            <v>70133108</v>
          </cell>
          <cell r="B3295" t="str">
            <v>S급 개인실 8T</v>
          </cell>
        </row>
        <row r="3296">
          <cell r="A3296">
            <v>70133109</v>
          </cell>
          <cell r="B3296" t="str">
            <v>S급 예배실 8T</v>
          </cell>
        </row>
        <row r="3297">
          <cell r="A3297">
            <v>70133110</v>
          </cell>
          <cell r="B3297" t="str">
            <v>S급 조리실 8T</v>
          </cell>
        </row>
        <row r="3298">
          <cell r="A3298">
            <v>70133111</v>
          </cell>
          <cell r="B3298" t="str">
            <v>S급 진료실 8T</v>
          </cell>
        </row>
        <row r="3299">
          <cell r="A3299">
            <v>70133112</v>
          </cell>
          <cell r="B3299" t="str">
            <v>S급 체력단련실 8T</v>
          </cell>
        </row>
        <row r="3300">
          <cell r="A3300">
            <v>70133113</v>
          </cell>
          <cell r="B3300" t="str">
            <v>S급 참모실 8T</v>
          </cell>
        </row>
        <row r="3301">
          <cell r="A3301">
            <v>70133114</v>
          </cell>
          <cell r="B3301" t="str">
            <v>S급 오락실 8T</v>
          </cell>
        </row>
        <row r="3302">
          <cell r="A3302">
            <v>70133115</v>
          </cell>
          <cell r="B3302" t="str">
            <v>S급 사육실 8T</v>
          </cell>
        </row>
        <row r="3303">
          <cell r="A3303">
            <v>70133116</v>
          </cell>
          <cell r="B3303" t="str">
            <v>S급 연구실 8T</v>
          </cell>
        </row>
        <row r="3304">
          <cell r="A3304">
            <v>70133117</v>
          </cell>
          <cell r="B3304" t="str">
            <v>S급 도서실 8T</v>
          </cell>
        </row>
        <row r="3305">
          <cell r="A3305">
            <v>70133200</v>
          </cell>
          <cell r="B3305" t="str">
            <v>C급 돛대 9T</v>
          </cell>
        </row>
        <row r="3306">
          <cell r="A3306">
            <v>70133201</v>
          </cell>
          <cell r="B3306" t="str">
            <v>C급 파수대 9T</v>
          </cell>
        </row>
        <row r="3307">
          <cell r="A3307">
            <v>70133202</v>
          </cell>
          <cell r="B3307" t="str">
            <v>C급 부관실 9T</v>
          </cell>
        </row>
        <row r="3308">
          <cell r="A3308">
            <v>70133203</v>
          </cell>
          <cell r="B3308" t="str">
            <v>C급 재목실 9T</v>
          </cell>
        </row>
        <row r="3309">
          <cell r="A3309">
            <v>70133204</v>
          </cell>
          <cell r="B3309" t="str">
            <v>C급 회계실 9T</v>
          </cell>
        </row>
        <row r="3310">
          <cell r="A3310">
            <v>70133205</v>
          </cell>
          <cell r="B3310" t="str">
            <v>C급 측량실 9T</v>
          </cell>
        </row>
        <row r="3311">
          <cell r="A3311">
            <v>70133206</v>
          </cell>
          <cell r="B3311" t="str">
            <v>C급 무장포대 9T</v>
          </cell>
        </row>
        <row r="3312">
          <cell r="A3312">
            <v>70133207</v>
          </cell>
          <cell r="B3312" t="str">
            <v>C급 해병대기실 9T</v>
          </cell>
        </row>
        <row r="3313">
          <cell r="A3313">
            <v>70133208</v>
          </cell>
          <cell r="B3313" t="str">
            <v>C급 개인실 9T</v>
          </cell>
        </row>
        <row r="3314">
          <cell r="A3314">
            <v>70133209</v>
          </cell>
          <cell r="B3314" t="str">
            <v>C급 예배실 9T</v>
          </cell>
        </row>
        <row r="3315">
          <cell r="A3315">
            <v>70133210</v>
          </cell>
          <cell r="B3315" t="str">
            <v>C급 조리실 9T</v>
          </cell>
        </row>
        <row r="3316">
          <cell r="A3316">
            <v>70133211</v>
          </cell>
          <cell r="B3316" t="str">
            <v>C급 진료실 9T</v>
          </cell>
        </row>
        <row r="3317">
          <cell r="A3317">
            <v>70133212</v>
          </cell>
          <cell r="B3317" t="str">
            <v>C급 체력단련실 9T</v>
          </cell>
        </row>
        <row r="3318">
          <cell r="A3318">
            <v>70133213</v>
          </cell>
          <cell r="B3318" t="str">
            <v>C급 참모실 9T</v>
          </cell>
        </row>
        <row r="3319">
          <cell r="A3319">
            <v>70133214</v>
          </cell>
          <cell r="B3319" t="str">
            <v>C급 오락실 9T</v>
          </cell>
        </row>
        <row r="3320">
          <cell r="A3320">
            <v>70133215</v>
          </cell>
          <cell r="B3320" t="str">
            <v>C급 사육실 9T</v>
          </cell>
        </row>
        <row r="3321">
          <cell r="A3321">
            <v>70133216</v>
          </cell>
          <cell r="B3321" t="str">
            <v>C급 연구실 9T</v>
          </cell>
        </row>
        <row r="3322">
          <cell r="A3322">
            <v>70133217</v>
          </cell>
          <cell r="B3322" t="str">
            <v>C급 도서실 9T</v>
          </cell>
        </row>
        <row r="3323">
          <cell r="A3323">
            <v>70133300</v>
          </cell>
          <cell r="B3323" t="str">
            <v>B급 돛대 9T</v>
          </cell>
        </row>
        <row r="3324">
          <cell r="A3324">
            <v>70133301</v>
          </cell>
          <cell r="B3324" t="str">
            <v>B급 파수대 9T</v>
          </cell>
        </row>
        <row r="3325">
          <cell r="A3325">
            <v>70133302</v>
          </cell>
          <cell r="B3325" t="str">
            <v>B급 부관실 9T</v>
          </cell>
        </row>
        <row r="3326">
          <cell r="A3326">
            <v>70133303</v>
          </cell>
          <cell r="B3326" t="str">
            <v>B급 재목실 9T</v>
          </cell>
        </row>
        <row r="3327">
          <cell r="A3327">
            <v>70133304</v>
          </cell>
          <cell r="B3327" t="str">
            <v>B급 회계실 9T</v>
          </cell>
        </row>
        <row r="3328">
          <cell r="A3328">
            <v>70133305</v>
          </cell>
          <cell r="B3328" t="str">
            <v>B급 측량실 9T</v>
          </cell>
        </row>
        <row r="3329">
          <cell r="A3329">
            <v>70133306</v>
          </cell>
          <cell r="B3329" t="str">
            <v>B급 무장포대 9T</v>
          </cell>
        </row>
        <row r="3330">
          <cell r="A3330">
            <v>70133307</v>
          </cell>
          <cell r="B3330" t="str">
            <v>B급 해병대기실 9T</v>
          </cell>
        </row>
        <row r="3331">
          <cell r="A3331">
            <v>70133308</v>
          </cell>
          <cell r="B3331" t="str">
            <v>B급 개인실 9T</v>
          </cell>
        </row>
        <row r="3332">
          <cell r="A3332">
            <v>70133309</v>
          </cell>
          <cell r="B3332" t="str">
            <v>B급 예배실 9T</v>
          </cell>
        </row>
        <row r="3333">
          <cell r="A3333">
            <v>70133310</v>
          </cell>
          <cell r="B3333" t="str">
            <v>B급 조리실 9T</v>
          </cell>
        </row>
        <row r="3334">
          <cell r="A3334">
            <v>70133311</v>
          </cell>
          <cell r="B3334" t="str">
            <v>B급 진료실 9T</v>
          </cell>
        </row>
        <row r="3335">
          <cell r="A3335">
            <v>70133312</v>
          </cell>
          <cell r="B3335" t="str">
            <v>B급 체력단련실 9T</v>
          </cell>
        </row>
        <row r="3336">
          <cell r="A3336">
            <v>70133313</v>
          </cell>
          <cell r="B3336" t="str">
            <v>B급 참모실 9T</v>
          </cell>
        </row>
        <row r="3337">
          <cell r="A3337">
            <v>70133314</v>
          </cell>
          <cell r="B3337" t="str">
            <v>B급 오락실 9T</v>
          </cell>
        </row>
        <row r="3338">
          <cell r="A3338">
            <v>70133315</v>
          </cell>
          <cell r="B3338" t="str">
            <v>B급 사육실 9T</v>
          </cell>
        </row>
        <row r="3339">
          <cell r="A3339">
            <v>70133316</v>
          </cell>
          <cell r="B3339" t="str">
            <v>B급 연구실 9T</v>
          </cell>
        </row>
        <row r="3340">
          <cell r="A3340">
            <v>70133317</v>
          </cell>
          <cell r="B3340" t="str">
            <v>B급 도서실 9T</v>
          </cell>
        </row>
        <row r="3341">
          <cell r="A3341">
            <v>70133400</v>
          </cell>
          <cell r="B3341" t="str">
            <v>A급 돛대 9T</v>
          </cell>
        </row>
        <row r="3342">
          <cell r="A3342">
            <v>70133401</v>
          </cell>
          <cell r="B3342" t="str">
            <v>A급 파수대 9T</v>
          </cell>
        </row>
        <row r="3343">
          <cell r="A3343">
            <v>70133402</v>
          </cell>
          <cell r="B3343" t="str">
            <v>A급 부관실 9T</v>
          </cell>
        </row>
        <row r="3344">
          <cell r="A3344">
            <v>70133403</v>
          </cell>
          <cell r="B3344" t="str">
            <v>A급 재목실 9T</v>
          </cell>
        </row>
        <row r="3345">
          <cell r="A3345">
            <v>70133404</v>
          </cell>
          <cell r="B3345" t="str">
            <v>A급 회계실 9T</v>
          </cell>
        </row>
        <row r="3346">
          <cell r="A3346">
            <v>70133405</v>
          </cell>
          <cell r="B3346" t="str">
            <v>A급 측량실 9T</v>
          </cell>
        </row>
        <row r="3347">
          <cell r="A3347">
            <v>70133406</v>
          </cell>
          <cell r="B3347" t="str">
            <v>A급 무장포대 9T</v>
          </cell>
        </row>
        <row r="3348">
          <cell r="A3348">
            <v>70133407</v>
          </cell>
          <cell r="B3348" t="str">
            <v>A급 해병대기실 9T</v>
          </cell>
        </row>
        <row r="3349">
          <cell r="A3349">
            <v>70133408</v>
          </cell>
          <cell r="B3349" t="str">
            <v>A급 개인실 9T</v>
          </cell>
        </row>
        <row r="3350">
          <cell r="A3350">
            <v>70133409</v>
          </cell>
          <cell r="B3350" t="str">
            <v>A급 예배실 9T</v>
          </cell>
        </row>
        <row r="3351">
          <cell r="A3351">
            <v>70133410</v>
          </cell>
          <cell r="B3351" t="str">
            <v>A급 조리실 9T</v>
          </cell>
        </row>
        <row r="3352">
          <cell r="A3352">
            <v>70133411</v>
          </cell>
          <cell r="B3352" t="str">
            <v>A급 진료실 9T</v>
          </cell>
        </row>
        <row r="3353">
          <cell r="A3353">
            <v>70133412</v>
          </cell>
          <cell r="B3353" t="str">
            <v>A급 체력단련실 9T</v>
          </cell>
        </row>
        <row r="3354">
          <cell r="A3354">
            <v>70133413</v>
          </cell>
          <cell r="B3354" t="str">
            <v>A급 참모실 9T</v>
          </cell>
        </row>
        <row r="3355">
          <cell r="A3355">
            <v>70133414</v>
          </cell>
          <cell r="B3355" t="str">
            <v>A급 오락실 9T</v>
          </cell>
        </row>
        <row r="3356">
          <cell r="A3356">
            <v>70133415</v>
          </cell>
          <cell r="B3356" t="str">
            <v>A급 사육실 9T</v>
          </cell>
        </row>
        <row r="3357">
          <cell r="A3357">
            <v>70133416</v>
          </cell>
          <cell r="B3357" t="str">
            <v>A급 연구실 9T</v>
          </cell>
        </row>
        <row r="3358">
          <cell r="A3358">
            <v>70133417</v>
          </cell>
          <cell r="B3358" t="str">
            <v>A급 도서실 9T</v>
          </cell>
        </row>
        <row r="3359">
          <cell r="A3359">
            <v>70133500</v>
          </cell>
          <cell r="B3359" t="str">
            <v>S급 돛대 9T</v>
          </cell>
        </row>
        <row r="3360">
          <cell r="A3360">
            <v>70133501</v>
          </cell>
          <cell r="B3360" t="str">
            <v>S급 파수대 9T</v>
          </cell>
        </row>
        <row r="3361">
          <cell r="A3361">
            <v>70133502</v>
          </cell>
          <cell r="B3361" t="str">
            <v>S급 부관실 9T</v>
          </cell>
        </row>
        <row r="3362">
          <cell r="A3362">
            <v>70133503</v>
          </cell>
          <cell r="B3362" t="str">
            <v>S급 재목실 9T</v>
          </cell>
        </row>
        <row r="3363">
          <cell r="A3363">
            <v>70133504</v>
          </cell>
          <cell r="B3363" t="str">
            <v>S급 회계실 9T</v>
          </cell>
        </row>
        <row r="3364">
          <cell r="A3364">
            <v>70133505</v>
          </cell>
          <cell r="B3364" t="str">
            <v>S급 측량실 9T</v>
          </cell>
        </row>
        <row r="3365">
          <cell r="A3365">
            <v>70133506</v>
          </cell>
          <cell r="B3365" t="str">
            <v>S급 무장포대 9T</v>
          </cell>
        </row>
        <row r="3366">
          <cell r="A3366">
            <v>70133507</v>
          </cell>
          <cell r="B3366" t="str">
            <v>S급 해병대기실 9T</v>
          </cell>
        </row>
        <row r="3367">
          <cell r="A3367">
            <v>70133508</v>
          </cell>
          <cell r="B3367" t="str">
            <v>S급 개인실 9T</v>
          </cell>
        </row>
        <row r="3368">
          <cell r="A3368">
            <v>70133509</v>
          </cell>
          <cell r="B3368" t="str">
            <v>S급 예배실 9T</v>
          </cell>
        </row>
        <row r="3369">
          <cell r="A3369">
            <v>70133510</v>
          </cell>
          <cell r="B3369" t="str">
            <v>S급 조리실 9T</v>
          </cell>
        </row>
        <row r="3370">
          <cell r="A3370">
            <v>70133511</v>
          </cell>
          <cell r="B3370" t="str">
            <v>S급 진료실 9T</v>
          </cell>
        </row>
        <row r="3371">
          <cell r="A3371">
            <v>70133512</v>
          </cell>
          <cell r="B3371" t="str">
            <v>S급 체력단련실 9T</v>
          </cell>
        </row>
        <row r="3372">
          <cell r="A3372">
            <v>70133513</v>
          </cell>
          <cell r="B3372" t="str">
            <v>S급 참모실 9T</v>
          </cell>
        </row>
        <row r="3373">
          <cell r="A3373">
            <v>70133514</v>
          </cell>
          <cell r="B3373" t="str">
            <v>S급 오락실 9T</v>
          </cell>
        </row>
        <row r="3374">
          <cell r="A3374">
            <v>70133515</v>
          </cell>
          <cell r="B3374" t="str">
            <v>S급 사육실 9T</v>
          </cell>
        </row>
        <row r="3375">
          <cell r="A3375">
            <v>70133516</v>
          </cell>
          <cell r="B3375" t="str">
            <v>S급 연구실 9T</v>
          </cell>
        </row>
        <row r="3376">
          <cell r="A3376">
            <v>70133517</v>
          </cell>
          <cell r="B3376" t="str">
            <v>S급 도서실 9T</v>
          </cell>
        </row>
        <row r="3377">
          <cell r="A3377">
            <v>70133600</v>
          </cell>
          <cell r="B3377" t="str">
            <v>C급 돛대 10T</v>
          </cell>
        </row>
        <row r="3378">
          <cell r="A3378">
            <v>70133601</v>
          </cell>
          <cell r="B3378" t="str">
            <v>C급 파수대 10T</v>
          </cell>
        </row>
        <row r="3379">
          <cell r="A3379">
            <v>70133602</v>
          </cell>
          <cell r="B3379" t="str">
            <v>C급 부관실 10T</v>
          </cell>
        </row>
        <row r="3380">
          <cell r="A3380">
            <v>70133603</v>
          </cell>
          <cell r="B3380" t="str">
            <v>C급 재목실 10T</v>
          </cell>
        </row>
        <row r="3381">
          <cell r="A3381">
            <v>70133604</v>
          </cell>
          <cell r="B3381" t="str">
            <v>C급 회계실 10T</v>
          </cell>
        </row>
        <row r="3382">
          <cell r="A3382">
            <v>70133605</v>
          </cell>
          <cell r="B3382" t="str">
            <v>C급 측량실 10T</v>
          </cell>
        </row>
        <row r="3383">
          <cell r="A3383">
            <v>70133606</v>
          </cell>
          <cell r="B3383" t="str">
            <v>C급 무장포대 10T</v>
          </cell>
        </row>
        <row r="3384">
          <cell r="A3384">
            <v>70133607</v>
          </cell>
          <cell r="B3384" t="str">
            <v>C급 해병대기실 10T</v>
          </cell>
        </row>
        <row r="3385">
          <cell r="A3385">
            <v>70133608</v>
          </cell>
          <cell r="B3385" t="str">
            <v>C급 개인실 10T</v>
          </cell>
        </row>
        <row r="3386">
          <cell r="A3386">
            <v>70133609</v>
          </cell>
          <cell r="B3386" t="str">
            <v>C급 예배실 10T</v>
          </cell>
        </row>
        <row r="3387">
          <cell r="A3387">
            <v>70133610</v>
          </cell>
          <cell r="B3387" t="str">
            <v>C급 조리실 10T</v>
          </cell>
        </row>
        <row r="3388">
          <cell r="A3388">
            <v>70133611</v>
          </cell>
          <cell r="B3388" t="str">
            <v>C급 진료실 10T</v>
          </cell>
        </row>
        <row r="3389">
          <cell r="A3389">
            <v>70133612</v>
          </cell>
          <cell r="B3389" t="str">
            <v>C급 체력단련실 10T</v>
          </cell>
        </row>
        <row r="3390">
          <cell r="A3390">
            <v>70133613</v>
          </cell>
          <cell r="B3390" t="str">
            <v>C급 참모실 10T</v>
          </cell>
        </row>
        <row r="3391">
          <cell r="A3391">
            <v>70133614</v>
          </cell>
          <cell r="B3391" t="str">
            <v>C급 오락실 10T</v>
          </cell>
        </row>
        <row r="3392">
          <cell r="A3392">
            <v>70133615</v>
          </cell>
          <cell r="B3392" t="str">
            <v>C급 사육실 10T</v>
          </cell>
        </row>
        <row r="3393">
          <cell r="A3393">
            <v>70133616</v>
          </cell>
          <cell r="B3393" t="str">
            <v>C급 연구실 10T</v>
          </cell>
        </row>
        <row r="3394">
          <cell r="A3394">
            <v>70133617</v>
          </cell>
          <cell r="B3394" t="str">
            <v>C급 도서실 10T</v>
          </cell>
        </row>
        <row r="3395">
          <cell r="A3395">
            <v>70133700</v>
          </cell>
          <cell r="B3395" t="str">
            <v>B급 돛대 10T</v>
          </cell>
        </row>
        <row r="3396">
          <cell r="A3396">
            <v>70133701</v>
          </cell>
          <cell r="B3396" t="str">
            <v>B급 파수대 10T</v>
          </cell>
        </row>
        <row r="3397">
          <cell r="A3397">
            <v>70133702</v>
          </cell>
          <cell r="B3397" t="str">
            <v>B급 부관실 10T</v>
          </cell>
        </row>
        <row r="3398">
          <cell r="A3398">
            <v>70133703</v>
          </cell>
          <cell r="B3398" t="str">
            <v>B급 재목실 10T</v>
          </cell>
        </row>
        <row r="3399">
          <cell r="A3399">
            <v>70133704</v>
          </cell>
          <cell r="B3399" t="str">
            <v>B급 회계실 10T</v>
          </cell>
        </row>
        <row r="3400">
          <cell r="A3400">
            <v>70133705</v>
          </cell>
          <cell r="B3400" t="str">
            <v>B급 측량실 10T</v>
          </cell>
        </row>
        <row r="3401">
          <cell r="A3401">
            <v>70133706</v>
          </cell>
          <cell r="B3401" t="str">
            <v>B급 무장포대 10T</v>
          </cell>
        </row>
        <row r="3402">
          <cell r="A3402">
            <v>70133707</v>
          </cell>
          <cell r="B3402" t="str">
            <v>B급 해병대기실 10T</v>
          </cell>
        </row>
        <row r="3403">
          <cell r="A3403">
            <v>70133708</v>
          </cell>
          <cell r="B3403" t="str">
            <v>B급 개인실 10T</v>
          </cell>
        </row>
        <row r="3404">
          <cell r="A3404">
            <v>70133709</v>
          </cell>
          <cell r="B3404" t="str">
            <v>B급 예배실 10T</v>
          </cell>
        </row>
        <row r="3405">
          <cell r="A3405">
            <v>70133710</v>
          </cell>
          <cell r="B3405" t="str">
            <v>B급 조리실 10T</v>
          </cell>
        </row>
        <row r="3406">
          <cell r="A3406">
            <v>70133711</v>
          </cell>
          <cell r="B3406" t="str">
            <v>B급 진료실 10T</v>
          </cell>
        </row>
        <row r="3407">
          <cell r="A3407">
            <v>70133712</v>
          </cell>
          <cell r="B3407" t="str">
            <v>B급 체력단련실 10T</v>
          </cell>
        </row>
        <row r="3408">
          <cell r="A3408">
            <v>70133713</v>
          </cell>
          <cell r="B3408" t="str">
            <v>B급 참모실 10T</v>
          </cell>
        </row>
        <row r="3409">
          <cell r="A3409">
            <v>70133714</v>
          </cell>
          <cell r="B3409" t="str">
            <v>B급 오락실 10T</v>
          </cell>
        </row>
        <row r="3410">
          <cell r="A3410">
            <v>70133715</v>
          </cell>
          <cell r="B3410" t="str">
            <v>B급 사육실 10T</v>
          </cell>
        </row>
        <row r="3411">
          <cell r="A3411">
            <v>70133716</v>
          </cell>
          <cell r="B3411" t="str">
            <v>B급 연구실 10T</v>
          </cell>
        </row>
        <row r="3412">
          <cell r="A3412">
            <v>70133717</v>
          </cell>
          <cell r="B3412" t="str">
            <v>B급 도서실 10T</v>
          </cell>
        </row>
        <row r="3413">
          <cell r="A3413">
            <v>70133800</v>
          </cell>
          <cell r="B3413" t="str">
            <v>A급 돛대 10T</v>
          </cell>
        </row>
        <row r="3414">
          <cell r="A3414">
            <v>70133801</v>
          </cell>
          <cell r="B3414" t="str">
            <v>A급 파수대 10T</v>
          </cell>
        </row>
        <row r="3415">
          <cell r="A3415">
            <v>70133802</v>
          </cell>
          <cell r="B3415" t="str">
            <v>A급 부관실 10T</v>
          </cell>
        </row>
        <row r="3416">
          <cell r="A3416">
            <v>70133803</v>
          </cell>
          <cell r="B3416" t="str">
            <v>A급 재목실 10T</v>
          </cell>
        </row>
        <row r="3417">
          <cell r="A3417">
            <v>70133804</v>
          </cell>
          <cell r="B3417" t="str">
            <v>A급 회계실 10T</v>
          </cell>
        </row>
        <row r="3418">
          <cell r="A3418">
            <v>70133805</v>
          </cell>
          <cell r="B3418" t="str">
            <v>A급 측량실 10T</v>
          </cell>
        </row>
        <row r="3419">
          <cell r="A3419">
            <v>70133806</v>
          </cell>
          <cell r="B3419" t="str">
            <v>A급 무장포대 10T</v>
          </cell>
        </row>
        <row r="3420">
          <cell r="A3420">
            <v>70133807</v>
          </cell>
          <cell r="B3420" t="str">
            <v>A급 해병대기실 10T</v>
          </cell>
        </row>
        <row r="3421">
          <cell r="A3421">
            <v>70133808</v>
          </cell>
          <cell r="B3421" t="str">
            <v>A급 개인실 10T</v>
          </cell>
        </row>
        <row r="3422">
          <cell r="A3422">
            <v>70133809</v>
          </cell>
          <cell r="B3422" t="str">
            <v>A급 예배실 10T</v>
          </cell>
        </row>
        <row r="3423">
          <cell r="A3423">
            <v>70133810</v>
          </cell>
          <cell r="B3423" t="str">
            <v>A급 조리실 10T</v>
          </cell>
        </row>
        <row r="3424">
          <cell r="A3424">
            <v>70133811</v>
          </cell>
          <cell r="B3424" t="str">
            <v>A급 진료실 10T</v>
          </cell>
        </row>
        <row r="3425">
          <cell r="A3425">
            <v>70133812</v>
          </cell>
          <cell r="B3425" t="str">
            <v>A급 체력단련실 10T</v>
          </cell>
        </row>
        <row r="3426">
          <cell r="A3426">
            <v>70133813</v>
          </cell>
          <cell r="B3426" t="str">
            <v>A급 참모실 10T</v>
          </cell>
        </row>
        <row r="3427">
          <cell r="A3427">
            <v>70133814</v>
          </cell>
          <cell r="B3427" t="str">
            <v>A급 오락실 10T</v>
          </cell>
        </row>
        <row r="3428">
          <cell r="A3428">
            <v>70133815</v>
          </cell>
          <cell r="B3428" t="str">
            <v>A급 사육실 10T</v>
          </cell>
        </row>
        <row r="3429">
          <cell r="A3429">
            <v>70133816</v>
          </cell>
          <cell r="B3429" t="str">
            <v>A급 연구실 10T</v>
          </cell>
        </row>
        <row r="3430">
          <cell r="A3430">
            <v>70133817</v>
          </cell>
          <cell r="B3430" t="str">
            <v>A급 도서실 10T</v>
          </cell>
        </row>
        <row r="3431">
          <cell r="A3431">
            <v>70133900</v>
          </cell>
          <cell r="B3431" t="str">
            <v>S급 돛대 10T</v>
          </cell>
        </row>
        <row r="3432">
          <cell r="A3432">
            <v>70133901</v>
          </cell>
          <cell r="B3432" t="str">
            <v>S급 파수대 10T</v>
          </cell>
        </row>
        <row r="3433">
          <cell r="A3433">
            <v>70133902</v>
          </cell>
          <cell r="B3433" t="str">
            <v>S급 부관실 10T</v>
          </cell>
        </row>
        <row r="3434">
          <cell r="A3434">
            <v>70133903</v>
          </cell>
          <cell r="B3434" t="str">
            <v>S급 재목실 10T</v>
          </cell>
        </row>
        <row r="3435">
          <cell r="A3435">
            <v>70133904</v>
          </cell>
          <cell r="B3435" t="str">
            <v>S급 회계실 10T</v>
          </cell>
        </row>
        <row r="3436">
          <cell r="A3436">
            <v>70133905</v>
          </cell>
          <cell r="B3436" t="str">
            <v>S급 측량실 10T</v>
          </cell>
        </row>
        <row r="3437">
          <cell r="A3437">
            <v>70133906</v>
          </cell>
          <cell r="B3437" t="str">
            <v>S급 무장포대 10T</v>
          </cell>
        </row>
        <row r="3438">
          <cell r="A3438">
            <v>70133907</v>
          </cell>
          <cell r="B3438" t="str">
            <v>S급 해병대기실 10T</v>
          </cell>
        </row>
        <row r="3439">
          <cell r="A3439">
            <v>70133908</v>
          </cell>
          <cell r="B3439" t="str">
            <v>S급 개인실 10T</v>
          </cell>
        </row>
        <row r="3440">
          <cell r="A3440">
            <v>70133909</v>
          </cell>
          <cell r="B3440" t="str">
            <v>S급 예배실 10T</v>
          </cell>
        </row>
        <row r="3441">
          <cell r="A3441">
            <v>70133910</v>
          </cell>
          <cell r="B3441" t="str">
            <v>S급 조리실 10T</v>
          </cell>
        </row>
        <row r="3442">
          <cell r="A3442">
            <v>70133911</v>
          </cell>
          <cell r="B3442" t="str">
            <v>S급 진료실 10T</v>
          </cell>
        </row>
        <row r="3443">
          <cell r="A3443">
            <v>70133912</v>
          </cell>
          <cell r="B3443" t="str">
            <v>S급 체력단련실 10T</v>
          </cell>
        </row>
        <row r="3444">
          <cell r="A3444">
            <v>70133913</v>
          </cell>
          <cell r="B3444" t="str">
            <v>S급 참모실 10T</v>
          </cell>
        </row>
        <row r="3445">
          <cell r="A3445">
            <v>70133914</v>
          </cell>
          <cell r="B3445" t="str">
            <v>S급 오락실 10T</v>
          </cell>
        </row>
        <row r="3446">
          <cell r="A3446">
            <v>70133915</v>
          </cell>
          <cell r="B3446" t="str">
            <v>S급 사육실 10T</v>
          </cell>
        </row>
        <row r="3447">
          <cell r="A3447">
            <v>70133916</v>
          </cell>
          <cell r="B3447" t="str">
            <v>S급 연구실 10T</v>
          </cell>
        </row>
        <row r="3448">
          <cell r="A3448">
            <v>70133917</v>
          </cell>
          <cell r="B3448" t="str">
            <v>S급 도서실 10T</v>
          </cell>
        </row>
        <row r="3449">
          <cell r="A3449">
            <v>70133918</v>
          </cell>
          <cell r="B3449" t="str">
            <v>C급 돛대 11T</v>
          </cell>
        </row>
        <row r="3450">
          <cell r="A3450">
            <v>70133919</v>
          </cell>
          <cell r="B3450" t="str">
            <v>C급 파수대 11T</v>
          </cell>
        </row>
        <row r="3451">
          <cell r="A3451">
            <v>70133920</v>
          </cell>
          <cell r="B3451" t="str">
            <v>B급 돛대 11T</v>
          </cell>
        </row>
        <row r="3452">
          <cell r="A3452">
            <v>70133921</v>
          </cell>
          <cell r="B3452" t="str">
            <v>B급 파수대 11T</v>
          </cell>
        </row>
        <row r="3453">
          <cell r="A3453">
            <v>70133922</v>
          </cell>
          <cell r="B3453" t="str">
            <v>C급 부관실 11T</v>
          </cell>
        </row>
        <row r="3454">
          <cell r="A3454">
            <v>70133923</v>
          </cell>
          <cell r="B3454" t="str">
            <v>C급 재목실 11T</v>
          </cell>
        </row>
        <row r="3455">
          <cell r="A3455">
            <v>70133924</v>
          </cell>
          <cell r="B3455" t="str">
            <v>C급 회계실 11T</v>
          </cell>
        </row>
        <row r="3456">
          <cell r="A3456">
            <v>70133925</v>
          </cell>
          <cell r="B3456" t="str">
            <v>C급 측량실 11T</v>
          </cell>
        </row>
        <row r="3457">
          <cell r="A3457">
            <v>70133926</v>
          </cell>
          <cell r="B3457" t="str">
            <v>C급 무장포대 11T</v>
          </cell>
        </row>
        <row r="3458">
          <cell r="A3458">
            <v>70133927</v>
          </cell>
          <cell r="B3458" t="str">
            <v>C급 해병대기실 11T</v>
          </cell>
        </row>
        <row r="3459">
          <cell r="A3459">
            <v>70133928</v>
          </cell>
          <cell r="B3459" t="str">
            <v>C급 개인실 11T</v>
          </cell>
        </row>
        <row r="3460">
          <cell r="A3460">
            <v>70133929</v>
          </cell>
          <cell r="B3460" t="str">
            <v>C급 예배실 11T</v>
          </cell>
        </row>
        <row r="3461">
          <cell r="A3461">
            <v>70133930</v>
          </cell>
          <cell r="B3461" t="str">
            <v>C급 조리실 11T</v>
          </cell>
        </row>
        <row r="3462">
          <cell r="A3462">
            <v>70133931</v>
          </cell>
          <cell r="B3462" t="str">
            <v>C급 진료실 11T</v>
          </cell>
        </row>
        <row r="3463">
          <cell r="A3463">
            <v>70133932</v>
          </cell>
          <cell r="B3463" t="str">
            <v>C급 체력단련실 11T</v>
          </cell>
        </row>
        <row r="3464">
          <cell r="A3464">
            <v>70133933</v>
          </cell>
          <cell r="B3464" t="str">
            <v>C급 참모실 11T</v>
          </cell>
        </row>
        <row r="3465">
          <cell r="A3465">
            <v>70133934</v>
          </cell>
          <cell r="B3465" t="str">
            <v>C급 오락실 11T</v>
          </cell>
        </row>
        <row r="3466">
          <cell r="A3466">
            <v>70133935</v>
          </cell>
          <cell r="B3466" t="str">
            <v>C급 사육실 11T</v>
          </cell>
        </row>
        <row r="3467">
          <cell r="A3467">
            <v>70133936</v>
          </cell>
          <cell r="B3467" t="str">
            <v>C급 연구실 11T</v>
          </cell>
        </row>
        <row r="3468">
          <cell r="A3468">
            <v>70133937</v>
          </cell>
          <cell r="B3468" t="str">
            <v>C급 도서실 11T</v>
          </cell>
        </row>
        <row r="3469">
          <cell r="A3469">
            <v>70133938</v>
          </cell>
          <cell r="B3469" t="str">
            <v>B급 부관실 11T</v>
          </cell>
        </row>
        <row r="3470">
          <cell r="A3470">
            <v>70133939</v>
          </cell>
          <cell r="B3470" t="str">
            <v>B급 재목실 11T</v>
          </cell>
        </row>
        <row r="3471">
          <cell r="A3471">
            <v>70133940</v>
          </cell>
          <cell r="B3471" t="str">
            <v>B급 회계실 11T</v>
          </cell>
        </row>
        <row r="3472">
          <cell r="A3472">
            <v>70133941</v>
          </cell>
          <cell r="B3472" t="str">
            <v>B급 측량실 11T</v>
          </cell>
        </row>
        <row r="3473">
          <cell r="A3473">
            <v>70133942</v>
          </cell>
          <cell r="B3473" t="str">
            <v>B급 무장포대 11T</v>
          </cell>
        </row>
        <row r="3474">
          <cell r="A3474">
            <v>70133943</v>
          </cell>
          <cell r="B3474" t="str">
            <v>B급 해병대기실 11T</v>
          </cell>
        </row>
        <row r="3475">
          <cell r="A3475">
            <v>70133944</v>
          </cell>
          <cell r="B3475" t="str">
            <v>B급 개인실 11T</v>
          </cell>
        </row>
        <row r="3476">
          <cell r="A3476">
            <v>70133945</v>
          </cell>
          <cell r="B3476" t="str">
            <v>B급 예배실 11T</v>
          </cell>
        </row>
        <row r="3477">
          <cell r="A3477">
            <v>70133946</v>
          </cell>
          <cell r="B3477" t="str">
            <v>B급 조리실 11T</v>
          </cell>
        </row>
        <row r="3478">
          <cell r="A3478">
            <v>70133947</v>
          </cell>
          <cell r="B3478" t="str">
            <v>B급 진료실 11T</v>
          </cell>
        </row>
        <row r="3479">
          <cell r="A3479">
            <v>70133948</v>
          </cell>
          <cell r="B3479" t="str">
            <v>B급 체력단련실 11T</v>
          </cell>
        </row>
        <row r="3480">
          <cell r="A3480">
            <v>70133949</v>
          </cell>
          <cell r="B3480" t="str">
            <v>B급 참모실 11T</v>
          </cell>
        </row>
        <row r="3481">
          <cell r="A3481">
            <v>70133950</v>
          </cell>
          <cell r="B3481" t="str">
            <v>B급 오락실 11T</v>
          </cell>
        </row>
        <row r="3482">
          <cell r="A3482">
            <v>70133951</v>
          </cell>
          <cell r="B3482" t="str">
            <v>B급 사육실 11T</v>
          </cell>
        </row>
        <row r="3483">
          <cell r="A3483">
            <v>70133952</v>
          </cell>
          <cell r="B3483" t="str">
            <v>B급 연구실 11T</v>
          </cell>
        </row>
        <row r="3484">
          <cell r="A3484">
            <v>70133953</v>
          </cell>
          <cell r="B3484" t="str">
            <v>B급 도서실 11T</v>
          </cell>
        </row>
        <row r="3485">
          <cell r="A3485">
            <v>70133954</v>
          </cell>
          <cell r="B3485" t="str">
            <v>C급 중형 물자창고 11T</v>
          </cell>
        </row>
        <row r="3486">
          <cell r="A3486">
            <v>70133955</v>
          </cell>
          <cell r="B3486" t="str">
            <v>C급 중형 식료품 창고 11T</v>
          </cell>
        </row>
        <row r="3487">
          <cell r="A3487">
            <v>70133956</v>
          </cell>
          <cell r="B3487" t="str">
            <v>C급 중형 조미료 창고 11T</v>
          </cell>
        </row>
        <row r="3488">
          <cell r="A3488">
            <v>70133957</v>
          </cell>
          <cell r="B3488" t="str">
            <v>C급 중형 가축 창고 11T</v>
          </cell>
        </row>
        <row r="3489">
          <cell r="A3489">
            <v>70133958</v>
          </cell>
          <cell r="B3489" t="str">
            <v>C급 중형 의약품 창고 11T</v>
          </cell>
        </row>
        <row r="3490">
          <cell r="A3490">
            <v>70133959</v>
          </cell>
          <cell r="B3490" t="str">
            <v>C급 중형 잡화 창고 11T</v>
          </cell>
        </row>
        <row r="3491">
          <cell r="A3491">
            <v>70133960</v>
          </cell>
          <cell r="B3491" t="str">
            <v>C급 중형 주류 창고 11T</v>
          </cell>
        </row>
        <row r="3492">
          <cell r="A3492">
            <v>70133961</v>
          </cell>
          <cell r="B3492" t="str">
            <v>C급 중형 염료 창고 11T</v>
          </cell>
        </row>
        <row r="3493">
          <cell r="A3493">
            <v>70133962</v>
          </cell>
          <cell r="B3493" t="str">
            <v>C급 중형 광석 창고 11T</v>
          </cell>
        </row>
        <row r="3494">
          <cell r="A3494">
            <v>70133963</v>
          </cell>
          <cell r="B3494" t="str">
            <v>C급 중형 공업품 창고 11T</v>
          </cell>
        </row>
        <row r="3495">
          <cell r="A3495">
            <v>70133964</v>
          </cell>
          <cell r="B3495" t="str">
            <v>C급 중형 기호품 창고 11T</v>
          </cell>
        </row>
        <row r="3496">
          <cell r="A3496">
            <v>70133965</v>
          </cell>
          <cell r="B3496" t="str">
            <v>C급 중형 섬유 창고 11T</v>
          </cell>
        </row>
        <row r="3497">
          <cell r="A3497">
            <v>70133966</v>
          </cell>
          <cell r="B3497" t="str">
            <v>C급 중형 직물 창고 11T</v>
          </cell>
        </row>
        <row r="3498">
          <cell r="A3498">
            <v>70133967</v>
          </cell>
          <cell r="B3498" t="str">
            <v>C급 중형 공예품 창고 11T</v>
          </cell>
        </row>
        <row r="3499">
          <cell r="A3499">
            <v>70133968</v>
          </cell>
          <cell r="B3499" t="str">
            <v>C급 중형 미술품 창고 11T</v>
          </cell>
        </row>
        <row r="3500">
          <cell r="A3500">
            <v>70133969</v>
          </cell>
          <cell r="B3500" t="str">
            <v>C급 중형 향신료 창고 11T</v>
          </cell>
        </row>
        <row r="3501">
          <cell r="A3501">
            <v>70133970</v>
          </cell>
          <cell r="B3501" t="str">
            <v>C급 중형 귀금속 창고 11T</v>
          </cell>
        </row>
        <row r="3502">
          <cell r="A3502">
            <v>70133971</v>
          </cell>
          <cell r="B3502" t="str">
            <v>C급 중형 향료 창고 11T</v>
          </cell>
        </row>
        <row r="3503">
          <cell r="A3503">
            <v>70133972</v>
          </cell>
          <cell r="B3503" t="str">
            <v>C급 중형 보석 창고 11T</v>
          </cell>
        </row>
        <row r="3504">
          <cell r="A3504">
            <v>70133973</v>
          </cell>
          <cell r="B3504" t="str">
            <v>C급 중형 무기류 창고 11T</v>
          </cell>
        </row>
        <row r="3505">
          <cell r="A3505">
            <v>70133974</v>
          </cell>
          <cell r="B3505" t="str">
            <v>C급 중형 총포류 창고 11T</v>
          </cell>
        </row>
        <row r="3506">
          <cell r="A3506">
            <v>70133975</v>
          </cell>
          <cell r="B3506" t="str">
            <v>C급 중형 짐창고 11T</v>
          </cell>
        </row>
        <row r="3507">
          <cell r="A3507">
            <v>70133976</v>
          </cell>
          <cell r="B3507" t="str">
            <v>C급 중형 조수실 11T</v>
          </cell>
        </row>
        <row r="3508">
          <cell r="A3508">
            <v>70133977</v>
          </cell>
          <cell r="B3508" t="str">
            <v>C급 중형 선원실 11T</v>
          </cell>
        </row>
        <row r="3509">
          <cell r="A3509">
            <v>70133978</v>
          </cell>
          <cell r="B3509" t="str">
            <v>C급 중형 탄약창고 11T</v>
          </cell>
        </row>
        <row r="3510">
          <cell r="A3510">
            <v>70133979</v>
          </cell>
          <cell r="B3510" t="str">
            <v>C급 중형 무기창고 11T</v>
          </cell>
        </row>
        <row r="3511">
          <cell r="A3511">
            <v>70133980</v>
          </cell>
          <cell r="B3511" t="str">
            <v>C급 중형 휴게실 11T</v>
          </cell>
        </row>
        <row r="3512">
          <cell r="A3512">
            <v>70133981</v>
          </cell>
          <cell r="B3512" t="str">
            <v>C급 중형 연회장 11T</v>
          </cell>
        </row>
        <row r="3513">
          <cell r="A3513">
            <v>70133982</v>
          </cell>
          <cell r="B3513" t="str">
            <v>C급 중형 위장창고 11T</v>
          </cell>
        </row>
        <row r="3514">
          <cell r="A3514">
            <v>70133983</v>
          </cell>
          <cell r="B3514" t="str">
            <v>C급 중형 강화창고 11T</v>
          </cell>
        </row>
        <row r="3515">
          <cell r="A3515">
            <v>70133984</v>
          </cell>
          <cell r="B3515" t="str">
            <v>B급 중형 물자창고 11T</v>
          </cell>
        </row>
        <row r="3516">
          <cell r="A3516">
            <v>70133985</v>
          </cell>
          <cell r="B3516" t="str">
            <v>B급 중형 식료품 창고 11T</v>
          </cell>
        </row>
        <row r="3517">
          <cell r="A3517">
            <v>70133986</v>
          </cell>
          <cell r="B3517" t="str">
            <v>B급 중형 조미료 창고 11T</v>
          </cell>
        </row>
        <row r="3518">
          <cell r="A3518">
            <v>70133987</v>
          </cell>
          <cell r="B3518" t="str">
            <v>B급 중형 가축 창고 11T</v>
          </cell>
        </row>
        <row r="3519">
          <cell r="A3519">
            <v>70133988</v>
          </cell>
          <cell r="B3519" t="str">
            <v>B급 중형 의약품 창고 11T</v>
          </cell>
        </row>
        <row r="3520">
          <cell r="A3520">
            <v>70133989</v>
          </cell>
          <cell r="B3520" t="str">
            <v>B급 중형 잡화 창고 11T</v>
          </cell>
        </row>
        <row r="3521">
          <cell r="A3521">
            <v>70133990</v>
          </cell>
          <cell r="B3521" t="str">
            <v>B급 중형 주류 창고 11T</v>
          </cell>
        </row>
        <row r="3522">
          <cell r="A3522">
            <v>70133991</v>
          </cell>
          <cell r="B3522" t="str">
            <v>B급 중형 염료 창고 11T</v>
          </cell>
        </row>
        <row r="3523">
          <cell r="A3523">
            <v>70133992</v>
          </cell>
          <cell r="B3523" t="str">
            <v>B급 중형 광석 창고 11T</v>
          </cell>
        </row>
        <row r="3524">
          <cell r="A3524">
            <v>70133993</v>
          </cell>
          <cell r="B3524" t="str">
            <v>B급 중형 공업품 창고 11T</v>
          </cell>
        </row>
        <row r="3525">
          <cell r="A3525">
            <v>70133994</v>
          </cell>
          <cell r="B3525" t="str">
            <v>B급 중형 기호품 창고 11T</v>
          </cell>
        </row>
        <row r="3526">
          <cell r="A3526">
            <v>70133995</v>
          </cell>
          <cell r="B3526" t="str">
            <v>B급 중형 섬유 창고 11T</v>
          </cell>
        </row>
        <row r="3527">
          <cell r="A3527">
            <v>70133996</v>
          </cell>
          <cell r="B3527" t="str">
            <v>B급 중형 직물 창고 11T</v>
          </cell>
        </row>
        <row r="3528">
          <cell r="A3528">
            <v>70133997</v>
          </cell>
          <cell r="B3528" t="str">
            <v>B급 중형 공예품 창고 11T</v>
          </cell>
        </row>
        <row r="3529">
          <cell r="A3529">
            <v>70133998</v>
          </cell>
          <cell r="B3529" t="str">
            <v>B급 중형 미술품 창고 11T</v>
          </cell>
        </row>
        <row r="3530">
          <cell r="A3530">
            <v>70133999</v>
          </cell>
          <cell r="B3530" t="str">
            <v>B급 중형 향신료 창고 11T</v>
          </cell>
        </row>
        <row r="3531">
          <cell r="A3531">
            <v>70134000</v>
          </cell>
          <cell r="B3531" t="str">
            <v>B급 중형 귀금속 창고 11T</v>
          </cell>
        </row>
        <row r="3532">
          <cell r="A3532">
            <v>70134001</v>
          </cell>
          <cell r="B3532" t="str">
            <v>B급 중형 향료 창고 11T</v>
          </cell>
        </row>
        <row r="3533">
          <cell r="A3533">
            <v>70134002</v>
          </cell>
          <cell r="B3533" t="str">
            <v>B급 중형 보석 창고 11T</v>
          </cell>
        </row>
        <row r="3534">
          <cell r="A3534">
            <v>70134003</v>
          </cell>
          <cell r="B3534" t="str">
            <v>B급 중형 무기류 창고 11T</v>
          </cell>
        </row>
        <row r="3535">
          <cell r="A3535">
            <v>70134004</v>
          </cell>
          <cell r="B3535" t="str">
            <v>B급 중형 총포류 창고 11T</v>
          </cell>
        </row>
        <row r="3536">
          <cell r="A3536">
            <v>70134005</v>
          </cell>
          <cell r="B3536" t="str">
            <v>B급 중형 짐창고 11T</v>
          </cell>
        </row>
        <row r="3537">
          <cell r="A3537">
            <v>70134006</v>
          </cell>
          <cell r="B3537" t="str">
            <v>B급 중형 조수실 11T</v>
          </cell>
        </row>
        <row r="3538">
          <cell r="A3538">
            <v>70134007</v>
          </cell>
          <cell r="B3538" t="str">
            <v>B급 중형 선원실 11T</v>
          </cell>
        </row>
        <row r="3539">
          <cell r="A3539">
            <v>70134008</v>
          </cell>
          <cell r="B3539" t="str">
            <v>B급 중형 탄약창고 11T</v>
          </cell>
        </row>
        <row r="3540">
          <cell r="A3540">
            <v>70134009</v>
          </cell>
          <cell r="B3540" t="str">
            <v>B급 중형 무기창고 11T</v>
          </cell>
        </row>
        <row r="3541">
          <cell r="A3541">
            <v>70134010</v>
          </cell>
          <cell r="B3541" t="str">
            <v>B급 중형 휴게실 11T</v>
          </cell>
        </row>
        <row r="3542">
          <cell r="A3542">
            <v>70134011</v>
          </cell>
          <cell r="B3542" t="str">
            <v>B급 중형 연회장 11T</v>
          </cell>
        </row>
        <row r="3543">
          <cell r="A3543">
            <v>70134012</v>
          </cell>
          <cell r="B3543" t="str">
            <v>B급 중형 위장창고 11T</v>
          </cell>
        </row>
        <row r="3544">
          <cell r="A3544">
            <v>70134013</v>
          </cell>
          <cell r="B3544" t="str">
            <v>B급 중형 강화창고 11T</v>
          </cell>
        </row>
        <row r="3545">
          <cell r="A3545">
            <v>70134014</v>
          </cell>
          <cell r="B3545" t="str">
            <v>C급 돛대 12T</v>
          </cell>
        </row>
        <row r="3546">
          <cell r="A3546">
            <v>70134015</v>
          </cell>
          <cell r="B3546" t="str">
            <v>C급 파수대 12T</v>
          </cell>
        </row>
        <row r="3547">
          <cell r="A3547">
            <v>70134016</v>
          </cell>
          <cell r="B3547" t="str">
            <v>B급 돛대 12T</v>
          </cell>
        </row>
        <row r="3548">
          <cell r="A3548">
            <v>70134017</v>
          </cell>
          <cell r="B3548" t="str">
            <v>B급 파수대 12T</v>
          </cell>
        </row>
        <row r="3549">
          <cell r="A3549">
            <v>70134018</v>
          </cell>
          <cell r="B3549" t="str">
            <v>C급 부관실 12T</v>
          </cell>
        </row>
        <row r="3550">
          <cell r="A3550">
            <v>70134019</v>
          </cell>
          <cell r="B3550" t="str">
            <v>C급 재목실 12T</v>
          </cell>
        </row>
        <row r="3551">
          <cell r="A3551">
            <v>70134020</v>
          </cell>
          <cell r="B3551" t="str">
            <v>C급 회계실 12T</v>
          </cell>
        </row>
        <row r="3552">
          <cell r="A3552">
            <v>70134021</v>
          </cell>
          <cell r="B3552" t="str">
            <v>C급 측량실 12T</v>
          </cell>
        </row>
        <row r="3553">
          <cell r="A3553">
            <v>70134022</v>
          </cell>
          <cell r="B3553" t="str">
            <v>C급 무장포대 12T</v>
          </cell>
        </row>
        <row r="3554">
          <cell r="A3554">
            <v>70134023</v>
          </cell>
          <cell r="B3554" t="str">
            <v>C급 해병대기실 12T</v>
          </cell>
        </row>
        <row r="3555">
          <cell r="A3555">
            <v>70134024</v>
          </cell>
          <cell r="B3555" t="str">
            <v>C급 개인실 12T</v>
          </cell>
        </row>
        <row r="3556">
          <cell r="A3556">
            <v>70134025</v>
          </cell>
          <cell r="B3556" t="str">
            <v>C급 예배실 12T</v>
          </cell>
        </row>
        <row r="3557">
          <cell r="A3557">
            <v>70134026</v>
          </cell>
          <cell r="B3557" t="str">
            <v>C급 조리실 12T</v>
          </cell>
        </row>
        <row r="3558">
          <cell r="A3558">
            <v>70134027</v>
          </cell>
          <cell r="B3558" t="str">
            <v>C급 진료실 12T</v>
          </cell>
        </row>
        <row r="3559">
          <cell r="A3559">
            <v>70134028</v>
          </cell>
          <cell r="B3559" t="str">
            <v>C급 체력단련실 12T</v>
          </cell>
        </row>
        <row r="3560">
          <cell r="A3560">
            <v>70134029</v>
          </cell>
          <cell r="B3560" t="str">
            <v>C급 참모실 12T</v>
          </cell>
        </row>
        <row r="3561">
          <cell r="A3561">
            <v>70134030</v>
          </cell>
          <cell r="B3561" t="str">
            <v>C급 오락실 12T</v>
          </cell>
        </row>
        <row r="3562">
          <cell r="A3562">
            <v>70134031</v>
          </cell>
          <cell r="B3562" t="str">
            <v>C급 사육실 12T</v>
          </cell>
        </row>
        <row r="3563">
          <cell r="A3563">
            <v>70134032</v>
          </cell>
          <cell r="B3563" t="str">
            <v>C급 연구실 12T</v>
          </cell>
        </row>
        <row r="3564">
          <cell r="A3564">
            <v>70134033</v>
          </cell>
          <cell r="B3564" t="str">
            <v>C급 도서실 12T</v>
          </cell>
        </row>
        <row r="3565">
          <cell r="A3565">
            <v>70134034</v>
          </cell>
          <cell r="B3565" t="str">
            <v>B급 부관실 12T</v>
          </cell>
        </row>
        <row r="3566">
          <cell r="A3566">
            <v>70134035</v>
          </cell>
          <cell r="B3566" t="str">
            <v>B급 재목실 12T</v>
          </cell>
        </row>
        <row r="3567">
          <cell r="A3567">
            <v>70134036</v>
          </cell>
          <cell r="B3567" t="str">
            <v>B급 회계실 12T</v>
          </cell>
        </row>
        <row r="3568">
          <cell r="A3568">
            <v>70134037</v>
          </cell>
          <cell r="B3568" t="str">
            <v>B급 측량실 12T</v>
          </cell>
        </row>
        <row r="3569">
          <cell r="A3569">
            <v>70134038</v>
          </cell>
          <cell r="B3569" t="str">
            <v>B급 무장포대 12T</v>
          </cell>
        </row>
        <row r="3570">
          <cell r="A3570">
            <v>70134039</v>
          </cell>
          <cell r="B3570" t="str">
            <v>B급 해병대기실 12T</v>
          </cell>
        </row>
        <row r="3571">
          <cell r="A3571">
            <v>70134040</v>
          </cell>
          <cell r="B3571" t="str">
            <v>B급 개인실 12T</v>
          </cell>
        </row>
        <row r="3572">
          <cell r="A3572">
            <v>70134041</v>
          </cell>
          <cell r="B3572" t="str">
            <v>B급 예배실 12T</v>
          </cell>
        </row>
        <row r="3573">
          <cell r="A3573">
            <v>70134042</v>
          </cell>
          <cell r="B3573" t="str">
            <v>B급 조리실 12T</v>
          </cell>
        </row>
        <row r="3574">
          <cell r="A3574">
            <v>70134043</v>
          </cell>
          <cell r="B3574" t="str">
            <v>B급 진료실 12T</v>
          </cell>
        </row>
        <row r="3575">
          <cell r="A3575">
            <v>70134044</v>
          </cell>
          <cell r="B3575" t="str">
            <v>B급 체력단련실 12T</v>
          </cell>
        </row>
        <row r="3576">
          <cell r="A3576">
            <v>70134045</v>
          </cell>
          <cell r="B3576" t="str">
            <v>B급 참모실 12T</v>
          </cell>
        </row>
        <row r="3577">
          <cell r="A3577">
            <v>70134046</v>
          </cell>
          <cell r="B3577" t="str">
            <v>B급 오락실 12T</v>
          </cell>
        </row>
        <row r="3578">
          <cell r="A3578">
            <v>70134047</v>
          </cell>
          <cell r="B3578" t="str">
            <v>B급 사육실 12T</v>
          </cell>
        </row>
        <row r="3579">
          <cell r="A3579">
            <v>70134048</v>
          </cell>
          <cell r="B3579" t="str">
            <v>B급 연구실 12T</v>
          </cell>
        </row>
        <row r="3580">
          <cell r="A3580">
            <v>70134049</v>
          </cell>
          <cell r="B3580" t="str">
            <v>B급 도서실 12T</v>
          </cell>
        </row>
        <row r="3581">
          <cell r="A3581">
            <v>70134050</v>
          </cell>
          <cell r="B3581" t="str">
            <v>C급 중형 물자창고 12T</v>
          </cell>
        </row>
        <row r="3582">
          <cell r="A3582">
            <v>70134051</v>
          </cell>
          <cell r="B3582" t="str">
            <v>C급 중형 식료품 창고 12T</v>
          </cell>
        </row>
        <row r="3583">
          <cell r="A3583">
            <v>70134052</v>
          </cell>
          <cell r="B3583" t="str">
            <v>C급 중형 조미료 창고 12T</v>
          </cell>
        </row>
        <row r="3584">
          <cell r="A3584">
            <v>70134053</v>
          </cell>
          <cell r="B3584" t="str">
            <v>C급 중형 가축 창고 12T</v>
          </cell>
        </row>
        <row r="3585">
          <cell r="A3585">
            <v>70134054</v>
          </cell>
          <cell r="B3585" t="str">
            <v>C급 중형 의약품 창고 12T</v>
          </cell>
        </row>
        <row r="3586">
          <cell r="A3586">
            <v>70134055</v>
          </cell>
          <cell r="B3586" t="str">
            <v>C급 중형 잡화 창고 12T</v>
          </cell>
        </row>
        <row r="3587">
          <cell r="A3587">
            <v>70134056</v>
          </cell>
          <cell r="B3587" t="str">
            <v>C급 중형 주류 창고 12T</v>
          </cell>
        </row>
        <row r="3588">
          <cell r="A3588">
            <v>70134057</v>
          </cell>
          <cell r="B3588" t="str">
            <v>C급 중형 염료 창고 12T</v>
          </cell>
        </row>
        <row r="3589">
          <cell r="A3589">
            <v>70134058</v>
          </cell>
          <cell r="B3589" t="str">
            <v>C급 중형 광석 창고 12T</v>
          </cell>
        </row>
        <row r="3590">
          <cell r="A3590">
            <v>70134059</v>
          </cell>
          <cell r="B3590" t="str">
            <v>C급 중형 공업품 창고 12T</v>
          </cell>
        </row>
        <row r="3591">
          <cell r="A3591">
            <v>70134060</v>
          </cell>
          <cell r="B3591" t="str">
            <v>C급 중형 기호품 창고 12T</v>
          </cell>
        </row>
        <row r="3592">
          <cell r="A3592">
            <v>70134061</v>
          </cell>
          <cell r="B3592" t="str">
            <v>C급 중형 섬유 창고 12T</v>
          </cell>
        </row>
        <row r="3593">
          <cell r="A3593">
            <v>70134062</v>
          </cell>
          <cell r="B3593" t="str">
            <v>C급 중형 직물 창고 12T</v>
          </cell>
        </row>
        <row r="3594">
          <cell r="A3594">
            <v>70134063</v>
          </cell>
          <cell r="B3594" t="str">
            <v>C급 중형 공예품 창고 12T</v>
          </cell>
        </row>
        <row r="3595">
          <cell r="A3595">
            <v>70134064</v>
          </cell>
          <cell r="B3595" t="str">
            <v>C급 중형 미술품 창고 12T</v>
          </cell>
        </row>
        <row r="3596">
          <cell r="A3596">
            <v>70134065</v>
          </cell>
          <cell r="B3596" t="str">
            <v>C급 중형 향신료 창고 12T</v>
          </cell>
        </row>
        <row r="3597">
          <cell r="A3597">
            <v>70134066</v>
          </cell>
          <cell r="B3597" t="str">
            <v>C급 중형 귀금속 창고 12T</v>
          </cell>
        </row>
        <row r="3598">
          <cell r="A3598">
            <v>70134067</v>
          </cell>
          <cell r="B3598" t="str">
            <v>C급 중형 향료 창고 12T</v>
          </cell>
        </row>
        <row r="3599">
          <cell r="A3599">
            <v>70134068</v>
          </cell>
          <cell r="B3599" t="str">
            <v>C급 중형 보석 창고 12T</v>
          </cell>
        </row>
        <row r="3600">
          <cell r="A3600">
            <v>70134069</v>
          </cell>
          <cell r="B3600" t="str">
            <v>C급 중형 무기류 창고 12T</v>
          </cell>
        </row>
        <row r="3601">
          <cell r="A3601">
            <v>70134070</v>
          </cell>
          <cell r="B3601" t="str">
            <v>C급 중형 총포류 창고 12T</v>
          </cell>
        </row>
        <row r="3602">
          <cell r="A3602">
            <v>70134071</v>
          </cell>
          <cell r="B3602" t="str">
            <v>C급 중형 짐창고 12T</v>
          </cell>
        </row>
        <row r="3603">
          <cell r="A3603">
            <v>70134072</v>
          </cell>
          <cell r="B3603" t="str">
            <v>C급 중형 조수실 12T</v>
          </cell>
        </row>
        <row r="3604">
          <cell r="A3604">
            <v>70134073</v>
          </cell>
          <cell r="B3604" t="str">
            <v>C급 중형 선원실 12T</v>
          </cell>
        </row>
        <row r="3605">
          <cell r="A3605">
            <v>70134074</v>
          </cell>
          <cell r="B3605" t="str">
            <v>C급 중형 탄약창고 12T</v>
          </cell>
        </row>
        <row r="3606">
          <cell r="A3606">
            <v>70134075</v>
          </cell>
          <cell r="B3606" t="str">
            <v>C급 중형 무기창고 12T</v>
          </cell>
        </row>
        <row r="3607">
          <cell r="A3607">
            <v>70134076</v>
          </cell>
          <cell r="B3607" t="str">
            <v>C급 중형 휴게실 12T</v>
          </cell>
        </row>
        <row r="3608">
          <cell r="A3608">
            <v>70134077</v>
          </cell>
          <cell r="B3608" t="str">
            <v>C급 중형 연회장 12T</v>
          </cell>
        </row>
        <row r="3609">
          <cell r="A3609">
            <v>70134078</v>
          </cell>
          <cell r="B3609" t="str">
            <v>C급 중형 위장창고 12T</v>
          </cell>
        </row>
        <row r="3610">
          <cell r="A3610">
            <v>70134079</v>
          </cell>
          <cell r="B3610" t="str">
            <v>C급 중형 강화창고 12T</v>
          </cell>
        </row>
        <row r="3611">
          <cell r="A3611">
            <v>70134080</v>
          </cell>
          <cell r="B3611" t="str">
            <v>B급 중형 물자창고 12T</v>
          </cell>
        </row>
        <row r="3612">
          <cell r="A3612">
            <v>70134081</v>
          </cell>
          <cell r="B3612" t="str">
            <v>B급 중형 식료품 창고 12T</v>
          </cell>
        </row>
        <row r="3613">
          <cell r="A3613">
            <v>70134082</v>
          </cell>
          <cell r="B3613" t="str">
            <v>B급 중형 조미료 창고 12T</v>
          </cell>
        </row>
        <row r="3614">
          <cell r="A3614">
            <v>70134083</v>
          </cell>
          <cell r="B3614" t="str">
            <v>B급 중형 가축 창고 12T</v>
          </cell>
        </row>
        <row r="3615">
          <cell r="A3615">
            <v>70134084</v>
          </cell>
          <cell r="B3615" t="str">
            <v>B급 중형 의약품 창고 12T</v>
          </cell>
        </row>
        <row r="3616">
          <cell r="A3616">
            <v>70134085</v>
          </cell>
          <cell r="B3616" t="str">
            <v>B급 중형 잡화 창고 12T</v>
          </cell>
        </row>
        <row r="3617">
          <cell r="A3617">
            <v>70134086</v>
          </cell>
          <cell r="B3617" t="str">
            <v>B급 중형 주류 창고 12T</v>
          </cell>
        </row>
        <row r="3618">
          <cell r="A3618">
            <v>70134087</v>
          </cell>
          <cell r="B3618" t="str">
            <v>B급 중형 염료 창고 12T</v>
          </cell>
        </row>
        <row r="3619">
          <cell r="A3619">
            <v>70134088</v>
          </cell>
          <cell r="B3619" t="str">
            <v>B급 중형 광석 창고 12T</v>
          </cell>
        </row>
        <row r="3620">
          <cell r="A3620">
            <v>70134089</v>
          </cell>
          <cell r="B3620" t="str">
            <v>B급 중형 공업품 창고 12T</v>
          </cell>
        </row>
        <row r="3621">
          <cell r="A3621">
            <v>70134090</v>
          </cell>
          <cell r="B3621" t="str">
            <v>B급 중형 기호품 창고 12T</v>
          </cell>
        </row>
        <row r="3622">
          <cell r="A3622">
            <v>70134091</v>
          </cell>
          <cell r="B3622" t="str">
            <v>B급 중형 섬유 창고 12T</v>
          </cell>
        </row>
        <row r="3623">
          <cell r="A3623">
            <v>70134092</v>
          </cell>
          <cell r="B3623" t="str">
            <v>B급 중형 직물 창고 12T</v>
          </cell>
        </row>
        <row r="3624">
          <cell r="A3624">
            <v>70134093</v>
          </cell>
          <cell r="B3624" t="str">
            <v>B급 중형 공예품 창고 12T</v>
          </cell>
        </row>
        <row r="3625">
          <cell r="A3625">
            <v>70134094</v>
          </cell>
          <cell r="B3625" t="str">
            <v>B급 중형 미술품 창고 12T</v>
          </cell>
        </row>
        <row r="3626">
          <cell r="A3626">
            <v>70134095</v>
          </cell>
          <cell r="B3626" t="str">
            <v>B급 중형 향신료 창고 12T</v>
          </cell>
        </row>
        <row r="3627">
          <cell r="A3627">
            <v>70134096</v>
          </cell>
          <cell r="B3627" t="str">
            <v>B급 중형 귀금속 창고 12T</v>
          </cell>
        </row>
        <row r="3628">
          <cell r="A3628">
            <v>70134097</v>
          </cell>
          <cell r="B3628" t="str">
            <v>B급 중형 향료 창고 12T</v>
          </cell>
        </row>
        <row r="3629">
          <cell r="A3629">
            <v>70134098</v>
          </cell>
          <cell r="B3629" t="str">
            <v>B급 중형 보석 창고 12T</v>
          </cell>
        </row>
        <row r="3630">
          <cell r="A3630">
            <v>70134099</v>
          </cell>
          <cell r="B3630" t="str">
            <v>B급 중형 무기류 창고 12T</v>
          </cell>
        </row>
        <row r="3631">
          <cell r="A3631">
            <v>70134100</v>
          </cell>
          <cell r="B3631" t="str">
            <v>B급 중형 총포류 창고 12T</v>
          </cell>
        </row>
        <row r="3632">
          <cell r="A3632">
            <v>70134101</v>
          </cell>
          <cell r="B3632" t="str">
            <v>B급 중형 짐창고 12T</v>
          </cell>
        </row>
        <row r="3633">
          <cell r="A3633">
            <v>70134102</v>
          </cell>
          <cell r="B3633" t="str">
            <v>B급 중형 조수실 12T</v>
          </cell>
        </row>
        <row r="3634">
          <cell r="A3634">
            <v>70134103</v>
          </cell>
          <cell r="B3634" t="str">
            <v>B급 중형 선원실 12T</v>
          </cell>
        </row>
        <row r="3635">
          <cell r="A3635">
            <v>70134104</v>
          </cell>
          <cell r="B3635" t="str">
            <v>B급 중형 탄약창고 12T</v>
          </cell>
        </row>
        <row r="3636">
          <cell r="A3636">
            <v>70134105</v>
          </cell>
          <cell r="B3636" t="str">
            <v>B급 중형 무기창고 12T</v>
          </cell>
        </row>
        <row r="3637">
          <cell r="A3637">
            <v>70134106</v>
          </cell>
          <cell r="B3637" t="str">
            <v>B급 중형 휴게실 12T</v>
          </cell>
        </row>
        <row r="3638">
          <cell r="A3638">
            <v>70134107</v>
          </cell>
          <cell r="B3638" t="str">
            <v>B급 중형 연회장 12T</v>
          </cell>
        </row>
        <row r="3639">
          <cell r="A3639">
            <v>70134108</v>
          </cell>
          <cell r="B3639" t="str">
            <v>B급 중형 위장창고 12T</v>
          </cell>
        </row>
        <row r="3640">
          <cell r="A3640">
            <v>70134109</v>
          </cell>
          <cell r="B3640" t="str">
            <v>B급 중형 강화창고 12T</v>
          </cell>
        </row>
        <row r="3641">
          <cell r="A3641">
            <v>70134110</v>
          </cell>
          <cell r="B3641" t="str">
            <v>B급 돛대 13T</v>
          </cell>
        </row>
        <row r="3642">
          <cell r="A3642">
            <v>70134111</v>
          </cell>
          <cell r="B3642" t="str">
            <v>B급 파수대 13T</v>
          </cell>
        </row>
        <row r="3643">
          <cell r="A3643">
            <v>70134112</v>
          </cell>
          <cell r="B3643" t="str">
            <v>B급 부관실 13T</v>
          </cell>
        </row>
        <row r="3644">
          <cell r="A3644">
            <v>70134113</v>
          </cell>
          <cell r="B3644" t="str">
            <v>B급 재목실 13T</v>
          </cell>
        </row>
        <row r="3645">
          <cell r="A3645">
            <v>70134114</v>
          </cell>
          <cell r="B3645" t="str">
            <v>B급 회계실 13T</v>
          </cell>
        </row>
        <row r="3646">
          <cell r="A3646">
            <v>70134115</v>
          </cell>
          <cell r="B3646" t="str">
            <v>B급 측량실 13T</v>
          </cell>
        </row>
        <row r="3647">
          <cell r="A3647">
            <v>70134116</v>
          </cell>
          <cell r="B3647" t="str">
            <v>B급 무장포대 13T</v>
          </cell>
        </row>
        <row r="3648">
          <cell r="A3648">
            <v>70134117</v>
          </cell>
          <cell r="B3648" t="str">
            <v>B급 해병대기실 13T</v>
          </cell>
        </row>
        <row r="3649">
          <cell r="A3649">
            <v>70134118</v>
          </cell>
          <cell r="B3649" t="str">
            <v>B급 개인실 13T</v>
          </cell>
        </row>
        <row r="3650">
          <cell r="A3650">
            <v>70134119</v>
          </cell>
          <cell r="B3650" t="str">
            <v>B급 예배실 13T</v>
          </cell>
        </row>
        <row r="3651">
          <cell r="A3651">
            <v>70134120</v>
          </cell>
          <cell r="B3651" t="str">
            <v>B급 조리실 13T</v>
          </cell>
        </row>
        <row r="3652">
          <cell r="A3652">
            <v>70134121</v>
          </cell>
          <cell r="B3652" t="str">
            <v>B급 진료실 13T</v>
          </cell>
        </row>
        <row r="3653">
          <cell r="A3653">
            <v>70134122</v>
          </cell>
          <cell r="B3653" t="str">
            <v>B급 체력단련실 13T</v>
          </cell>
        </row>
        <row r="3654">
          <cell r="A3654">
            <v>70134123</v>
          </cell>
          <cell r="B3654" t="str">
            <v>B급 참모실 13T</v>
          </cell>
        </row>
        <row r="3655">
          <cell r="A3655">
            <v>70134124</v>
          </cell>
          <cell r="B3655" t="str">
            <v>B급 오락실 13T</v>
          </cell>
        </row>
        <row r="3656">
          <cell r="A3656">
            <v>70134125</v>
          </cell>
          <cell r="B3656" t="str">
            <v>B급 사육실 13T</v>
          </cell>
        </row>
        <row r="3657">
          <cell r="A3657">
            <v>70134126</v>
          </cell>
          <cell r="B3657" t="str">
            <v>B급 연구실 13T</v>
          </cell>
        </row>
        <row r="3658">
          <cell r="A3658">
            <v>70134127</v>
          </cell>
          <cell r="B3658" t="str">
            <v>B급 도서실 13T</v>
          </cell>
        </row>
        <row r="3659">
          <cell r="A3659">
            <v>70134128</v>
          </cell>
          <cell r="B3659" t="str">
            <v>B급 대형 물자창고 13T</v>
          </cell>
        </row>
        <row r="3660">
          <cell r="A3660">
            <v>70134129</v>
          </cell>
          <cell r="B3660" t="str">
            <v>B급 대형 식료품 창고 13T</v>
          </cell>
        </row>
        <row r="3661">
          <cell r="A3661">
            <v>70134130</v>
          </cell>
          <cell r="B3661" t="str">
            <v>B급 대형 조미료 창고 13T</v>
          </cell>
        </row>
        <row r="3662">
          <cell r="A3662">
            <v>70134131</v>
          </cell>
          <cell r="B3662" t="str">
            <v>B급 대형 가축 창고 13T</v>
          </cell>
        </row>
        <row r="3663">
          <cell r="A3663">
            <v>70134132</v>
          </cell>
          <cell r="B3663" t="str">
            <v>B급 대형 의약품 창고 13T</v>
          </cell>
        </row>
        <row r="3664">
          <cell r="A3664">
            <v>70134133</v>
          </cell>
          <cell r="B3664" t="str">
            <v>B급 대형 잡화 창고 13T</v>
          </cell>
        </row>
        <row r="3665">
          <cell r="A3665">
            <v>70134134</v>
          </cell>
          <cell r="B3665" t="str">
            <v>B급 대형 주류 창고 13T</v>
          </cell>
        </row>
        <row r="3666">
          <cell r="A3666">
            <v>70134135</v>
          </cell>
          <cell r="B3666" t="str">
            <v>B급 대형 염료 창고 13T</v>
          </cell>
        </row>
        <row r="3667">
          <cell r="A3667">
            <v>70134136</v>
          </cell>
          <cell r="B3667" t="str">
            <v>B급 대형 광석 창고 13T</v>
          </cell>
        </row>
        <row r="3668">
          <cell r="A3668">
            <v>70134137</v>
          </cell>
          <cell r="B3668" t="str">
            <v>B급 대형 공업품 창고 13T</v>
          </cell>
        </row>
        <row r="3669">
          <cell r="A3669">
            <v>70134138</v>
          </cell>
          <cell r="B3669" t="str">
            <v>B급 대형 기호품 창고 13T</v>
          </cell>
        </row>
        <row r="3670">
          <cell r="A3670">
            <v>70134139</v>
          </cell>
          <cell r="B3670" t="str">
            <v>B급 대형 섬유 창고 13T</v>
          </cell>
        </row>
        <row r="3671">
          <cell r="A3671">
            <v>70134140</v>
          </cell>
          <cell r="B3671" t="str">
            <v>B급 대형 직물 창고 13T</v>
          </cell>
        </row>
        <row r="3672">
          <cell r="A3672">
            <v>70134141</v>
          </cell>
          <cell r="B3672" t="str">
            <v>B급 대형 공예품 창고 13T</v>
          </cell>
        </row>
        <row r="3673">
          <cell r="A3673">
            <v>70134142</v>
          </cell>
          <cell r="B3673" t="str">
            <v>B급 대형 미술품 창고 13T</v>
          </cell>
        </row>
        <row r="3674">
          <cell r="A3674">
            <v>70134143</v>
          </cell>
          <cell r="B3674" t="str">
            <v>B급 대형 향신료 창고 13T</v>
          </cell>
        </row>
        <row r="3675">
          <cell r="A3675">
            <v>70134144</v>
          </cell>
          <cell r="B3675" t="str">
            <v>B급 대형 귀금속 창고 13T</v>
          </cell>
        </row>
        <row r="3676">
          <cell r="A3676">
            <v>70134145</v>
          </cell>
          <cell r="B3676" t="str">
            <v>B급 대형 향료 창고 13T</v>
          </cell>
        </row>
        <row r="3677">
          <cell r="A3677">
            <v>70134146</v>
          </cell>
          <cell r="B3677" t="str">
            <v>B급 대형 보석 창고 13T</v>
          </cell>
        </row>
        <row r="3678">
          <cell r="A3678">
            <v>70134147</v>
          </cell>
          <cell r="B3678" t="str">
            <v>B급 대형 무기류 창고 13T</v>
          </cell>
        </row>
        <row r="3679">
          <cell r="A3679">
            <v>70134148</v>
          </cell>
          <cell r="B3679" t="str">
            <v>B급 대형 총포류 창고 13T</v>
          </cell>
        </row>
        <row r="3680">
          <cell r="A3680">
            <v>70134149</v>
          </cell>
          <cell r="B3680" t="str">
            <v>B급 대형 짐창고 13T</v>
          </cell>
        </row>
        <row r="3681">
          <cell r="A3681">
            <v>70134150</v>
          </cell>
          <cell r="B3681" t="str">
            <v>B급 대형 조수실 13T</v>
          </cell>
        </row>
        <row r="3682">
          <cell r="A3682">
            <v>70134151</v>
          </cell>
          <cell r="B3682" t="str">
            <v>B급 대형 선원실 13T</v>
          </cell>
        </row>
        <row r="3683">
          <cell r="A3683">
            <v>70134152</v>
          </cell>
          <cell r="B3683" t="str">
            <v>B급 대형 탄약창고 13T</v>
          </cell>
        </row>
        <row r="3684">
          <cell r="A3684">
            <v>70134153</v>
          </cell>
          <cell r="B3684" t="str">
            <v>B급 대형 무기창고 13T</v>
          </cell>
        </row>
        <row r="3685">
          <cell r="A3685">
            <v>70134154</v>
          </cell>
          <cell r="B3685" t="str">
            <v>B급 대형 휴게실 13T</v>
          </cell>
        </row>
        <row r="3686">
          <cell r="A3686">
            <v>70134155</v>
          </cell>
          <cell r="B3686" t="str">
            <v>B급 대형 연회장 13T</v>
          </cell>
        </row>
        <row r="3687">
          <cell r="A3687">
            <v>70134156</v>
          </cell>
          <cell r="B3687" t="str">
            <v>B급 대형 위장창고 13T</v>
          </cell>
        </row>
        <row r="3688">
          <cell r="A3688">
            <v>70134157</v>
          </cell>
          <cell r="B3688" t="str">
            <v>B급 대형 강화창고 13T</v>
          </cell>
        </row>
        <row r="3689">
          <cell r="A3689">
            <v>70184000</v>
          </cell>
          <cell r="B3689" t="str">
            <v>##테스트용 돛</v>
          </cell>
        </row>
        <row r="3690">
          <cell r="A3690">
            <v>70185001</v>
          </cell>
          <cell r="B3690" t="str">
            <v>##테스트용 충각</v>
          </cell>
        </row>
        <row r="3691">
          <cell r="A3691">
            <v>70186001</v>
          </cell>
          <cell r="B3691" t="str">
            <v>##테스트용 닻</v>
          </cell>
        </row>
        <row r="3692">
          <cell r="A3692">
            <v>70187001</v>
          </cell>
          <cell r="B3692" t="str">
            <v>##테스트용 함포</v>
          </cell>
        </row>
        <row r="3693">
          <cell r="A3693">
            <v>70188001</v>
          </cell>
          <cell r="B3693" t="str">
            <v>##테스트용 장갑</v>
          </cell>
        </row>
        <row r="3694">
          <cell r="A3694">
            <v>70190001</v>
          </cell>
          <cell r="B3694" t="str">
            <v>튜토리얼용 이속돛</v>
          </cell>
        </row>
        <row r="3695">
          <cell r="A3695">
            <v>70190002</v>
          </cell>
          <cell r="B3695" t="str">
            <v>튜토리얼용 적</v>
          </cell>
        </row>
        <row r="3696">
          <cell r="A3696">
            <v>70190003</v>
          </cell>
          <cell r="B3696" t="str">
            <v>튜토리얼용 초대형 함선용</v>
          </cell>
        </row>
        <row r="3697">
          <cell r="A3697">
            <v>70190004</v>
          </cell>
          <cell r="B3697" t="str">
            <v>튜토 아군 함선용</v>
          </cell>
        </row>
        <row r="3698">
          <cell r="A3698">
            <v>70190005</v>
          </cell>
          <cell r="B3698" t="str">
            <v>튜토 아군 함선용2</v>
          </cell>
        </row>
        <row r="3699">
          <cell r="A3699">
            <v>70190006</v>
          </cell>
          <cell r="B3699" t="str">
            <v>튜토 아군 함선용3</v>
          </cell>
        </row>
        <row r="3700">
          <cell r="A3700">
            <v>70190007</v>
          </cell>
          <cell r="B3700" t="str">
            <v>튜토리얼용 적 1함대 4번</v>
          </cell>
        </row>
        <row r="3701">
          <cell r="A3701">
            <v>70190008</v>
          </cell>
          <cell r="B3701" t="str">
            <v>튜토리얼용 적 1함대 3,5번</v>
          </cell>
        </row>
        <row r="3702">
          <cell r="A3702">
            <v>70190009</v>
          </cell>
          <cell r="B3702" t="str">
            <v>30티어포</v>
          </cell>
        </row>
        <row r="3703">
          <cell r="A3703">
            <v>70190010</v>
          </cell>
          <cell r="B3703" t="str">
            <v>30티어돛</v>
          </cell>
        </row>
        <row r="3704">
          <cell r="A3704">
            <v>70190011</v>
          </cell>
          <cell r="B3704" t="str">
            <v>30티어닻</v>
          </cell>
        </row>
        <row r="3705">
          <cell r="A3705">
            <v>70190012</v>
          </cell>
          <cell r="B3705" t="str">
            <v>30티어충각</v>
          </cell>
        </row>
        <row r="3706">
          <cell r="A3706">
            <v>70190013</v>
          </cell>
          <cell r="B3706" t="str">
            <v>30티어장갑</v>
          </cell>
        </row>
        <row r="3707">
          <cell r="A3707">
            <v>70190014</v>
          </cell>
          <cell r="B3707" t="str">
            <v>30티어선수상</v>
          </cell>
        </row>
        <row r="3708">
          <cell r="A3708">
            <v>70190015</v>
          </cell>
          <cell r="B3708" t="str">
            <v>25티어포</v>
          </cell>
        </row>
        <row r="3709">
          <cell r="A3709">
            <v>70190016</v>
          </cell>
          <cell r="B3709" t="str">
            <v>25티어돛</v>
          </cell>
        </row>
        <row r="3710">
          <cell r="A3710">
            <v>70190017</v>
          </cell>
          <cell r="B3710" t="str">
            <v>25티어닻</v>
          </cell>
        </row>
        <row r="3711">
          <cell r="A3711">
            <v>70190018</v>
          </cell>
          <cell r="B3711" t="str">
            <v>25티어충각</v>
          </cell>
        </row>
        <row r="3712">
          <cell r="A3712">
            <v>70190019</v>
          </cell>
          <cell r="B3712" t="str">
            <v>25티어장갑</v>
          </cell>
        </row>
        <row r="3713">
          <cell r="A3713">
            <v>70190020</v>
          </cell>
          <cell r="B3713" t="str">
            <v>25티어선수상</v>
          </cell>
        </row>
        <row r="3714">
          <cell r="A3714">
            <v>70190021</v>
          </cell>
          <cell r="B3714" t="str">
            <v>20티어포</v>
          </cell>
        </row>
        <row r="3715">
          <cell r="A3715">
            <v>70190022</v>
          </cell>
          <cell r="B3715" t="str">
            <v>20티어돛</v>
          </cell>
        </row>
        <row r="3716">
          <cell r="A3716">
            <v>70190023</v>
          </cell>
          <cell r="B3716" t="str">
            <v>20티어닻</v>
          </cell>
        </row>
        <row r="3717">
          <cell r="A3717">
            <v>70190024</v>
          </cell>
          <cell r="B3717" t="str">
            <v>20티어충각</v>
          </cell>
        </row>
        <row r="3718">
          <cell r="A3718">
            <v>70190025</v>
          </cell>
          <cell r="B3718" t="str">
            <v>20티어장갑</v>
          </cell>
        </row>
        <row r="3719">
          <cell r="A3719">
            <v>70190026</v>
          </cell>
          <cell r="B3719" t="str">
            <v>20티어선수상</v>
          </cell>
        </row>
        <row r="3720">
          <cell r="A3720">
            <v>70190027</v>
          </cell>
          <cell r="B3720" t="str">
            <v>15티어포</v>
          </cell>
        </row>
        <row r="3721">
          <cell r="A3721">
            <v>70190028</v>
          </cell>
          <cell r="B3721" t="str">
            <v>15티어돛</v>
          </cell>
        </row>
        <row r="3722">
          <cell r="A3722">
            <v>70190029</v>
          </cell>
          <cell r="B3722" t="str">
            <v>15티어닻</v>
          </cell>
        </row>
        <row r="3723">
          <cell r="A3723">
            <v>70190030</v>
          </cell>
          <cell r="B3723" t="str">
            <v>15티어충각</v>
          </cell>
        </row>
        <row r="3724">
          <cell r="A3724">
            <v>70190031</v>
          </cell>
          <cell r="B3724" t="str">
            <v>15티어장갑</v>
          </cell>
        </row>
        <row r="3725">
          <cell r="A3725">
            <v>70190032</v>
          </cell>
          <cell r="B3725" t="str">
            <v>15티어선수상</v>
          </cell>
        </row>
        <row r="3726">
          <cell r="A3726">
            <v>70190033</v>
          </cell>
          <cell r="B3726" t="str">
            <v>10티어포</v>
          </cell>
        </row>
        <row r="3727">
          <cell r="A3727">
            <v>70190034</v>
          </cell>
          <cell r="B3727" t="str">
            <v>10티어돛</v>
          </cell>
        </row>
        <row r="3728">
          <cell r="A3728">
            <v>70190035</v>
          </cell>
          <cell r="B3728" t="str">
            <v>10티어닻</v>
          </cell>
        </row>
        <row r="3729">
          <cell r="A3729">
            <v>70190036</v>
          </cell>
          <cell r="B3729" t="str">
            <v>10티어충각</v>
          </cell>
        </row>
        <row r="3730">
          <cell r="A3730">
            <v>70190037</v>
          </cell>
          <cell r="B3730" t="str">
            <v>10티어장갑</v>
          </cell>
        </row>
        <row r="3731">
          <cell r="A3731">
            <v>70190038</v>
          </cell>
          <cell r="B3731" t="str">
            <v>10티어선수상</v>
          </cell>
        </row>
        <row r="3732">
          <cell r="A3732">
            <v>70190039</v>
          </cell>
          <cell r="B3732" t="str">
            <v>5티어포</v>
          </cell>
        </row>
        <row r="3733">
          <cell r="A3733">
            <v>70190040</v>
          </cell>
          <cell r="B3733" t="str">
            <v>5티어돛</v>
          </cell>
        </row>
        <row r="3734">
          <cell r="A3734">
            <v>70190041</v>
          </cell>
          <cell r="B3734" t="str">
            <v>5티어닻</v>
          </cell>
        </row>
        <row r="3735">
          <cell r="A3735">
            <v>70190042</v>
          </cell>
          <cell r="B3735" t="str">
            <v>5티어충각</v>
          </cell>
        </row>
        <row r="3736">
          <cell r="A3736">
            <v>70190043</v>
          </cell>
          <cell r="B3736" t="str">
            <v>5티어장갑</v>
          </cell>
        </row>
        <row r="3737">
          <cell r="A3737">
            <v>70190044</v>
          </cell>
          <cell r="B3737" t="str">
            <v>5티어선수상</v>
          </cell>
        </row>
        <row r="3738">
          <cell r="A3738">
            <v>70190045</v>
          </cell>
          <cell r="B3738" t="str">
            <v>28티어포</v>
          </cell>
        </row>
        <row r="3739">
          <cell r="A3739">
            <v>70190046</v>
          </cell>
          <cell r="B3739" t="str">
            <v>28티어돛</v>
          </cell>
        </row>
        <row r="3740">
          <cell r="A3740">
            <v>70190047</v>
          </cell>
          <cell r="B3740" t="str">
            <v>28티어닻</v>
          </cell>
        </row>
        <row r="3741">
          <cell r="A3741">
            <v>70190048</v>
          </cell>
          <cell r="B3741" t="str">
            <v>28티어충각</v>
          </cell>
        </row>
        <row r="3742">
          <cell r="A3742">
            <v>70190049</v>
          </cell>
          <cell r="B3742" t="str">
            <v>28티어장갑</v>
          </cell>
        </row>
        <row r="3743">
          <cell r="A3743">
            <v>70190050</v>
          </cell>
          <cell r="B3743" t="str">
            <v>28티어선수상</v>
          </cell>
        </row>
        <row r="3744">
          <cell r="A3744">
            <v>70190051</v>
          </cell>
          <cell r="B3744" t="str">
            <v>29티어포</v>
          </cell>
        </row>
        <row r="3745">
          <cell r="A3745">
            <v>70190052</v>
          </cell>
          <cell r="B3745" t="str">
            <v>29티어돛</v>
          </cell>
        </row>
        <row r="3746">
          <cell r="A3746">
            <v>70190053</v>
          </cell>
          <cell r="B3746" t="str">
            <v>29티어닻</v>
          </cell>
        </row>
        <row r="3747">
          <cell r="A3747">
            <v>70190054</v>
          </cell>
          <cell r="B3747" t="str">
            <v>29티어충각</v>
          </cell>
        </row>
        <row r="3748">
          <cell r="A3748">
            <v>70190055</v>
          </cell>
          <cell r="B3748" t="str">
            <v>29티어장갑</v>
          </cell>
        </row>
        <row r="3749">
          <cell r="A3749">
            <v>70190056</v>
          </cell>
          <cell r="B3749" t="str">
            <v>29티어선수상</v>
          </cell>
        </row>
        <row r="3750">
          <cell r="A3750">
            <v>70190057</v>
          </cell>
          <cell r="B3750" t="str">
            <v>26티어포</v>
          </cell>
        </row>
        <row r="3751">
          <cell r="A3751">
            <v>70190058</v>
          </cell>
          <cell r="B3751" t="str">
            <v>27티어포</v>
          </cell>
        </row>
        <row r="3752">
          <cell r="A3752">
            <v>70190101</v>
          </cell>
          <cell r="B3752" t="str">
            <v>공격 범위 수정_화염탄 포격</v>
          </cell>
        </row>
        <row r="3753">
          <cell r="A3753">
            <v>70190102</v>
          </cell>
          <cell r="B3753" t="str">
            <v>공격 범위 수정_철퇴탄 포격</v>
          </cell>
        </row>
        <row r="3754">
          <cell r="A3754">
            <v>70190103</v>
          </cell>
          <cell r="B3754" t="str">
            <v>공격 범위 수정_먹물탄 포격</v>
          </cell>
        </row>
        <row r="3755">
          <cell r="A3755">
            <v>70190104</v>
          </cell>
          <cell r="B3755" t="str">
            <v>공격 범위 수정_사슬탄 포격</v>
          </cell>
        </row>
        <row r="3756">
          <cell r="A3756">
            <v>70190105</v>
          </cell>
          <cell r="B3756" t="str">
            <v>공격 범위 수정_석환 포격</v>
          </cell>
        </row>
        <row r="3757">
          <cell r="A3757">
            <v>70190106</v>
          </cell>
          <cell r="B3757" t="str">
            <v>공격 범위 수정_끈끈이 포격</v>
          </cell>
        </row>
        <row r="3758">
          <cell r="A3758">
            <v>70190107</v>
          </cell>
          <cell r="B3758" t="str">
            <v>공격 범위 수정_맹톡탄 포격</v>
          </cell>
        </row>
        <row r="3759">
          <cell r="A3759">
            <v>70190108</v>
          </cell>
          <cell r="B3759" t="str">
            <v>공격 범위 수정_금괴탄 포격</v>
          </cell>
        </row>
        <row r="3760">
          <cell r="A3760">
            <v>70190109</v>
          </cell>
          <cell r="B3760" t="str">
            <v>공격 범위 수정_연막탄 포격</v>
          </cell>
        </row>
        <row r="3761">
          <cell r="A3761">
            <v>70190110</v>
          </cell>
          <cell r="B3761" t="str">
            <v>공격 범위 수정_섬광탄 포격</v>
          </cell>
        </row>
        <row r="3762">
          <cell r="A3762">
            <v>70190111</v>
          </cell>
          <cell r="B3762" t="str">
            <v>공격 범위 수정_depth15</v>
          </cell>
        </row>
      </sheetData>
      <sheetData sheetId="139"/>
      <sheetData sheetId="140">
        <row r="1">
          <cell r="A1" t="str">
            <v>id</v>
          </cell>
          <cell r="B1" t="str">
            <v>name</v>
          </cell>
        </row>
        <row r="2">
          <cell r="A2" t="str">
            <v>key:40600000~40699999</v>
          </cell>
          <cell r="B2" t="str">
            <v>text</v>
          </cell>
        </row>
        <row r="3">
          <cell r="A3" t="str">
            <v>:required</v>
          </cell>
          <cell r="B3">
            <v>1</v>
          </cell>
        </row>
        <row r="4">
          <cell r="A4" t="str">
            <v>:min</v>
          </cell>
          <cell r="B4" t="str">
            <v>-</v>
          </cell>
        </row>
        <row r="5">
          <cell r="A5" t="str">
            <v>:max</v>
          </cell>
          <cell r="B5" t="str">
            <v>-</v>
          </cell>
        </row>
        <row r="6">
          <cell r="A6" t="str">
            <v>:enum</v>
          </cell>
          <cell r="B6" t="str">
            <v>-</v>
          </cell>
        </row>
        <row r="7">
          <cell r="A7" t="str">
            <v>:asset</v>
          </cell>
          <cell r="B7" t="str">
            <v>-</v>
          </cell>
        </row>
        <row r="8">
          <cell r="A8" t="str">
            <v>:links</v>
          </cell>
          <cell r="B8" t="str">
            <v>-</v>
          </cell>
        </row>
        <row r="9">
          <cell r="A9">
            <v>40600001</v>
          </cell>
          <cell r="B9" t="str">
            <v>물</v>
          </cell>
        </row>
        <row r="10">
          <cell r="A10">
            <v>40600002</v>
          </cell>
          <cell r="B10" t="str">
            <v>식량</v>
          </cell>
        </row>
        <row r="11">
          <cell r="A11">
            <v>40600003</v>
          </cell>
          <cell r="B11" t="str">
            <v>자재</v>
          </cell>
        </row>
        <row r="12">
          <cell r="A12">
            <v>40600004</v>
          </cell>
          <cell r="B12" t="str">
            <v>포탄</v>
          </cell>
        </row>
      </sheetData>
      <sheetData sheetId="141"/>
      <sheetData sheetId="142"/>
      <sheetData sheetId="143"/>
      <sheetData sheetId="144"/>
      <sheetData sheetId="145"/>
      <sheetData sheetId="146">
        <row r="1">
          <cell r="A1" t="str">
            <v>id</v>
          </cell>
          <cell r="C1" t="str">
            <v>name</v>
          </cell>
        </row>
        <row r="2">
          <cell r="A2" t="str">
            <v>key:70000000~70099999</v>
          </cell>
          <cell r="C2" t="str">
            <v>text</v>
          </cell>
        </row>
        <row r="3">
          <cell r="A3" t="str">
            <v>:required</v>
          </cell>
          <cell r="C3">
            <v>1</v>
          </cell>
        </row>
        <row r="4">
          <cell r="A4" t="str">
            <v>:min</v>
          </cell>
          <cell r="C4" t="str">
            <v>-</v>
          </cell>
        </row>
        <row r="5">
          <cell r="A5" t="str">
            <v>:max</v>
          </cell>
          <cell r="C5" t="str">
            <v>-</v>
          </cell>
        </row>
        <row r="6">
          <cell r="A6" t="str">
            <v>:enum</v>
          </cell>
          <cell r="C6" t="str">
            <v>-</v>
          </cell>
        </row>
        <row r="7">
          <cell r="A7" t="str">
            <v>:asset</v>
          </cell>
          <cell r="C7" t="str">
            <v>-</v>
          </cell>
        </row>
        <row r="8">
          <cell r="A8" t="str">
            <v>:links</v>
          </cell>
          <cell r="C8" t="str">
            <v>-</v>
          </cell>
        </row>
        <row r="9">
          <cell r="A9">
            <v>70000001</v>
          </cell>
          <cell r="C9" t="str">
            <v>타렛테</v>
          </cell>
        </row>
        <row r="10">
          <cell r="A10">
            <v>70000002</v>
          </cell>
          <cell r="C10" t="str">
            <v>바르카</v>
          </cell>
        </row>
        <row r="11">
          <cell r="A11">
            <v>70000003</v>
          </cell>
          <cell r="C11" t="str">
            <v>한자 코그</v>
          </cell>
        </row>
        <row r="12">
          <cell r="A12">
            <v>70000004</v>
          </cell>
          <cell r="C12" t="str">
            <v>경량형 프로아</v>
          </cell>
        </row>
        <row r="13">
          <cell r="A13">
            <v>70000005</v>
          </cell>
          <cell r="C13" t="str">
            <v>버저로</v>
          </cell>
        </row>
        <row r="14">
          <cell r="A14">
            <v>70000006</v>
          </cell>
          <cell r="C14" t="str">
            <v>삼판</v>
          </cell>
        </row>
        <row r="15">
          <cell r="A15">
            <v>70000007</v>
          </cell>
          <cell r="C15" t="str">
            <v>브리간틴</v>
          </cell>
        </row>
        <row r="16">
          <cell r="A16">
            <v>70000008</v>
          </cell>
          <cell r="C16" t="str">
            <v>코그 레돈다</v>
          </cell>
        </row>
        <row r="17">
          <cell r="A17">
            <v>70000009</v>
          </cell>
          <cell r="C17" t="str">
            <v>코그 라티나</v>
          </cell>
        </row>
        <row r="18">
          <cell r="A18">
            <v>70000010</v>
          </cell>
          <cell r="C18" t="str">
            <v>프로아</v>
          </cell>
        </row>
        <row r="19">
          <cell r="A19">
            <v>70000011</v>
          </cell>
          <cell r="C19" t="str">
            <v>캐러벨 라티나</v>
          </cell>
        </row>
        <row r="20">
          <cell r="A20">
            <v>70000012</v>
          </cell>
          <cell r="C20" t="str">
            <v>캐러벨 레돈다</v>
          </cell>
        </row>
        <row r="21">
          <cell r="A21">
            <v>70000013</v>
          </cell>
          <cell r="C21" t="str">
            <v>슬루프</v>
          </cell>
        </row>
        <row r="22">
          <cell r="A22">
            <v>70000014</v>
          </cell>
          <cell r="C22" t="str">
            <v>커터</v>
          </cell>
        </row>
        <row r="23">
          <cell r="A23">
            <v>70000015</v>
          </cell>
          <cell r="C23" t="str">
            <v>탄작</v>
          </cell>
        </row>
        <row r="24">
          <cell r="A24">
            <v>70000016</v>
          </cell>
          <cell r="C24" t="str">
            <v>경량형 사선</v>
          </cell>
        </row>
        <row r="25">
          <cell r="A25">
            <v>70000017</v>
          </cell>
          <cell r="C25" t="str">
            <v>경량형 갤리</v>
          </cell>
        </row>
        <row r="26">
          <cell r="A26">
            <v>70000018</v>
          </cell>
          <cell r="C26" t="str">
            <v>나오</v>
          </cell>
        </row>
        <row r="27">
          <cell r="A27">
            <v>70000019</v>
          </cell>
          <cell r="C27" t="str">
            <v>펠러커</v>
          </cell>
        </row>
        <row r="28">
          <cell r="A28">
            <v>70000020</v>
          </cell>
          <cell r="C28" t="str">
            <v>다우</v>
          </cell>
        </row>
        <row r="29">
          <cell r="A29">
            <v>70000021</v>
          </cell>
          <cell r="C29" t="str">
            <v>맹선</v>
          </cell>
        </row>
        <row r="30">
          <cell r="A30">
            <v>70000022</v>
          </cell>
          <cell r="C30" t="str">
            <v>갤리</v>
          </cell>
        </row>
        <row r="31">
          <cell r="A31">
            <v>70000023</v>
          </cell>
          <cell r="C31" t="str">
            <v>핀네스</v>
          </cell>
        </row>
        <row r="32">
          <cell r="A32">
            <v>70000024</v>
          </cell>
          <cell r="C32" t="str">
            <v>카락</v>
          </cell>
        </row>
        <row r="33">
          <cell r="A33">
            <v>70000025</v>
          </cell>
          <cell r="C33" t="str">
            <v>스쿠너</v>
          </cell>
        </row>
        <row r="34">
          <cell r="A34">
            <v>70000026</v>
          </cell>
          <cell r="C34" t="str">
            <v>삼부크</v>
          </cell>
        </row>
        <row r="35">
          <cell r="A35">
            <v>70000027</v>
          </cell>
          <cell r="C35" t="str">
            <v>소조선</v>
          </cell>
        </row>
        <row r="36">
          <cell r="A36">
            <v>70000028</v>
          </cell>
          <cell r="C36" t="str">
            <v>중 갤리</v>
          </cell>
        </row>
        <row r="37">
          <cell r="A37">
            <v>70000029</v>
          </cell>
          <cell r="C37" t="str">
            <v>프류트</v>
          </cell>
        </row>
        <row r="38">
          <cell r="A38">
            <v>70000030</v>
          </cell>
          <cell r="C38" t="str">
            <v>바스</v>
          </cell>
        </row>
        <row r="39">
          <cell r="A39">
            <v>70000031</v>
          </cell>
          <cell r="C39" t="str">
            <v>지벡</v>
          </cell>
        </row>
        <row r="40">
          <cell r="A40">
            <v>70000032</v>
          </cell>
          <cell r="C40" t="str">
            <v>로르샤</v>
          </cell>
        </row>
        <row r="41">
          <cell r="A41">
            <v>70000033</v>
          </cell>
          <cell r="C41" t="str">
            <v>사선</v>
          </cell>
        </row>
        <row r="42">
          <cell r="A42">
            <v>70000034</v>
          </cell>
          <cell r="C42" t="str">
            <v>주인선</v>
          </cell>
        </row>
        <row r="43">
          <cell r="A43">
            <v>70000035</v>
          </cell>
          <cell r="C43" t="str">
            <v>플란더스 갤리</v>
          </cell>
        </row>
        <row r="44">
          <cell r="A44">
            <v>70000036</v>
          </cell>
          <cell r="C44" t="str">
            <v>오스만 갤리</v>
          </cell>
        </row>
        <row r="45">
          <cell r="A45">
            <v>70000037</v>
          </cell>
          <cell r="C45" t="str">
            <v>프리깃</v>
          </cell>
        </row>
        <row r="46">
          <cell r="A46">
            <v>70000038</v>
          </cell>
          <cell r="C46" t="str">
            <v>갤리온</v>
          </cell>
        </row>
        <row r="47">
          <cell r="A47">
            <v>70000039</v>
          </cell>
          <cell r="C47" t="str">
            <v>코르벳</v>
          </cell>
        </row>
        <row r="48">
          <cell r="A48">
            <v>70000040</v>
          </cell>
          <cell r="C48" t="str">
            <v>복선</v>
          </cell>
        </row>
        <row r="49">
          <cell r="A49">
            <v>70000041</v>
          </cell>
          <cell r="C49" t="str">
            <v>조운선</v>
          </cell>
        </row>
        <row r="50">
          <cell r="A50">
            <v>70000042</v>
          </cell>
          <cell r="C50" t="str">
            <v>관선</v>
          </cell>
        </row>
        <row r="51">
          <cell r="A51">
            <v>70000043</v>
          </cell>
          <cell r="C51" t="str">
            <v>라레알</v>
          </cell>
        </row>
        <row r="52">
          <cell r="A52">
            <v>70000044</v>
          </cell>
          <cell r="C52" t="str">
            <v>갤리스</v>
          </cell>
        </row>
        <row r="53">
          <cell r="A53">
            <v>70000045</v>
          </cell>
          <cell r="C53" t="str">
            <v>대형 프리깃</v>
          </cell>
        </row>
        <row r="54">
          <cell r="A54">
            <v>70000046</v>
          </cell>
          <cell r="C54" t="str">
            <v>중 카락</v>
          </cell>
        </row>
        <row r="55">
          <cell r="A55">
            <v>70000047</v>
          </cell>
          <cell r="C55" t="str">
            <v>케벡</v>
          </cell>
        </row>
        <row r="56">
          <cell r="A56">
            <v>70000048</v>
          </cell>
          <cell r="C56" t="str">
            <v>대형 사선</v>
          </cell>
        </row>
        <row r="57">
          <cell r="A57">
            <v>70000049</v>
          </cell>
          <cell r="C57" t="str">
            <v>대형 조운선</v>
          </cell>
        </row>
        <row r="58">
          <cell r="A58">
            <v>70000050</v>
          </cell>
          <cell r="C58" t="str">
            <v>대형 관선</v>
          </cell>
        </row>
        <row r="59">
          <cell r="A59">
            <v>70000051</v>
          </cell>
          <cell r="C59" t="str">
            <v>라르와이얄</v>
          </cell>
        </row>
        <row r="60">
          <cell r="A60">
            <v>70000052</v>
          </cell>
          <cell r="C60" t="str">
            <v>오스만 갤리온</v>
          </cell>
        </row>
        <row r="61">
          <cell r="A61">
            <v>70000053</v>
          </cell>
          <cell r="C61" t="str">
            <v>테메레르</v>
          </cell>
        </row>
        <row r="62">
          <cell r="A62">
            <v>70000054</v>
          </cell>
          <cell r="C62" t="str">
            <v>대형 갤리온</v>
          </cell>
        </row>
        <row r="63">
          <cell r="A63">
            <v>70000055</v>
          </cell>
          <cell r="C63" t="str">
            <v>대형 스쿠너</v>
          </cell>
        </row>
        <row r="64">
          <cell r="A64">
            <v>70000056</v>
          </cell>
          <cell r="C64" t="str">
            <v>광선</v>
          </cell>
        </row>
        <row r="65">
          <cell r="A65">
            <v>70000057</v>
          </cell>
          <cell r="C65" t="str">
            <v>거북선</v>
          </cell>
        </row>
        <row r="66">
          <cell r="A66">
            <v>70000058</v>
          </cell>
          <cell r="C66" t="str">
            <v>안택선</v>
          </cell>
        </row>
        <row r="67">
          <cell r="A67">
            <v>70000059</v>
          </cell>
          <cell r="C67" t="str">
            <v>라모르</v>
          </cell>
        </row>
        <row r="68">
          <cell r="A68">
            <v>70000060</v>
          </cell>
          <cell r="C68" t="str">
            <v>베네치안 갤리스</v>
          </cell>
        </row>
        <row r="69">
          <cell r="A69">
            <v>70000061</v>
          </cell>
          <cell r="C69" t="str">
            <v>오세앙</v>
          </cell>
        </row>
        <row r="70">
          <cell r="A70">
            <v>70000062</v>
          </cell>
          <cell r="C70" t="str">
            <v>전열함</v>
          </cell>
        </row>
        <row r="71">
          <cell r="A71">
            <v>70000063</v>
          </cell>
          <cell r="C71" t="str">
            <v>롱 스쿠너</v>
          </cell>
        </row>
        <row r="72">
          <cell r="A72">
            <v>70000064</v>
          </cell>
          <cell r="C72" t="str">
            <v>대복선</v>
          </cell>
        </row>
        <row r="73">
          <cell r="A73">
            <v>70000065</v>
          </cell>
          <cell r="C73" t="str">
            <v>판옥선</v>
          </cell>
        </row>
        <row r="74">
          <cell r="A74">
            <v>70000066</v>
          </cell>
          <cell r="C74" t="str">
            <v>철갑선</v>
          </cell>
        </row>
        <row r="75">
          <cell r="A75">
            <v>70000067</v>
          </cell>
          <cell r="C75" t="str">
            <v>황금 바르카</v>
          </cell>
        </row>
        <row r="76">
          <cell r="A76">
            <v>70000068</v>
          </cell>
          <cell r="C76" t="str">
            <v>황금 삼판</v>
          </cell>
        </row>
        <row r="77">
          <cell r="A77">
            <v>70000069</v>
          </cell>
          <cell r="C77" t="str">
            <v>라 핀타</v>
          </cell>
        </row>
        <row r="78">
          <cell r="A78">
            <v>70000070</v>
          </cell>
          <cell r="C78" t="str">
            <v>중 캐러벨</v>
          </cell>
        </row>
        <row r="79">
          <cell r="A79">
            <v>70000071</v>
          </cell>
          <cell r="C79" t="str">
            <v>산타 마리아</v>
          </cell>
        </row>
        <row r="80">
          <cell r="A80">
            <v>70000072</v>
          </cell>
          <cell r="C80" t="str">
            <v>스페르베르</v>
          </cell>
        </row>
        <row r="81">
          <cell r="A81">
            <v>70000073</v>
          </cell>
          <cell r="C81" t="str">
            <v>빅토리아</v>
          </cell>
        </row>
        <row r="82">
          <cell r="A82">
            <v>70000074</v>
          </cell>
          <cell r="C82" t="str">
            <v>에스메랄다</v>
          </cell>
        </row>
        <row r="83">
          <cell r="A83">
            <v>70000075</v>
          </cell>
          <cell r="C83" t="str">
            <v>골든 하인드</v>
          </cell>
        </row>
        <row r="84">
          <cell r="A84">
            <v>70000076</v>
          </cell>
          <cell r="C84" t="str">
            <v>나폴리탄 갤리스</v>
          </cell>
        </row>
        <row r="85">
          <cell r="A85">
            <v>70000077</v>
          </cell>
          <cell r="C85" t="str">
            <v>성 가브리엘</v>
          </cell>
        </row>
        <row r="86">
          <cell r="A86">
            <v>70000078</v>
          </cell>
          <cell r="C86" t="str">
            <v>산 후안</v>
          </cell>
        </row>
        <row r="87">
          <cell r="A87">
            <v>70000079</v>
          </cell>
          <cell r="C87" t="str">
            <v>산 펠리페</v>
          </cell>
        </row>
        <row r="88">
          <cell r="A88">
            <v>70000080</v>
          </cell>
          <cell r="C88" t="str">
            <v>로열 소버린</v>
          </cell>
        </row>
        <row r="89">
          <cell r="A89">
            <v>70000081</v>
          </cell>
          <cell r="C89" t="str">
            <v>애들러</v>
          </cell>
        </row>
        <row r="90">
          <cell r="A90">
            <v>70000082</v>
          </cell>
          <cell r="C90" t="str">
            <v>라 쿠론</v>
          </cell>
        </row>
        <row r="91">
          <cell r="A91">
            <v>70000083</v>
          </cell>
          <cell r="C91" t="str">
            <v>정조의 거북선</v>
          </cell>
        </row>
        <row r="92">
          <cell r="A92">
            <v>70000084</v>
          </cell>
          <cell r="C92" t="str">
            <v>노부나가의 철갑선</v>
          </cell>
        </row>
        <row r="93">
          <cell r="A93">
            <v>70000085</v>
          </cell>
          <cell r="C93" t="str">
            <v>정화의 보선</v>
          </cell>
        </row>
        <row r="94">
          <cell r="A94">
            <v>70000086</v>
          </cell>
          <cell r="C94" t="str">
            <v>로만 갤리</v>
          </cell>
        </row>
        <row r="95">
          <cell r="A95">
            <v>70000087</v>
          </cell>
          <cell r="C95" t="str">
            <v>메이플라워</v>
          </cell>
        </row>
        <row r="96">
          <cell r="A96">
            <v>70000088</v>
          </cell>
          <cell r="C96" t="str">
            <v>카라코아</v>
          </cell>
        </row>
        <row r="97">
          <cell r="A97">
            <v>70000089</v>
          </cell>
          <cell r="C97" t="str">
            <v>능원회선</v>
          </cell>
        </row>
        <row r="98">
          <cell r="A98">
            <v>70000090</v>
          </cell>
          <cell r="C98" t="str">
            <v>플레미시 갤리온</v>
          </cell>
        </row>
        <row r="99">
          <cell r="A99">
            <v>70000091</v>
          </cell>
          <cell r="C99" t="str">
            <v>클리퍼</v>
          </cell>
        </row>
        <row r="100">
          <cell r="A100">
            <v>70000092</v>
          </cell>
          <cell r="C100" t="str">
            <v>산타 카타리나</v>
          </cell>
        </row>
        <row r="101">
          <cell r="A101">
            <v>70000093</v>
          </cell>
          <cell r="C101" t="str">
            <v>용수선</v>
          </cell>
        </row>
        <row r="102">
          <cell r="A102">
            <v>70000094</v>
          </cell>
          <cell r="C102" t="str">
            <v>레이지드 프리깃</v>
          </cell>
        </row>
        <row r="103">
          <cell r="A103">
            <v>70000095</v>
          </cell>
          <cell r="C103" t="str">
            <v>아이언 사이즈</v>
          </cell>
        </row>
        <row r="104">
          <cell r="A104">
            <v>70000096</v>
          </cell>
          <cell r="C104" t="str">
            <v>바사</v>
          </cell>
        </row>
        <row r="105">
          <cell r="A105">
            <v>70000097</v>
          </cell>
          <cell r="C105" t="str">
            <v>노르딕 갤리온</v>
          </cell>
        </row>
        <row r="106">
          <cell r="A106">
            <v>70000098</v>
          </cell>
          <cell r="C106" t="str">
            <v>노르스케 뢰베</v>
          </cell>
        </row>
        <row r="107">
          <cell r="A107">
            <v>70000099</v>
          </cell>
          <cell r="C107" t="str">
            <v>마닐라 갤리온</v>
          </cell>
        </row>
        <row r="108">
          <cell r="A108">
            <v>70000100</v>
          </cell>
          <cell r="C108" t="str">
            <v>사견선</v>
          </cell>
        </row>
        <row r="109">
          <cell r="A109">
            <v>70000101</v>
          </cell>
          <cell r="C109" t="str">
            <v>할버 만</v>
          </cell>
        </row>
        <row r="110">
          <cell r="A110">
            <v>70000102</v>
          </cell>
          <cell r="C110" t="str">
            <v>버뮤다 슬루프</v>
          </cell>
        </row>
        <row r="111">
          <cell r="A111">
            <v>70000103</v>
          </cell>
          <cell r="C111" t="str">
            <v>인데버</v>
          </cell>
        </row>
        <row r="112">
          <cell r="A112">
            <v>70000104</v>
          </cell>
          <cell r="C112" t="str">
            <v>프린스 빌럼</v>
          </cell>
        </row>
        <row r="113">
          <cell r="A113">
            <v>70000105</v>
          </cell>
          <cell r="C113" t="str">
            <v>플라잉 클라우드</v>
          </cell>
        </row>
        <row r="114">
          <cell r="A114">
            <v>70000106</v>
          </cell>
          <cell r="C114" t="str">
            <v>간자 다우</v>
          </cell>
        </row>
        <row r="115">
          <cell r="A115">
            <v>70000107</v>
          </cell>
          <cell r="C115" t="str">
            <v>테르모필레</v>
          </cell>
        </row>
        <row r="116">
          <cell r="A116">
            <v>70000108</v>
          </cell>
          <cell r="C116" t="str">
            <v>서프라이즈</v>
          </cell>
        </row>
        <row r="117">
          <cell r="A117">
            <v>70000109</v>
          </cell>
          <cell r="C117" t="str">
            <v>비글</v>
          </cell>
        </row>
        <row r="118">
          <cell r="A118">
            <v>70000110</v>
          </cell>
          <cell r="C118" t="str">
            <v>산티시마 트리니다드</v>
          </cell>
        </row>
        <row r="119">
          <cell r="A119">
            <v>70000111</v>
          </cell>
          <cell r="C119" t="str">
            <v>어드벤처 갤리</v>
          </cell>
        </row>
        <row r="120">
          <cell r="A120">
            <v>70000112</v>
          </cell>
          <cell r="C120" t="str">
            <v>바운티</v>
          </cell>
        </row>
        <row r="121">
          <cell r="A121">
            <v>70000113</v>
          </cell>
          <cell r="C121" t="str">
            <v>세인트 로런스</v>
          </cell>
        </row>
        <row r="122">
          <cell r="A122">
            <v>70000114</v>
          </cell>
          <cell r="C122" t="str">
            <v>도팽 로열</v>
          </cell>
        </row>
        <row r="123">
          <cell r="A123">
            <v>70000115</v>
          </cell>
          <cell r="C123" t="str">
            <v>부첸타우르</v>
          </cell>
        </row>
        <row r="124">
          <cell r="A124">
            <v>70000116</v>
          </cell>
          <cell r="C124" t="str">
            <v>솔레이유 로열</v>
          </cell>
        </row>
        <row r="125">
          <cell r="A125">
            <v>70000117</v>
          </cell>
          <cell r="C125" t="str">
            <v>크로난</v>
          </cell>
        </row>
        <row r="126">
          <cell r="A126">
            <v>70000118</v>
          </cell>
          <cell r="C126" t="str">
            <v>더제번</v>
          </cell>
        </row>
        <row r="127">
          <cell r="A127">
            <v>70000119</v>
          </cell>
          <cell r="C127" t="str">
            <v>빅토리</v>
          </cell>
        </row>
        <row r="128">
          <cell r="A128">
            <v>70000120</v>
          </cell>
          <cell r="C128" t="str">
            <v>인게르마늘란트</v>
          </cell>
        </row>
        <row r="129">
          <cell r="A129">
            <v>70000121</v>
          </cell>
          <cell r="C129" t="str">
            <v>그랑 안 프류트</v>
          </cell>
        </row>
        <row r="130">
          <cell r="A130">
            <v>70000122</v>
          </cell>
          <cell r="C130" t="str">
            <v>몽충</v>
          </cell>
        </row>
        <row r="131">
          <cell r="A131">
            <v>70000123</v>
          </cell>
          <cell r="C131" t="str">
            <v>주가</v>
          </cell>
        </row>
        <row r="132">
          <cell r="A132">
            <v>70000124</v>
          </cell>
          <cell r="C132" t="str">
            <v>누선</v>
          </cell>
        </row>
        <row r="133">
          <cell r="A133">
            <v>70000125</v>
          </cell>
          <cell r="C133" t="str">
            <v>해남선</v>
          </cell>
        </row>
        <row r="134">
          <cell r="A134">
            <v>70000126</v>
          </cell>
          <cell r="C134" t="str">
            <v>정성공의 해남선</v>
          </cell>
        </row>
        <row r="135">
          <cell r="A135">
            <v>70000149</v>
          </cell>
          <cell r="C135" t="str">
            <v>천지환</v>
          </cell>
        </row>
        <row r="136">
          <cell r="A136">
            <v>70000150</v>
          </cell>
          <cell r="C136" t="str">
            <v>진공선</v>
          </cell>
        </row>
        <row r="137">
          <cell r="A137">
            <v>70000151</v>
          </cell>
          <cell r="C137" t="str">
            <v>위더</v>
          </cell>
        </row>
        <row r="138">
          <cell r="A138">
            <v>70000152</v>
          </cell>
          <cell r="C138" t="str">
            <v>벨로나</v>
          </cell>
        </row>
        <row r="139">
          <cell r="A139">
            <v>70000153</v>
          </cell>
          <cell r="C139" t="str">
            <v>아라키선</v>
          </cell>
        </row>
        <row r="140">
          <cell r="A140">
            <v>70000154</v>
          </cell>
          <cell r="C140" t="str">
            <v>보선</v>
          </cell>
        </row>
        <row r="141">
          <cell r="A141">
            <v>70000155</v>
          </cell>
          <cell r="C141" t="str">
            <v>만선</v>
          </cell>
        </row>
        <row r="142">
          <cell r="A142">
            <v>70000156</v>
          </cell>
          <cell r="C142" t="str">
            <v>대판옥선</v>
          </cell>
        </row>
        <row r="143">
          <cell r="A143">
            <v>70000157</v>
          </cell>
          <cell r="C143" t="str">
            <v>몽동</v>
          </cell>
        </row>
        <row r="144">
          <cell r="A144">
            <v>70000158</v>
          </cell>
          <cell r="C144" t="str">
            <v>양선</v>
          </cell>
        </row>
        <row r="145">
          <cell r="A145">
            <v>70000159</v>
          </cell>
          <cell r="C145" t="str">
            <v>황금 한자 코그</v>
          </cell>
        </row>
        <row r="146">
          <cell r="A146">
            <v>70000169</v>
          </cell>
          <cell r="C146" t="str">
            <v>종</v>
          </cell>
        </row>
        <row r="147">
          <cell r="A147">
            <v>70000181</v>
          </cell>
          <cell r="C147" t="str">
            <v>정크 스쿠너</v>
          </cell>
        </row>
        <row r="148">
          <cell r="A148">
            <v>70000186</v>
          </cell>
          <cell r="C148" t="str">
            <v>대효선</v>
          </cell>
        </row>
        <row r="149">
          <cell r="A149">
            <v>70000187</v>
          </cell>
          <cell r="C149" t="str">
            <v>용주</v>
          </cell>
        </row>
        <row r="150">
          <cell r="A150">
            <v>70000188</v>
          </cell>
          <cell r="C150" t="str">
            <v>누전선</v>
          </cell>
        </row>
        <row r="151">
          <cell r="A151">
            <v>70000189</v>
          </cell>
          <cell r="C151" t="str">
            <v>병선</v>
          </cell>
        </row>
        <row r="152">
          <cell r="A152">
            <v>70000190</v>
          </cell>
          <cell r="C152" t="str">
            <v>투함</v>
          </cell>
        </row>
        <row r="153">
          <cell r="A153">
            <v>70000191</v>
          </cell>
          <cell r="C153" t="str">
            <v>평전선</v>
          </cell>
        </row>
        <row r="154">
          <cell r="A154">
            <v>70000192</v>
          </cell>
          <cell r="C154" t="str">
            <v>황금 타렛테</v>
          </cell>
        </row>
        <row r="155">
          <cell r="A155">
            <v>70000193</v>
          </cell>
          <cell r="C155" t="str">
            <v>백일선</v>
          </cell>
        </row>
        <row r="156">
          <cell r="A156">
            <v>70000194</v>
          </cell>
          <cell r="C156" t="str">
            <v>특수 로르샤</v>
          </cell>
        </row>
        <row r="157">
          <cell r="A157">
            <v>70010001</v>
          </cell>
          <cell r="C157" t="str">
            <v>타렛테</v>
          </cell>
        </row>
        <row r="158">
          <cell r="A158">
            <v>70010002</v>
          </cell>
          <cell r="C158" t="str">
            <v>바르카</v>
          </cell>
        </row>
        <row r="159">
          <cell r="A159">
            <v>70010003</v>
          </cell>
          <cell r="C159" t="str">
            <v>한자 코그</v>
          </cell>
        </row>
        <row r="160">
          <cell r="A160">
            <v>70010004</v>
          </cell>
          <cell r="C160" t="str">
            <v>경량형 프로아</v>
          </cell>
        </row>
        <row r="161">
          <cell r="A161">
            <v>70010005</v>
          </cell>
          <cell r="C161" t="str">
            <v>버저로</v>
          </cell>
        </row>
        <row r="162">
          <cell r="A162">
            <v>70010006</v>
          </cell>
          <cell r="C162" t="str">
            <v>삼판</v>
          </cell>
        </row>
        <row r="163">
          <cell r="A163">
            <v>70010007</v>
          </cell>
          <cell r="C163" t="str">
            <v>브리간틴</v>
          </cell>
        </row>
        <row r="164">
          <cell r="A164">
            <v>70010008</v>
          </cell>
          <cell r="C164" t="str">
            <v>코그 레돈다</v>
          </cell>
        </row>
        <row r="165">
          <cell r="A165">
            <v>70010009</v>
          </cell>
          <cell r="C165" t="str">
            <v>코그 라티나</v>
          </cell>
        </row>
        <row r="166">
          <cell r="A166">
            <v>70010010</v>
          </cell>
          <cell r="C166" t="str">
            <v>프로아</v>
          </cell>
        </row>
        <row r="167">
          <cell r="A167">
            <v>70010011</v>
          </cell>
          <cell r="C167" t="str">
            <v>캐러벨 라티나</v>
          </cell>
        </row>
        <row r="168">
          <cell r="A168">
            <v>70010012</v>
          </cell>
          <cell r="C168" t="str">
            <v>캐러벨 레돈다</v>
          </cell>
        </row>
        <row r="169">
          <cell r="A169">
            <v>70010013</v>
          </cell>
          <cell r="C169" t="str">
            <v>슬루프</v>
          </cell>
        </row>
        <row r="170">
          <cell r="A170">
            <v>70010014</v>
          </cell>
          <cell r="C170" t="str">
            <v>커터</v>
          </cell>
        </row>
        <row r="171">
          <cell r="A171">
            <v>70010015</v>
          </cell>
          <cell r="C171" t="str">
            <v>탄작</v>
          </cell>
        </row>
        <row r="172">
          <cell r="A172">
            <v>70010016</v>
          </cell>
          <cell r="C172" t="str">
            <v>경량형 사선</v>
          </cell>
        </row>
        <row r="173">
          <cell r="A173">
            <v>70010017</v>
          </cell>
          <cell r="C173" t="str">
            <v>경량형 갤리</v>
          </cell>
        </row>
        <row r="174">
          <cell r="A174">
            <v>70010018</v>
          </cell>
          <cell r="C174" t="str">
            <v>나오</v>
          </cell>
        </row>
        <row r="175">
          <cell r="A175">
            <v>70010019</v>
          </cell>
          <cell r="C175" t="str">
            <v>펠러커</v>
          </cell>
        </row>
        <row r="176">
          <cell r="A176">
            <v>70010020</v>
          </cell>
          <cell r="C176" t="str">
            <v>다우</v>
          </cell>
        </row>
        <row r="177">
          <cell r="A177">
            <v>70010021</v>
          </cell>
          <cell r="C177" t="str">
            <v>맹선</v>
          </cell>
        </row>
        <row r="178">
          <cell r="A178">
            <v>70010022</v>
          </cell>
          <cell r="C178" t="str">
            <v>갤리</v>
          </cell>
        </row>
        <row r="179">
          <cell r="A179">
            <v>70010023</v>
          </cell>
          <cell r="C179" t="str">
            <v>핀네스</v>
          </cell>
        </row>
        <row r="180">
          <cell r="A180">
            <v>70010024</v>
          </cell>
          <cell r="C180" t="str">
            <v>카락</v>
          </cell>
        </row>
        <row r="181">
          <cell r="A181">
            <v>70010025</v>
          </cell>
          <cell r="C181" t="str">
            <v>스쿠너</v>
          </cell>
        </row>
        <row r="182">
          <cell r="A182">
            <v>70010026</v>
          </cell>
          <cell r="C182" t="str">
            <v>삼부크</v>
          </cell>
        </row>
        <row r="183">
          <cell r="A183">
            <v>70010027</v>
          </cell>
          <cell r="C183" t="str">
            <v>소조선</v>
          </cell>
        </row>
        <row r="184">
          <cell r="A184">
            <v>70010028</v>
          </cell>
          <cell r="C184" t="str">
            <v>중 갤리</v>
          </cell>
        </row>
        <row r="185">
          <cell r="A185">
            <v>70010029</v>
          </cell>
          <cell r="C185" t="str">
            <v>프류트</v>
          </cell>
        </row>
        <row r="186">
          <cell r="A186">
            <v>70010030</v>
          </cell>
          <cell r="C186" t="str">
            <v>바스</v>
          </cell>
        </row>
        <row r="187">
          <cell r="A187">
            <v>70010031</v>
          </cell>
          <cell r="C187" t="str">
            <v>지벡</v>
          </cell>
        </row>
        <row r="188">
          <cell r="A188">
            <v>70010032</v>
          </cell>
          <cell r="C188" t="str">
            <v>로르샤</v>
          </cell>
        </row>
        <row r="189">
          <cell r="A189">
            <v>70010033</v>
          </cell>
          <cell r="C189" t="str">
            <v>사선</v>
          </cell>
        </row>
        <row r="190">
          <cell r="A190">
            <v>70010034</v>
          </cell>
          <cell r="C190" t="str">
            <v>주인선</v>
          </cell>
        </row>
        <row r="191">
          <cell r="A191">
            <v>70010035</v>
          </cell>
          <cell r="C191" t="str">
            <v>플란더스 갤리</v>
          </cell>
        </row>
        <row r="192">
          <cell r="A192">
            <v>70010036</v>
          </cell>
          <cell r="C192" t="str">
            <v>오스만 갤리</v>
          </cell>
        </row>
        <row r="193">
          <cell r="A193">
            <v>70010037</v>
          </cell>
          <cell r="C193" t="str">
            <v>프리깃</v>
          </cell>
        </row>
        <row r="194">
          <cell r="A194">
            <v>70010038</v>
          </cell>
          <cell r="C194" t="str">
            <v>갤리온</v>
          </cell>
        </row>
        <row r="195">
          <cell r="A195">
            <v>70010039</v>
          </cell>
          <cell r="C195" t="str">
            <v>코르벳</v>
          </cell>
        </row>
        <row r="196">
          <cell r="A196">
            <v>70010040</v>
          </cell>
          <cell r="C196" t="str">
            <v>복선</v>
          </cell>
        </row>
        <row r="197">
          <cell r="A197">
            <v>70010041</v>
          </cell>
          <cell r="C197" t="str">
            <v>조운선</v>
          </cell>
        </row>
        <row r="198">
          <cell r="A198">
            <v>70010042</v>
          </cell>
          <cell r="C198" t="str">
            <v>관선</v>
          </cell>
        </row>
        <row r="199">
          <cell r="A199">
            <v>70010043</v>
          </cell>
          <cell r="C199" t="str">
            <v>라레알</v>
          </cell>
        </row>
        <row r="200">
          <cell r="A200">
            <v>70010044</v>
          </cell>
          <cell r="C200" t="str">
            <v>갤리스</v>
          </cell>
        </row>
        <row r="201">
          <cell r="A201">
            <v>70010045</v>
          </cell>
          <cell r="C201" t="str">
            <v>대형 프리깃</v>
          </cell>
        </row>
        <row r="202">
          <cell r="A202">
            <v>70010046</v>
          </cell>
          <cell r="C202" t="str">
            <v>중 카락</v>
          </cell>
        </row>
        <row r="203">
          <cell r="A203">
            <v>70010047</v>
          </cell>
          <cell r="C203" t="str">
            <v>케벡</v>
          </cell>
        </row>
        <row r="204">
          <cell r="A204">
            <v>70010048</v>
          </cell>
          <cell r="C204" t="str">
            <v>대형 사선</v>
          </cell>
        </row>
        <row r="205">
          <cell r="A205">
            <v>70010049</v>
          </cell>
          <cell r="C205" t="str">
            <v>대형 조운선</v>
          </cell>
        </row>
        <row r="206">
          <cell r="A206">
            <v>70010050</v>
          </cell>
          <cell r="C206" t="str">
            <v>대형 관선</v>
          </cell>
        </row>
        <row r="207">
          <cell r="A207">
            <v>70010051</v>
          </cell>
          <cell r="C207" t="str">
            <v>라르와이얄</v>
          </cell>
        </row>
        <row r="208">
          <cell r="A208">
            <v>70010052</v>
          </cell>
          <cell r="C208" t="str">
            <v>오스만 갤리온</v>
          </cell>
        </row>
        <row r="209">
          <cell r="A209">
            <v>70010053</v>
          </cell>
          <cell r="C209" t="str">
            <v>테메레르</v>
          </cell>
        </row>
        <row r="210">
          <cell r="A210">
            <v>70010054</v>
          </cell>
          <cell r="C210" t="str">
            <v>대형 갤리온</v>
          </cell>
        </row>
        <row r="211">
          <cell r="A211">
            <v>70010055</v>
          </cell>
          <cell r="C211" t="str">
            <v>대형 스쿠너</v>
          </cell>
        </row>
        <row r="212">
          <cell r="A212">
            <v>70010056</v>
          </cell>
          <cell r="C212" t="str">
            <v>광선</v>
          </cell>
        </row>
        <row r="213">
          <cell r="A213">
            <v>70010057</v>
          </cell>
          <cell r="C213" t="str">
            <v>거북선</v>
          </cell>
        </row>
        <row r="214">
          <cell r="A214">
            <v>70010058</v>
          </cell>
          <cell r="C214" t="str">
            <v>안택선</v>
          </cell>
        </row>
        <row r="215">
          <cell r="A215">
            <v>70010059</v>
          </cell>
          <cell r="C215" t="str">
            <v>라모르</v>
          </cell>
        </row>
        <row r="216">
          <cell r="A216">
            <v>70010060</v>
          </cell>
          <cell r="C216" t="str">
            <v>베네치안 갤리스</v>
          </cell>
        </row>
        <row r="217">
          <cell r="A217">
            <v>70010061</v>
          </cell>
          <cell r="C217" t="str">
            <v>오세앙</v>
          </cell>
        </row>
        <row r="218">
          <cell r="A218">
            <v>70010062</v>
          </cell>
          <cell r="C218" t="str">
            <v>전열함</v>
          </cell>
        </row>
        <row r="219">
          <cell r="A219">
            <v>70010063</v>
          </cell>
          <cell r="C219" t="str">
            <v>롱 스쿠너</v>
          </cell>
        </row>
        <row r="220">
          <cell r="A220">
            <v>70010064</v>
          </cell>
          <cell r="C220" t="str">
            <v>대복선</v>
          </cell>
        </row>
        <row r="221">
          <cell r="A221">
            <v>70010065</v>
          </cell>
          <cell r="C221" t="str">
            <v>판옥선</v>
          </cell>
        </row>
        <row r="222">
          <cell r="A222">
            <v>70010066</v>
          </cell>
          <cell r="C222" t="str">
            <v>철갑선</v>
          </cell>
        </row>
        <row r="223">
          <cell r="A223">
            <v>70010067</v>
          </cell>
          <cell r="C223" t="str">
            <v>몽충</v>
          </cell>
        </row>
        <row r="224">
          <cell r="A224">
            <v>70010068</v>
          </cell>
          <cell r="C224" t="str">
            <v>주가</v>
          </cell>
        </row>
        <row r="225">
          <cell r="A225">
            <v>70010069</v>
          </cell>
          <cell r="C225" t="str">
            <v>해남선</v>
          </cell>
        </row>
        <row r="226">
          <cell r="A226">
            <v>70010070</v>
          </cell>
          <cell r="C226" t="str">
            <v>정성공의 해남선</v>
          </cell>
        </row>
        <row r="227">
          <cell r="A227">
            <v>70010071</v>
          </cell>
          <cell r="C227" t="str">
            <v>천지환</v>
          </cell>
        </row>
        <row r="228">
          <cell r="A228">
            <v>70010072</v>
          </cell>
          <cell r="C228" t="str">
            <v>진공선</v>
          </cell>
        </row>
        <row r="229">
          <cell r="A229">
            <v>70010073</v>
          </cell>
          <cell r="C229" t="str">
            <v>위더</v>
          </cell>
        </row>
        <row r="230">
          <cell r="A230">
            <v>70010074</v>
          </cell>
          <cell r="C230" t="str">
            <v>벨로나</v>
          </cell>
        </row>
        <row r="231">
          <cell r="A231">
            <v>70010075</v>
          </cell>
          <cell r="C231" t="str">
            <v>아라키선</v>
          </cell>
        </row>
        <row r="232">
          <cell r="A232">
            <v>70010076</v>
          </cell>
          <cell r="C232" t="str">
            <v>보선</v>
          </cell>
        </row>
        <row r="233">
          <cell r="A233">
            <v>70010077</v>
          </cell>
          <cell r="C233" t="str">
            <v>만선</v>
          </cell>
        </row>
        <row r="234">
          <cell r="A234">
            <v>70010078</v>
          </cell>
          <cell r="C234" t="str">
            <v>대판옥선</v>
          </cell>
        </row>
        <row r="235">
          <cell r="A235">
            <v>70010079</v>
          </cell>
          <cell r="C235" t="str">
            <v>몽동</v>
          </cell>
        </row>
        <row r="236">
          <cell r="A236">
            <v>70010080</v>
          </cell>
          <cell r="C236" t="str">
            <v>양선</v>
          </cell>
        </row>
        <row r="237">
          <cell r="A237">
            <v>70010081</v>
          </cell>
          <cell r="C237" t="str">
            <v>누전선</v>
          </cell>
        </row>
        <row r="238">
          <cell r="A238">
            <v>70020001</v>
          </cell>
          <cell r="C238" t="str">
            <v>특제 타렛테</v>
          </cell>
        </row>
        <row r="239">
          <cell r="A239">
            <v>70020002</v>
          </cell>
          <cell r="C239" t="str">
            <v>특제 바르카</v>
          </cell>
        </row>
        <row r="240">
          <cell r="A240">
            <v>70020003</v>
          </cell>
          <cell r="C240" t="str">
            <v>특제 한자 코그</v>
          </cell>
        </row>
        <row r="241">
          <cell r="A241">
            <v>70020004</v>
          </cell>
          <cell r="C241" t="str">
            <v>특제 경량형 프로아</v>
          </cell>
        </row>
        <row r="242">
          <cell r="A242">
            <v>70020005</v>
          </cell>
          <cell r="C242" t="str">
            <v>특제 버저로</v>
          </cell>
        </row>
        <row r="243">
          <cell r="A243">
            <v>70020006</v>
          </cell>
          <cell r="C243" t="str">
            <v>특제 삼판</v>
          </cell>
        </row>
        <row r="244">
          <cell r="A244">
            <v>70020007</v>
          </cell>
          <cell r="C244" t="str">
            <v>특제 브리간틴</v>
          </cell>
        </row>
        <row r="245">
          <cell r="A245">
            <v>70020008</v>
          </cell>
          <cell r="C245" t="str">
            <v>특제 코그 레돈다</v>
          </cell>
        </row>
        <row r="246">
          <cell r="A246">
            <v>70020009</v>
          </cell>
          <cell r="C246" t="str">
            <v>특제 코그 라티나</v>
          </cell>
        </row>
        <row r="247">
          <cell r="A247">
            <v>70020010</v>
          </cell>
          <cell r="C247" t="str">
            <v>특제 프로아</v>
          </cell>
        </row>
        <row r="248">
          <cell r="A248">
            <v>70020011</v>
          </cell>
          <cell r="C248" t="str">
            <v>특제 캐러벨 라티나</v>
          </cell>
        </row>
        <row r="249">
          <cell r="A249">
            <v>70020012</v>
          </cell>
          <cell r="C249" t="str">
            <v>특제 캐러벨 레돈다</v>
          </cell>
        </row>
        <row r="250">
          <cell r="A250">
            <v>70020013</v>
          </cell>
          <cell r="C250" t="str">
            <v>특제 슬루프</v>
          </cell>
        </row>
        <row r="251">
          <cell r="A251">
            <v>70020014</v>
          </cell>
          <cell r="C251" t="str">
            <v>특제 커터</v>
          </cell>
        </row>
        <row r="252">
          <cell r="A252">
            <v>70020015</v>
          </cell>
          <cell r="C252" t="str">
            <v>특제 탄작</v>
          </cell>
        </row>
        <row r="253">
          <cell r="A253">
            <v>70020016</v>
          </cell>
          <cell r="C253" t="str">
            <v>특제 경량형 사선</v>
          </cell>
        </row>
        <row r="254">
          <cell r="A254">
            <v>70020017</v>
          </cell>
          <cell r="C254" t="str">
            <v>특제 경량형 갤리</v>
          </cell>
        </row>
        <row r="255">
          <cell r="A255">
            <v>70020018</v>
          </cell>
          <cell r="C255" t="str">
            <v>특제 나오</v>
          </cell>
        </row>
        <row r="256">
          <cell r="A256">
            <v>70020019</v>
          </cell>
          <cell r="C256" t="str">
            <v>특제 펠러커</v>
          </cell>
        </row>
        <row r="257">
          <cell r="A257">
            <v>70020020</v>
          </cell>
          <cell r="C257" t="str">
            <v>특제 다우</v>
          </cell>
        </row>
        <row r="258">
          <cell r="A258">
            <v>70020021</v>
          </cell>
          <cell r="C258" t="str">
            <v>특제 맹선</v>
          </cell>
        </row>
        <row r="259">
          <cell r="A259">
            <v>70020022</v>
          </cell>
          <cell r="C259" t="str">
            <v>특제 갤리</v>
          </cell>
        </row>
        <row r="260">
          <cell r="A260">
            <v>70020023</v>
          </cell>
          <cell r="C260" t="str">
            <v>특제 핀네스</v>
          </cell>
        </row>
        <row r="261">
          <cell r="A261">
            <v>70020024</v>
          </cell>
          <cell r="C261" t="str">
            <v>특제 카락</v>
          </cell>
        </row>
        <row r="262">
          <cell r="A262">
            <v>70020025</v>
          </cell>
          <cell r="C262" t="str">
            <v>특제 스쿠너</v>
          </cell>
        </row>
        <row r="263">
          <cell r="A263">
            <v>70020026</v>
          </cell>
          <cell r="C263" t="str">
            <v>특제 삼부크</v>
          </cell>
        </row>
        <row r="264">
          <cell r="A264">
            <v>70020027</v>
          </cell>
          <cell r="C264" t="str">
            <v>특제 소조선</v>
          </cell>
        </row>
        <row r="265">
          <cell r="A265">
            <v>70020028</v>
          </cell>
          <cell r="C265" t="str">
            <v>특제 중 갤리</v>
          </cell>
        </row>
        <row r="266">
          <cell r="A266">
            <v>70020029</v>
          </cell>
          <cell r="C266" t="str">
            <v>특제 프류트</v>
          </cell>
        </row>
        <row r="267">
          <cell r="A267">
            <v>70020030</v>
          </cell>
          <cell r="C267" t="str">
            <v>특제 바스</v>
          </cell>
        </row>
        <row r="268">
          <cell r="A268">
            <v>70020031</v>
          </cell>
          <cell r="C268" t="str">
            <v>특제 지벡</v>
          </cell>
        </row>
        <row r="269">
          <cell r="A269">
            <v>70020032</v>
          </cell>
          <cell r="C269" t="str">
            <v>특제 로르샤</v>
          </cell>
        </row>
        <row r="270">
          <cell r="A270">
            <v>70020033</v>
          </cell>
          <cell r="C270" t="str">
            <v>특제 사선</v>
          </cell>
        </row>
        <row r="271">
          <cell r="A271">
            <v>70020034</v>
          </cell>
          <cell r="C271" t="str">
            <v>특제 주인선</v>
          </cell>
        </row>
        <row r="272">
          <cell r="A272">
            <v>70020035</v>
          </cell>
          <cell r="C272" t="str">
            <v>특제 플란더스 갤리</v>
          </cell>
        </row>
        <row r="273">
          <cell r="A273">
            <v>70020036</v>
          </cell>
          <cell r="C273" t="str">
            <v>특제 오스만 갤리</v>
          </cell>
        </row>
        <row r="274">
          <cell r="A274">
            <v>70020037</v>
          </cell>
          <cell r="C274" t="str">
            <v>특제 프리깃</v>
          </cell>
        </row>
        <row r="275">
          <cell r="A275">
            <v>70020038</v>
          </cell>
          <cell r="C275" t="str">
            <v>특제 갤리온</v>
          </cell>
        </row>
        <row r="276">
          <cell r="A276">
            <v>70020039</v>
          </cell>
          <cell r="C276" t="str">
            <v>특제 코르벳</v>
          </cell>
        </row>
        <row r="277">
          <cell r="A277">
            <v>70020040</v>
          </cell>
          <cell r="C277" t="str">
            <v>특제 복선</v>
          </cell>
        </row>
        <row r="278">
          <cell r="A278">
            <v>70020041</v>
          </cell>
          <cell r="C278" t="str">
            <v>특제 조운선</v>
          </cell>
        </row>
        <row r="279">
          <cell r="A279">
            <v>70020042</v>
          </cell>
          <cell r="C279" t="str">
            <v>특제 관선</v>
          </cell>
        </row>
        <row r="280">
          <cell r="A280">
            <v>70020043</v>
          </cell>
          <cell r="C280" t="str">
            <v>특제 라레알</v>
          </cell>
        </row>
        <row r="281">
          <cell r="A281">
            <v>70020044</v>
          </cell>
          <cell r="C281" t="str">
            <v>특제 갤리스</v>
          </cell>
        </row>
        <row r="282">
          <cell r="A282">
            <v>70020045</v>
          </cell>
          <cell r="C282" t="str">
            <v>특제 대형 프리깃</v>
          </cell>
        </row>
        <row r="283">
          <cell r="A283">
            <v>70020046</v>
          </cell>
          <cell r="C283" t="str">
            <v>특제 중 카락</v>
          </cell>
        </row>
        <row r="284">
          <cell r="A284">
            <v>70020047</v>
          </cell>
          <cell r="C284" t="str">
            <v>특제 케벡</v>
          </cell>
        </row>
        <row r="285">
          <cell r="A285">
            <v>70020048</v>
          </cell>
          <cell r="C285" t="str">
            <v>특제 대형 사선</v>
          </cell>
        </row>
        <row r="286">
          <cell r="A286">
            <v>70020049</v>
          </cell>
          <cell r="C286" t="str">
            <v>특제 대형 조운선</v>
          </cell>
        </row>
        <row r="287">
          <cell r="A287">
            <v>70020050</v>
          </cell>
          <cell r="C287" t="str">
            <v>특제 대형 관선</v>
          </cell>
        </row>
        <row r="288">
          <cell r="A288">
            <v>70020051</v>
          </cell>
          <cell r="C288" t="str">
            <v>특제 라르와이얄</v>
          </cell>
        </row>
        <row r="289">
          <cell r="A289">
            <v>70020052</v>
          </cell>
          <cell r="C289" t="str">
            <v>특제 오스만 갤리온</v>
          </cell>
        </row>
        <row r="290">
          <cell r="A290">
            <v>70020053</v>
          </cell>
          <cell r="C290" t="str">
            <v>특제 테메레르</v>
          </cell>
        </row>
        <row r="291">
          <cell r="A291">
            <v>70020054</v>
          </cell>
          <cell r="C291" t="str">
            <v>특제 대형 갤리온</v>
          </cell>
        </row>
        <row r="292">
          <cell r="A292">
            <v>70020055</v>
          </cell>
          <cell r="C292" t="str">
            <v>특제 대형 스쿠너</v>
          </cell>
        </row>
        <row r="293">
          <cell r="A293">
            <v>70020056</v>
          </cell>
          <cell r="C293" t="str">
            <v>특제 광선</v>
          </cell>
        </row>
        <row r="294">
          <cell r="A294">
            <v>70020057</v>
          </cell>
          <cell r="C294" t="str">
            <v>특제 거북선</v>
          </cell>
        </row>
        <row r="295">
          <cell r="A295">
            <v>70020058</v>
          </cell>
          <cell r="C295" t="str">
            <v>특제 안택선</v>
          </cell>
        </row>
        <row r="296">
          <cell r="A296">
            <v>70020059</v>
          </cell>
          <cell r="C296" t="str">
            <v>특제 라모르</v>
          </cell>
        </row>
        <row r="297">
          <cell r="A297">
            <v>70020060</v>
          </cell>
          <cell r="C297" t="str">
            <v>특제 베네치안 갤리스</v>
          </cell>
        </row>
        <row r="298">
          <cell r="A298">
            <v>70020061</v>
          </cell>
          <cell r="C298" t="str">
            <v>특제 오세앙</v>
          </cell>
        </row>
        <row r="299">
          <cell r="A299">
            <v>70020062</v>
          </cell>
          <cell r="C299" t="str">
            <v>특제 전열함</v>
          </cell>
        </row>
        <row r="300">
          <cell r="A300">
            <v>70020063</v>
          </cell>
          <cell r="C300" t="str">
            <v>특제 롱 스쿠너</v>
          </cell>
        </row>
        <row r="301">
          <cell r="A301">
            <v>70020064</v>
          </cell>
          <cell r="C301" t="str">
            <v>특제 대복선</v>
          </cell>
        </row>
        <row r="302">
          <cell r="A302">
            <v>70020065</v>
          </cell>
          <cell r="C302" t="str">
            <v>특제 판옥선</v>
          </cell>
        </row>
        <row r="303">
          <cell r="A303">
            <v>70020066</v>
          </cell>
          <cell r="C303" t="str">
            <v>특제 철갑선</v>
          </cell>
        </row>
        <row r="304">
          <cell r="A304">
            <v>70020067</v>
          </cell>
          <cell r="C304" t="str">
            <v>특제 황금 바르카</v>
          </cell>
        </row>
        <row r="305">
          <cell r="A305">
            <v>70020068</v>
          </cell>
          <cell r="C305" t="str">
            <v>특제 황금 삼판</v>
          </cell>
        </row>
        <row r="306">
          <cell r="A306">
            <v>70020069</v>
          </cell>
          <cell r="C306" t="str">
            <v>특제 라 핀타</v>
          </cell>
        </row>
        <row r="307">
          <cell r="A307">
            <v>70020070</v>
          </cell>
          <cell r="C307" t="str">
            <v>특제 중 캐러벨</v>
          </cell>
        </row>
        <row r="308">
          <cell r="A308">
            <v>70020071</v>
          </cell>
          <cell r="C308" t="str">
            <v>특제 산타 마리아</v>
          </cell>
        </row>
        <row r="309">
          <cell r="A309">
            <v>70020072</v>
          </cell>
          <cell r="C309" t="str">
            <v>특제 스페르베르</v>
          </cell>
        </row>
        <row r="310">
          <cell r="A310">
            <v>70020073</v>
          </cell>
          <cell r="C310" t="str">
            <v>특제 빅토리아</v>
          </cell>
        </row>
        <row r="311">
          <cell r="A311">
            <v>70020074</v>
          </cell>
          <cell r="C311" t="str">
            <v>특제 에스메랄다</v>
          </cell>
        </row>
        <row r="312">
          <cell r="A312">
            <v>70020075</v>
          </cell>
          <cell r="C312" t="str">
            <v>특제 골든 하인드</v>
          </cell>
        </row>
        <row r="313">
          <cell r="A313">
            <v>70020076</v>
          </cell>
          <cell r="C313" t="str">
            <v>특제 나폴리탄 갤리스</v>
          </cell>
        </row>
        <row r="314">
          <cell r="A314">
            <v>70020077</v>
          </cell>
          <cell r="C314" t="str">
            <v>특제 성 가브리엘</v>
          </cell>
        </row>
        <row r="315">
          <cell r="A315">
            <v>70020078</v>
          </cell>
          <cell r="C315" t="str">
            <v>특제 산 후안</v>
          </cell>
        </row>
        <row r="316">
          <cell r="A316">
            <v>70020079</v>
          </cell>
          <cell r="C316" t="str">
            <v>특제 산 펠리페</v>
          </cell>
        </row>
        <row r="317">
          <cell r="A317">
            <v>70020080</v>
          </cell>
          <cell r="C317" t="str">
            <v>특제 로열 소버린</v>
          </cell>
        </row>
        <row r="318">
          <cell r="A318">
            <v>70020081</v>
          </cell>
          <cell r="C318" t="str">
            <v>특제 애들러</v>
          </cell>
        </row>
        <row r="319">
          <cell r="A319">
            <v>70020082</v>
          </cell>
          <cell r="C319" t="str">
            <v>특제 라 쿠론</v>
          </cell>
        </row>
        <row r="320">
          <cell r="A320">
            <v>70020083</v>
          </cell>
          <cell r="C320" t="str">
            <v>특제 정조의 거북선</v>
          </cell>
        </row>
        <row r="321">
          <cell r="A321">
            <v>70020084</v>
          </cell>
          <cell r="C321" t="str">
            <v>특제 노부나가의 철갑선</v>
          </cell>
        </row>
        <row r="322">
          <cell r="A322">
            <v>70020085</v>
          </cell>
          <cell r="C322" t="str">
            <v>특제 정화의 보선</v>
          </cell>
        </row>
        <row r="323">
          <cell r="A323">
            <v>70020086</v>
          </cell>
          <cell r="C323" t="str">
            <v>특제 로만 갤리</v>
          </cell>
        </row>
        <row r="324">
          <cell r="A324">
            <v>70020087</v>
          </cell>
          <cell r="C324" t="str">
            <v>특제 메이플라워</v>
          </cell>
        </row>
        <row r="325">
          <cell r="A325">
            <v>70020088</v>
          </cell>
          <cell r="C325" t="str">
            <v>특제 카라코아</v>
          </cell>
        </row>
        <row r="326">
          <cell r="A326">
            <v>70020089</v>
          </cell>
          <cell r="C326" t="str">
            <v>특제 능원회선</v>
          </cell>
        </row>
        <row r="327">
          <cell r="A327">
            <v>70020090</v>
          </cell>
          <cell r="C327" t="str">
            <v>특제 플레미시 갤리온</v>
          </cell>
        </row>
        <row r="328">
          <cell r="A328">
            <v>70020091</v>
          </cell>
          <cell r="C328" t="str">
            <v>특제 클리퍼</v>
          </cell>
        </row>
        <row r="329">
          <cell r="A329">
            <v>70020092</v>
          </cell>
          <cell r="C329" t="str">
            <v>특제 산타 카타리나</v>
          </cell>
        </row>
        <row r="330">
          <cell r="A330">
            <v>70020093</v>
          </cell>
          <cell r="C330" t="str">
            <v>특제 용수선</v>
          </cell>
        </row>
        <row r="331">
          <cell r="A331">
            <v>70020094</v>
          </cell>
          <cell r="C331" t="str">
            <v>특제 레이지드 프리깃</v>
          </cell>
        </row>
        <row r="332">
          <cell r="A332">
            <v>70020095</v>
          </cell>
          <cell r="C332" t="str">
            <v>특제 아이언 사이즈</v>
          </cell>
        </row>
        <row r="333">
          <cell r="A333">
            <v>70020096</v>
          </cell>
          <cell r="C333" t="str">
            <v>특제 바사</v>
          </cell>
        </row>
        <row r="334">
          <cell r="A334">
            <v>70020097</v>
          </cell>
          <cell r="C334" t="str">
            <v>특제 노르딕 갤리온</v>
          </cell>
        </row>
        <row r="335">
          <cell r="A335">
            <v>70020098</v>
          </cell>
          <cell r="C335" t="str">
            <v>특제 노르스케 뢰베</v>
          </cell>
        </row>
        <row r="336">
          <cell r="A336">
            <v>70020099</v>
          </cell>
          <cell r="C336" t="str">
            <v>특제 마닐라 갤리온</v>
          </cell>
        </row>
        <row r="337">
          <cell r="A337">
            <v>70020100</v>
          </cell>
          <cell r="C337" t="str">
            <v>특제 사견선</v>
          </cell>
        </row>
        <row r="338">
          <cell r="A338">
            <v>70020101</v>
          </cell>
          <cell r="C338" t="str">
            <v>특제 할버 만</v>
          </cell>
        </row>
        <row r="339">
          <cell r="A339">
            <v>70020102</v>
          </cell>
          <cell r="C339" t="str">
            <v>특제 버뮤다 슬루프</v>
          </cell>
        </row>
        <row r="340">
          <cell r="A340">
            <v>70020103</v>
          </cell>
          <cell r="C340" t="str">
            <v>특제 인데버</v>
          </cell>
        </row>
        <row r="341">
          <cell r="A341">
            <v>70020104</v>
          </cell>
          <cell r="C341" t="str">
            <v>특제 프린스 빌럼</v>
          </cell>
        </row>
        <row r="342">
          <cell r="A342">
            <v>70020105</v>
          </cell>
          <cell r="C342" t="str">
            <v>특제 플라잉 클라우드</v>
          </cell>
        </row>
        <row r="343">
          <cell r="A343">
            <v>70020106</v>
          </cell>
          <cell r="C343" t="str">
            <v>특제 간자 다우</v>
          </cell>
        </row>
        <row r="344">
          <cell r="A344">
            <v>70020107</v>
          </cell>
          <cell r="C344" t="str">
            <v>특제 테르모필레</v>
          </cell>
        </row>
        <row r="345">
          <cell r="A345">
            <v>70020108</v>
          </cell>
          <cell r="C345" t="str">
            <v>특제 서프라이즈</v>
          </cell>
        </row>
        <row r="346">
          <cell r="A346">
            <v>70020109</v>
          </cell>
          <cell r="C346" t="str">
            <v>특제 비글</v>
          </cell>
        </row>
        <row r="347">
          <cell r="A347">
            <v>70020110</v>
          </cell>
          <cell r="C347" t="str">
            <v>특제 산티시마 트리니다드</v>
          </cell>
        </row>
        <row r="348">
          <cell r="A348">
            <v>70020111</v>
          </cell>
          <cell r="C348" t="str">
            <v>특제 어드벤처 갤리</v>
          </cell>
        </row>
        <row r="349">
          <cell r="A349">
            <v>70020112</v>
          </cell>
          <cell r="C349" t="str">
            <v>특제 바운티</v>
          </cell>
        </row>
        <row r="350">
          <cell r="A350">
            <v>70020113</v>
          </cell>
          <cell r="C350" t="str">
            <v>특제 세인트 로런스</v>
          </cell>
        </row>
        <row r="351">
          <cell r="A351">
            <v>70020114</v>
          </cell>
          <cell r="C351" t="str">
            <v>특제 도팽 로열</v>
          </cell>
        </row>
        <row r="352">
          <cell r="A352">
            <v>70020115</v>
          </cell>
          <cell r="C352" t="str">
            <v>특제 부첸타우르</v>
          </cell>
        </row>
        <row r="353">
          <cell r="A353">
            <v>70020116</v>
          </cell>
          <cell r="C353" t="str">
            <v>특제 솔레이유 로열</v>
          </cell>
        </row>
        <row r="354">
          <cell r="A354">
            <v>70020117</v>
          </cell>
          <cell r="C354" t="str">
            <v>특제 크로난</v>
          </cell>
        </row>
        <row r="355">
          <cell r="A355">
            <v>70020118</v>
          </cell>
          <cell r="C355" t="str">
            <v>특제 더제번</v>
          </cell>
        </row>
        <row r="356">
          <cell r="A356">
            <v>70020119</v>
          </cell>
          <cell r="C356" t="str">
            <v>특제 빅토리</v>
          </cell>
        </row>
        <row r="357">
          <cell r="A357">
            <v>70020120</v>
          </cell>
          <cell r="C357" t="str">
            <v>특제 인게르마늘란트</v>
          </cell>
        </row>
        <row r="358">
          <cell r="A358">
            <v>70020121</v>
          </cell>
          <cell r="C358" t="str">
            <v>특제 그랑 안 프류트</v>
          </cell>
        </row>
        <row r="359">
          <cell r="A359">
            <v>70020122</v>
          </cell>
          <cell r="C359" t="str">
            <v>특제 몽충</v>
          </cell>
        </row>
        <row r="360">
          <cell r="A360">
            <v>70020123</v>
          </cell>
          <cell r="C360" t="str">
            <v>특제 주가</v>
          </cell>
        </row>
        <row r="361">
          <cell r="A361">
            <v>70020124</v>
          </cell>
          <cell r="C361" t="str">
            <v>특제 누선</v>
          </cell>
        </row>
        <row r="362">
          <cell r="A362">
            <v>70020125</v>
          </cell>
          <cell r="C362" t="str">
            <v>특제 해남선</v>
          </cell>
        </row>
        <row r="363">
          <cell r="A363">
            <v>70020126</v>
          </cell>
          <cell r="C363" t="str">
            <v>특제 정성공의 해남선</v>
          </cell>
        </row>
        <row r="364">
          <cell r="A364">
            <v>70020149</v>
          </cell>
          <cell r="C364" t="str">
            <v>특제 천지환</v>
          </cell>
        </row>
        <row r="365">
          <cell r="A365">
            <v>70020150</v>
          </cell>
          <cell r="C365" t="str">
            <v>특제 진공선</v>
          </cell>
        </row>
        <row r="366">
          <cell r="A366">
            <v>70020151</v>
          </cell>
          <cell r="C366" t="str">
            <v>특제 위더</v>
          </cell>
        </row>
        <row r="367">
          <cell r="A367">
            <v>70020152</v>
          </cell>
          <cell r="C367" t="str">
            <v>특제 벨로나</v>
          </cell>
        </row>
        <row r="368">
          <cell r="A368">
            <v>70020153</v>
          </cell>
          <cell r="C368" t="str">
            <v>특제 아라키선</v>
          </cell>
        </row>
        <row r="369">
          <cell r="A369">
            <v>70020154</v>
          </cell>
          <cell r="C369" t="str">
            <v>특제 보선</v>
          </cell>
        </row>
        <row r="370">
          <cell r="A370">
            <v>70020155</v>
          </cell>
          <cell r="C370" t="str">
            <v>특제 만선</v>
          </cell>
        </row>
        <row r="371">
          <cell r="A371">
            <v>70020156</v>
          </cell>
          <cell r="C371" t="str">
            <v>특제 대판옥선</v>
          </cell>
        </row>
        <row r="372">
          <cell r="A372">
            <v>70020157</v>
          </cell>
          <cell r="C372" t="str">
            <v>특제 몽동</v>
          </cell>
        </row>
        <row r="373">
          <cell r="A373">
            <v>70020158</v>
          </cell>
          <cell r="C373" t="str">
            <v>특제 양선</v>
          </cell>
        </row>
        <row r="374">
          <cell r="A374">
            <v>70020159</v>
          </cell>
          <cell r="C374" t="str">
            <v>특제 황금 한자 코그</v>
          </cell>
        </row>
        <row r="375">
          <cell r="A375">
            <v>70020169</v>
          </cell>
          <cell r="C375" t="str">
            <v>특제 종</v>
          </cell>
        </row>
        <row r="376">
          <cell r="A376">
            <v>70020181</v>
          </cell>
          <cell r="C376" t="str">
            <v>특제 정크 스쿠너</v>
          </cell>
        </row>
        <row r="377">
          <cell r="A377">
            <v>70020186</v>
          </cell>
          <cell r="C377" t="str">
            <v>특제 대효선</v>
          </cell>
        </row>
        <row r="378">
          <cell r="A378">
            <v>70020187</v>
          </cell>
          <cell r="C378" t="str">
            <v>특제 용주</v>
          </cell>
        </row>
        <row r="379">
          <cell r="A379">
            <v>70020188</v>
          </cell>
          <cell r="C379" t="str">
            <v>특제 누전선</v>
          </cell>
        </row>
        <row r="380">
          <cell r="A380">
            <v>70020189</v>
          </cell>
          <cell r="C380" t="str">
            <v>특제 병선</v>
          </cell>
        </row>
        <row r="381">
          <cell r="A381">
            <v>70020190</v>
          </cell>
          <cell r="C381" t="str">
            <v>특제 투함</v>
          </cell>
        </row>
        <row r="382">
          <cell r="A382">
            <v>70020191</v>
          </cell>
          <cell r="C382" t="str">
            <v>특제 평전선</v>
          </cell>
        </row>
        <row r="383">
          <cell r="A383">
            <v>70020192</v>
          </cell>
          <cell r="C383" t="str">
            <v>특제 황금 타렛테</v>
          </cell>
        </row>
        <row r="384">
          <cell r="A384">
            <v>70020193</v>
          </cell>
          <cell r="C384" t="str">
            <v>유령선</v>
          </cell>
        </row>
        <row r="385">
          <cell r="A385">
            <v>70020194</v>
          </cell>
          <cell r="C385" t="str">
            <v>유령선</v>
          </cell>
        </row>
        <row r="386">
          <cell r="A386">
            <v>70020195</v>
          </cell>
          <cell r="C386" t="str">
            <v>이름없는 난파선</v>
          </cell>
        </row>
        <row r="387">
          <cell r="A387">
            <v>70020500</v>
          </cell>
          <cell r="C387" t="str">
            <v>보물선</v>
          </cell>
        </row>
        <row r="388">
          <cell r="A388">
            <v>70020501</v>
          </cell>
          <cell r="C388" t="str">
            <v>보물선</v>
          </cell>
        </row>
        <row r="389">
          <cell r="A389">
            <v>70020502</v>
          </cell>
          <cell r="C389" t="str">
            <v>보물선</v>
          </cell>
        </row>
        <row r="390">
          <cell r="A390">
            <v>70020503</v>
          </cell>
          <cell r="C390" t="str">
            <v>보물선</v>
          </cell>
        </row>
        <row r="391">
          <cell r="A391">
            <v>70080001</v>
          </cell>
          <cell r="C391" t="str">
            <v>앤 여왕의 복수</v>
          </cell>
        </row>
        <row r="392">
          <cell r="A392">
            <v>70090001</v>
          </cell>
          <cell r="C392" t="str">
            <v>브리간틴</v>
          </cell>
        </row>
        <row r="393">
          <cell r="A393">
            <v>70090002</v>
          </cell>
          <cell r="C393" t="str">
            <v>브리간틴</v>
          </cell>
        </row>
        <row r="394">
          <cell r="A394">
            <v>70090003</v>
          </cell>
          <cell r="C394" t="str">
            <v>오스만 갤리</v>
          </cell>
        </row>
        <row r="395">
          <cell r="A395">
            <v>70090004</v>
          </cell>
          <cell r="C395" t="str">
            <v>오스만 갤리</v>
          </cell>
        </row>
        <row r="396">
          <cell r="A396">
            <v>70090005</v>
          </cell>
          <cell r="C396" t="str">
            <v>전열함</v>
          </cell>
        </row>
        <row r="397">
          <cell r="A397">
            <v>70090006</v>
          </cell>
          <cell r="C397" t="str">
            <v>대형 갤리온</v>
          </cell>
        </row>
        <row r="398">
          <cell r="A398">
            <v>70090007</v>
          </cell>
          <cell r="C398" t="str">
            <v>갤리</v>
          </cell>
        </row>
        <row r="399">
          <cell r="A399">
            <v>70090008</v>
          </cell>
          <cell r="C399" t="str">
            <v>나오</v>
          </cell>
        </row>
        <row r="400">
          <cell r="A400">
            <v>70090009</v>
          </cell>
          <cell r="C400" t="str">
            <v>나오</v>
          </cell>
        </row>
        <row r="401">
          <cell r="A401">
            <v>70090010</v>
          </cell>
          <cell r="C401" t="str">
            <v>바스</v>
          </cell>
        </row>
        <row r="402">
          <cell r="A402">
            <v>70090011</v>
          </cell>
          <cell r="C402" t="str">
            <v>바스</v>
          </cell>
        </row>
        <row r="403">
          <cell r="A403">
            <v>70090012</v>
          </cell>
          <cell r="C403" t="str">
            <v>바르카</v>
          </cell>
        </row>
        <row r="404">
          <cell r="A404">
            <v>70090013</v>
          </cell>
          <cell r="C404" t="str">
            <v>바르카</v>
          </cell>
        </row>
        <row r="405">
          <cell r="A405">
            <v>70090014</v>
          </cell>
          <cell r="C405" t="str">
            <v>타렛테</v>
          </cell>
        </row>
        <row r="406">
          <cell r="A406">
            <v>70090015</v>
          </cell>
          <cell r="C406" t="str">
            <v>타렛테</v>
          </cell>
        </row>
        <row r="407">
          <cell r="A407">
            <v>70090016</v>
          </cell>
          <cell r="C407" t="str">
            <v>대형 갤리온</v>
          </cell>
        </row>
        <row r="408">
          <cell r="A408">
            <v>70090017</v>
          </cell>
          <cell r="C408" t="str">
            <v>대형 갤리온</v>
          </cell>
        </row>
        <row r="409">
          <cell r="A409">
            <v>70090018</v>
          </cell>
          <cell r="C409" t="str">
            <v>브리간틴</v>
          </cell>
        </row>
        <row r="410">
          <cell r="A410">
            <v>70090019</v>
          </cell>
          <cell r="C410" t="str">
            <v>브리간틴</v>
          </cell>
        </row>
        <row r="411">
          <cell r="A411">
            <v>70090020</v>
          </cell>
          <cell r="C411" t="str">
            <v>대형 프리깃</v>
          </cell>
        </row>
        <row r="412">
          <cell r="A412">
            <v>70090021</v>
          </cell>
          <cell r="C412" t="str">
            <v>프리깃</v>
          </cell>
        </row>
        <row r="413">
          <cell r="A413">
            <v>70090022</v>
          </cell>
          <cell r="C413" t="str">
            <v>프리깃</v>
          </cell>
        </row>
        <row r="414">
          <cell r="A414">
            <v>70090023</v>
          </cell>
          <cell r="C414" t="str">
            <v>갤리온</v>
          </cell>
        </row>
        <row r="415">
          <cell r="A415">
            <v>70090024</v>
          </cell>
          <cell r="C415" t="str">
            <v>코그 라티나</v>
          </cell>
        </row>
        <row r="416">
          <cell r="A416">
            <v>70090025</v>
          </cell>
          <cell r="C416" t="str">
            <v>바르카</v>
          </cell>
        </row>
        <row r="417">
          <cell r="A417">
            <v>70090026</v>
          </cell>
          <cell r="C417" t="str">
            <v>산 펠리페</v>
          </cell>
        </row>
        <row r="418">
          <cell r="A418">
            <v>70090027</v>
          </cell>
          <cell r="C418" t="str">
            <v>그랑 안 프류트</v>
          </cell>
        </row>
        <row r="419">
          <cell r="A419">
            <v>70090028</v>
          </cell>
          <cell r="C419" t="str">
            <v>더제번</v>
          </cell>
        </row>
        <row r="420">
          <cell r="A420">
            <v>70090029</v>
          </cell>
          <cell r="C420" t="str">
            <v>베네치안 갤리스</v>
          </cell>
        </row>
        <row r="421">
          <cell r="A421">
            <v>70090030</v>
          </cell>
          <cell r="C421" t="str">
            <v>핀네스</v>
          </cell>
        </row>
        <row r="422">
          <cell r="A422">
            <v>70090031</v>
          </cell>
          <cell r="C422" t="str">
            <v>코르벳</v>
          </cell>
        </row>
        <row r="423">
          <cell r="A423">
            <v>70090032</v>
          </cell>
          <cell r="C423" t="str">
            <v>전열함</v>
          </cell>
        </row>
        <row r="424">
          <cell r="A424">
            <v>70090033</v>
          </cell>
          <cell r="C424" t="str">
            <v>오스만 갤리온</v>
          </cell>
        </row>
        <row r="425">
          <cell r="A425">
            <v>70090034</v>
          </cell>
          <cell r="C425" t="str">
            <v>로만 갤리</v>
          </cell>
        </row>
        <row r="426">
          <cell r="A426">
            <v>70090035</v>
          </cell>
          <cell r="C426" t="str">
            <v>대형 갤리온</v>
          </cell>
        </row>
        <row r="427">
          <cell r="A427">
            <v>70090036</v>
          </cell>
          <cell r="C427" t="str">
            <v>빅토리아</v>
          </cell>
        </row>
        <row r="428">
          <cell r="A428">
            <v>70090037</v>
          </cell>
          <cell r="C428" t="str">
            <v>커터</v>
          </cell>
        </row>
        <row r="429">
          <cell r="A429">
            <v>70090038</v>
          </cell>
          <cell r="C429" t="str">
            <v>프류트</v>
          </cell>
        </row>
        <row r="430">
          <cell r="A430">
            <v>70090039</v>
          </cell>
          <cell r="C430" t="str">
            <v>##테스트용 선박</v>
          </cell>
        </row>
        <row r="431">
          <cell r="A431">
            <v>70090041</v>
          </cell>
          <cell r="C431" t="str">
            <v>##5티어 테스트_포격</v>
          </cell>
        </row>
        <row r="432">
          <cell r="A432">
            <v>70090042</v>
          </cell>
          <cell r="C432" t="str">
            <v>##5티어 테스트_백병</v>
          </cell>
        </row>
        <row r="433">
          <cell r="A433">
            <v>70090043</v>
          </cell>
          <cell r="C433" t="str">
            <v>##5티어 테스트_충파</v>
          </cell>
        </row>
        <row r="434">
          <cell r="A434">
            <v>70090044</v>
          </cell>
          <cell r="C434" t="str">
            <v>##10티어 테스트_포격</v>
          </cell>
        </row>
        <row r="435">
          <cell r="A435">
            <v>70090045</v>
          </cell>
          <cell r="C435" t="str">
            <v>##10티어 테스트_백병</v>
          </cell>
        </row>
        <row r="436">
          <cell r="A436">
            <v>70090046</v>
          </cell>
          <cell r="C436" t="str">
            <v>##10티어 테스트_충파</v>
          </cell>
        </row>
        <row r="437">
          <cell r="A437">
            <v>70090047</v>
          </cell>
          <cell r="C437" t="str">
            <v>##15티어 테스트_포격</v>
          </cell>
        </row>
        <row r="438">
          <cell r="A438">
            <v>70090048</v>
          </cell>
          <cell r="C438" t="str">
            <v>##15티어 테스트_백병</v>
          </cell>
        </row>
        <row r="439">
          <cell r="A439">
            <v>70090049</v>
          </cell>
          <cell r="C439" t="str">
            <v>##15티어 테스트_충파</v>
          </cell>
        </row>
        <row r="440">
          <cell r="A440">
            <v>70090050</v>
          </cell>
          <cell r="C440" t="str">
            <v>##20티어 테스트_포격</v>
          </cell>
        </row>
        <row r="441">
          <cell r="A441">
            <v>70090051</v>
          </cell>
          <cell r="C441" t="str">
            <v>##20티어 테스트_백병</v>
          </cell>
        </row>
        <row r="442">
          <cell r="A442">
            <v>70090052</v>
          </cell>
          <cell r="C442" t="str">
            <v>##20티어 테스트_충파</v>
          </cell>
        </row>
        <row r="443">
          <cell r="A443">
            <v>70090053</v>
          </cell>
          <cell r="C443" t="str">
            <v>##25티어 테스트_포격</v>
          </cell>
        </row>
        <row r="444">
          <cell r="A444">
            <v>70090054</v>
          </cell>
          <cell r="C444" t="str">
            <v>##25티어 테스트_백병</v>
          </cell>
        </row>
        <row r="445">
          <cell r="A445">
            <v>70090055</v>
          </cell>
          <cell r="C445" t="str">
            <v>##25티어 테스트_충파</v>
          </cell>
        </row>
        <row r="446">
          <cell r="A446">
            <v>70090056</v>
          </cell>
          <cell r="C446" t="str">
            <v>##30티어 테스트_포격</v>
          </cell>
        </row>
        <row r="447">
          <cell r="A447">
            <v>70090057</v>
          </cell>
          <cell r="C447" t="str">
            <v>##30티어 테스트_백병</v>
          </cell>
        </row>
        <row r="448">
          <cell r="A448">
            <v>70090058</v>
          </cell>
          <cell r="C448" t="str">
            <v>##30티어 테스트_충파</v>
          </cell>
        </row>
      </sheetData>
      <sheetData sheetId="147"/>
      <sheetData sheetId="148"/>
      <sheetData sheetId="149"/>
      <sheetData sheetId="150">
        <row r="1">
          <cell r="A1" t="str">
            <v>id</v>
          </cell>
        </row>
        <row r="2">
          <cell r="A2" t="str">
            <v>key:70200000~70289999</v>
          </cell>
        </row>
        <row r="3">
          <cell r="A3" t="str">
            <v>:required</v>
          </cell>
        </row>
        <row r="4">
          <cell r="A4" t="str">
            <v>:requiredInObject</v>
          </cell>
        </row>
        <row r="5">
          <cell r="A5" t="str">
            <v>:min</v>
          </cell>
        </row>
        <row r="6">
          <cell r="A6" t="str">
            <v>:max</v>
          </cell>
        </row>
        <row r="7">
          <cell r="A7" t="str">
            <v>:enum</v>
          </cell>
        </row>
        <row r="8">
          <cell r="A8" t="str">
            <v>:links</v>
          </cell>
        </row>
        <row r="9">
          <cell r="A9">
            <v>70200001</v>
          </cell>
          <cell r="B9" t="str">
            <v>타렛테</v>
          </cell>
        </row>
        <row r="10">
          <cell r="A10">
            <v>70200002</v>
          </cell>
          <cell r="B10" t="str">
            <v>바르카</v>
          </cell>
        </row>
        <row r="11">
          <cell r="A11">
            <v>70200003</v>
          </cell>
          <cell r="B11" t="str">
            <v>한자 코그</v>
          </cell>
        </row>
        <row r="12">
          <cell r="A12">
            <v>70200004</v>
          </cell>
          <cell r="B12" t="str">
            <v>경량형 프로아</v>
          </cell>
        </row>
        <row r="13">
          <cell r="A13">
            <v>70200005</v>
          </cell>
          <cell r="B13" t="str">
            <v>버저로</v>
          </cell>
        </row>
        <row r="14">
          <cell r="A14">
            <v>70200006</v>
          </cell>
          <cell r="B14" t="str">
            <v>삼판</v>
          </cell>
        </row>
        <row r="15">
          <cell r="A15">
            <v>70200007</v>
          </cell>
          <cell r="B15" t="str">
            <v>브리간틴</v>
          </cell>
        </row>
        <row r="16">
          <cell r="A16">
            <v>70200008</v>
          </cell>
          <cell r="B16" t="str">
            <v>코그 레돈다</v>
          </cell>
        </row>
        <row r="17">
          <cell r="A17">
            <v>70200009</v>
          </cell>
          <cell r="B17" t="str">
            <v>코그 라티나</v>
          </cell>
        </row>
        <row r="18">
          <cell r="A18">
            <v>70200010</v>
          </cell>
          <cell r="B18" t="str">
            <v>프로아</v>
          </cell>
        </row>
        <row r="19">
          <cell r="A19">
            <v>70200011</v>
          </cell>
          <cell r="B19" t="str">
            <v>캐러벨 라티나</v>
          </cell>
        </row>
        <row r="20">
          <cell r="A20">
            <v>70200012</v>
          </cell>
          <cell r="B20" t="str">
            <v>캐러벨 레돈다</v>
          </cell>
        </row>
        <row r="21">
          <cell r="A21">
            <v>70200013</v>
          </cell>
          <cell r="B21" t="str">
            <v>슬루프</v>
          </cell>
        </row>
        <row r="22">
          <cell r="A22">
            <v>70200014</v>
          </cell>
          <cell r="B22" t="str">
            <v>커터</v>
          </cell>
        </row>
        <row r="23">
          <cell r="A23">
            <v>70200015</v>
          </cell>
          <cell r="B23" t="str">
            <v>탄작</v>
          </cell>
        </row>
        <row r="24">
          <cell r="A24">
            <v>70200016</v>
          </cell>
          <cell r="B24" t="str">
            <v>경량형 사선</v>
          </cell>
        </row>
        <row r="25">
          <cell r="A25">
            <v>70200017</v>
          </cell>
          <cell r="B25" t="str">
            <v>경량형 갤리</v>
          </cell>
        </row>
        <row r="26">
          <cell r="A26">
            <v>70200018</v>
          </cell>
          <cell r="B26" t="str">
            <v>나오</v>
          </cell>
        </row>
        <row r="27">
          <cell r="A27">
            <v>70200019</v>
          </cell>
          <cell r="B27" t="str">
            <v>펠러커</v>
          </cell>
        </row>
        <row r="28">
          <cell r="A28">
            <v>70200020</v>
          </cell>
          <cell r="B28" t="str">
            <v>다우</v>
          </cell>
        </row>
        <row r="29">
          <cell r="A29">
            <v>70200021</v>
          </cell>
          <cell r="B29" t="str">
            <v>맹선</v>
          </cell>
        </row>
        <row r="30">
          <cell r="A30">
            <v>70200022</v>
          </cell>
          <cell r="B30" t="str">
            <v>갤리</v>
          </cell>
        </row>
        <row r="31">
          <cell r="A31">
            <v>70200023</v>
          </cell>
          <cell r="B31" t="str">
            <v>카락</v>
          </cell>
        </row>
        <row r="32">
          <cell r="A32">
            <v>70200024</v>
          </cell>
          <cell r="B32" t="str">
            <v>핀네스</v>
          </cell>
        </row>
        <row r="33">
          <cell r="A33">
            <v>70200025</v>
          </cell>
          <cell r="B33" t="str">
            <v>스쿠너</v>
          </cell>
        </row>
        <row r="34">
          <cell r="A34">
            <v>70200026</v>
          </cell>
          <cell r="B34" t="str">
            <v>삼부크</v>
          </cell>
        </row>
        <row r="35">
          <cell r="A35">
            <v>70200027</v>
          </cell>
          <cell r="B35" t="str">
            <v>소조선</v>
          </cell>
        </row>
        <row r="36">
          <cell r="A36">
            <v>70200028</v>
          </cell>
          <cell r="B36" t="str">
            <v>중 갤리</v>
          </cell>
        </row>
        <row r="37">
          <cell r="A37">
            <v>70200029</v>
          </cell>
          <cell r="B37" t="str">
            <v>바스</v>
          </cell>
        </row>
        <row r="38">
          <cell r="A38">
            <v>70200030</v>
          </cell>
          <cell r="B38" t="str">
            <v>프류트</v>
          </cell>
        </row>
        <row r="39">
          <cell r="A39">
            <v>70200031</v>
          </cell>
          <cell r="B39" t="str">
            <v>지벡</v>
          </cell>
        </row>
        <row r="40">
          <cell r="A40">
            <v>70200034</v>
          </cell>
          <cell r="B40" t="str">
            <v>주인선</v>
          </cell>
        </row>
        <row r="41">
          <cell r="A41">
            <v>70200033</v>
          </cell>
          <cell r="B41" t="str">
            <v>사선</v>
          </cell>
        </row>
        <row r="42">
          <cell r="A42">
            <v>70200044</v>
          </cell>
          <cell r="B42" t="str">
            <v>라레알</v>
          </cell>
        </row>
        <row r="43">
          <cell r="A43">
            <v>70200035</v>
          </cell>
          <cell r="B43" t="str">
            <v>오스만 갤리</v>
          </cell>
        </row>
        <row r="44">
          <cell r="A44">
            <v>70200036</v>
          </cell>
          <cell r="B44" t="str">
            <v>플란더스 갤리</v>
          </cell>
        </row>
        <row r="45">
          <cell r="A45">
            <v>70200037</v>
          </cell>
          <cell r="B45" t="str">
            <v>갤리온</v>
          </cell>
        </row>
        <row r="46">
          <cell r="A46">
            <v>70200038</v>
          </cell>
          <cell r="B46" t="str">
            <v>프리깃</v>
          </cell>
        </row>
        <row r="47">
          <cell r="A47">
            <v>70200039</v>
          </cell>
          <cell r="B47" t="str">
            <v>코르벳</v>
          </cell>
        </row>
        <row r="48">
          <cell r="A48">
            <v>70200040</v>
          </cell>
          <cell r="B48" t="str">
            <v>복선</v>
          </cell>
        </row>
        <row r="49">
          <cell r="A49">
            <v>70200041</v>
          </cell>
          <cell r="B49" t="str">
            <v>조운선</v>
          </cell>
        </row>
        <row r="50">
          <cell r="A50">
            <v>70200042</v>
          </cell>
          <cell r="B50" t="str">
            <v>관선</v>
          </cell>
        </row>
        <row r="51">
          <cell r="A51">
            <v>70200043</v>
          </cell>
          <cell r="B51" t="str">
            <v>갤리스</v>
          </cell>
        </row>
        <row r="52">
          <cell r="A52">
            <v>70200045</v>
          </cell>
          <cell r="B52" t="str">
            <v>중 카락</v>
          </cell>
        </row>
        <row r="53">
          <cell r="A53">
            <v>70200055</v>
          </cell>
          <cell r="B53" t="str">
            <v>대형 스쿠너</v>
          </cell>
        </row>
        <row r="54">
          <cell r="A54">
            <v>70200046</v>
          </cell>
          <cell r="B54" t="str">
            <v>대형 프리깃</v>
          </cell>
        </row>
        <row r="55">
          <cell r="A55">
            <v>70200047</v>
          </cell>
          <cell r="B55" t="str">
            <v>케벡</v>
          </cell>
        </row>
        <row r="56">
          <cell r="A56">
            <v>70200048</v>
          </cell>
          <cell r="B56" t="str">
            <v>대형 사선</v>
          </cell>
        </row>
        <row r="57">
          <cell r="A57">
            <v>70200049</v>
          </cell>
          <cell r="B57" t="str">
            <v>대형 조운선</v>
          </cell>
        </row>
        <row r="58">
          <cell r="A58">
            <v>70200050</v>
          </cell>
          <cell r="B58" t="str">
            <v>대형 관선</v>
          </cell>
        </row>
        <row r="59">
          <cell r="A59">
            <v>70200051</v>
          </cell>
          <cell r="B59" t="str">
            <v>오스만 갤리온</v>
          </cell>
        </row>
        <row r="60">
          <cell r="A60">
            <v>70200052</v>
          </cell>
          <cell r="B60" t="str">
            <v>라르와이얄</v>
          </cell>
        </row>
        <row r="61">
          <cell r="A61">
            <v>70200188</v>
          </cell>
          <cell r="B61" t="str">
            <v>누전선</v>
          </cell>
        </row>
        <row r="62">
          <cell r="A62">
            <v>70200054</v>
          </cell>
          <cell r="B62" t="str">
            <v>테메레르</v>
          </cell>
        </row>
        <row r="63">
          <cell r="A63">
            <v>70200193</v>
          </cell>
          <cell r="B63" t="str">
            <v>유령선동양</v>
          </cell>
        </row>
        <row r="64">
          <cell r="A64">
            <v>70200056</v>
          </cell>
          <cell r="B64" t="str">
            <v>광선</v>
          </cell>
        </row>
        <row r="65">
          <cell r="A65">
            <v>70200057</v>
          </cell>
          <cell r="B65" t="str">
            <v>거북선</v>
          </cell>
        </row>
        <row r="66">
          <cell r="A66">
            <v>70200058</v>
          </cell>
          <cell r="B66" t="str">
            <v>안택선</v>
          </cell>
        </row>
        <row r="67">
          <cell r="A67">
            <v>70200059</v>
          </cell>
          <cell r="B67" t="str">
            <v>베네치안 갤리스</v>
          </cell>
        </row>
        <row r="68">
          <cell r="A68">
            <v>70200060</v>
          </cell>
          <cell r="B68" t="str">
            <v>라모르</v>
          </cell>
        </row>
        <row r="69">
          <cell r="A69">
            <v>70200061</v>
          </cell>
          <cell r="B69" t="str">
            <v>전열함</v>
          </cell>
        </row>
        <row r="70">
          <cell r="A70">
            <v>70200062</v>
          </cell>
          <cell r="B70" t="str">
            <v>오세앙</v>
          </cell>
        </row>
        <row r="71">
          <cell r="A71">
            <v>70200063</v>
          </cell>
          <cell r="B71" t="str">
            <v>롱 스쿠너</v>
          </cell>
        </row>
        <row r="72">
          <cell r="A72">
            <v>70200064</v>
          </cell>
          <cell r="B72" t="str">
            <v>대복선</v>
          </cell>
        </row>
        <row r="73">
          <cell r="A73">
            <v>70200065</v>
          </cell>
          <cell r="B73" t="str">
            <v>판옥선</v>
          </cell>
        </row>
        <row r="74">
          <cell r="A74">
            <v>70200066</v>
          </cell>
          <cell r="B74" t="str">
            <v>철갑선</v>
          </cell>
        </row>
        <row r="75">
          <cell r="A75">
            <v>70200067</v>
          </cell>
          <cell r="B75" t="str">
            <v>황금 바르카</v>
          </cell>
        </row>
        <row r="76">
          <cell r="A76">
            <v>70200068</v>
          </cell>
          <cell r="B76" t="str">
            <v>황금 삼판</v>
          </cell>
        </row>
        <row r="77">
          <cell r="A77">
            <v>70200069</v>
          </cell>
          <cell r="B77" t="str">
            <v>라 핀타</v>
          </cell>
        </row>
        <row r="78">
          <cell r="A78">
            <v>70200070</v>
          </cell>
          <cell r="B78" t="str">
            <v>중 캐러벨</v>
          </cell>
        </row>
        <row r="79">
          <cell r="A79">
            <v>70200071</v>
          </cell>
          <cell r="B79" t="str">
            <v>산타 마리아</v>
          </cell>
        </row>
        <row r="80">
          <cell r="A80">
            <v>70200072</v>
          </cell>
          <cell r="B80" t="str">
            <v>스페르베르</v>
          </cell>
        </row>
        <row r="81">
          <cell r="A81">
            <v>70200073</v>
          </cell>
          <cell r="B81" t="str">
            <v>빅토리아</v>
          </cell>
        </row>
        <row r="82">
          <cell r="A82">
            <v>70200074</v>
          </cell>
          <cell r="B82" t="str">
            <v>에스메랄다</v>
          </cell>
        </row>
        <row r="83">
          <cell r="A83">
            <v>70200075</v>
          </cell>
          <cell r="B83" t="str">
            <v>골든 하인드</v>
          </cell>
        </row>
        <row r="84">
          <cell r="A84">
            <v>70200076</v>
          </cell>
          <cell r="B84" t="str">
            <v>나폴리탄 갤리스</v>
          </cell>
        </row>
        <row r="85">
          <cell r="A85">
            <v>70200077</v>
          </cell>
          <cell r="B85" t="str">
            <v>성 가브리엘</v>
          </cell>
        </row>
        <row r="86">
          <cell r="A86">
            <v>70200078</v>
          </cell>
          <cell r="B86" t="str">
            <v>산 후안</v>
          </cell>
        </row>
        <row r="87">
          <cell r="A87">
            <v>70200079</v>
          </cell>
          <cell r="B87" t="str">
            <v>산 펠리페</v>
          </cell>
        </row>
        <row r="88">
          <cell r="A88">
            <v>70200080</v>
          </cell>
          <cell r="B88" t="str">
            <v>로열 소버린</v>
          </cell>
        </row>
        <row r="89">
          <cell r="A89">
            <v>70200081</v>
          </cell>
          <cell r="B89" t="str">
            <v>애들러</v>
          </cell>
        </row>
        <row r="90">
          <cell r="A90">
            <v>70200082</v>
          </cell>
          <cell r="B90" t="str">
            <v>라 쿠론</v>
          </cell>
        </row>
        <row r="91">
          <cell r="A91">
            <v>70200083</v>
          </cell>
          <cell r="B91" t="str">
            <v>정조의 거북선</v>
          </cell>
        </row>
        <row r="92">
          <cell r="A92">
            <v>70200084</v>
          </cell>
          <cell r="B92" t="str">
            <v>노부나가의 철갑선</v>
          </cell>
        </row>
        <row r="93">
          <cell r="A93">
            <v>70200085</v>
          </cell>
          <cell r="B93" t="str">
            <v>정화의 보선</v>
          </cell>
        </row>
        <row r="94">
          <cell r="A94">
            <v>70200086</v>
          </cell>
          <cell r="B94" t="str">
            <v>로만 갤리</v>
          </cell>
        </row>
        <row r="95">
          <cell r="A95">
            <v>70200087</v>
          </cell>
          <cell r="B95" t="str">
            <v>메이플라워</v>
          </cell>
        </row>
        <row r="96">
          <cell r="A96">
            <v>70200088</v>
          </cell>
          <cell r="B96" t="str">
            <v>카라코아</v>
          </cell>
        </row>
        <row r="97">
          <cell r="A97">
            <v>70200089</v>
          </cell>
          <cell r="B97" t="str">
            <v>능원회선</v>
          </cell>
        </row>
        <row r="98">
          <cell r="A98">
            <v>70200090</v>
          </cell>
          <cell r="B98" t="str">
            <v>플레미시 갤리온</v>
          </cell>
        </row>
        <row r="99">
          <cell r="A99">
            <v>70200091</v>
          </cell>
          <cell r="B99" t="str">
            <v>클리퍼</v>
          </cell>
        </row>
        <row r="100">
          <cell r="A100">
            <v>70200194</v>
          </cell>
          <cell r="B100" t="str">
            <v>유령선서양</v>
          </cell>
        </row>
        <row r="101">
          <cell r="A101">
            <v>70200093</v>
          </cell>
          <cell r="B101" t="str">
            <v>용수선</v>
          </cell>
        </row>
        <row r="102">
          <cell r="A102">
            <v>70200094</v>
          </cell>
          <cell r="B102" t="str">
            <v>레이지드 프리깃</v>
          </cell>
        </row>
        <row r="103">
          <cell r="A103">
            <v>70200095</v>
          </cell>
          <cell r="B103" t="str">
            <v>아이언 사이즈</v>
          </cell>
        </row>
        <row r="104">
          <cell r="A104">
            <v>70200096</v>
          </cell>
          <cell r="B104" t="str">
            <v>바사</v>
          </cell>
        </row>
        <row r="105">
          <cell r="A105">
            <v>70200097</v>
          </cell>
          <cell r="B105" t="str">
            <v>노르딕 갤리온</v>
          </cell>
        </row>
        <row r="106">
          <cell r="A106">
            <v>70200098</v>
          </cell>
          <cell r="B106" t="str">
            <v>노르스케 뢰베</v>
          </cell>
        </row>
        <row r="107">
          <cell r="A107">
            <v>70200099</v>
          </cell>
          <cell r="B107" t="str">
            <v>마닐라 갤리온</v>
          </cell>
        </row>
        <row r="108">
          <cell r="A108">
            <v>70200100</v>
          </cell>
          <cell r="B108" t="str">
            <v>사견선</v>
          </cell>
        </row>
        <row r="109">
          <cell r="A109">
            <v>70200101</v>
          </cell>
          <cell r="B109" t="str">
            <v>할버 만</v>
          </cell>
        </row>
        <row r="110">
          <cell r="A110">
            <v>70200102</v>
          </cell>
          <cell r="B110" t="str">
            <v>버뮤다 슬루프</v>
          </cell>
        </row>
        <row r="111">
          <cell r="A111">
            <v>70200103</v>
          </cell>
          <cell r="B111" t="str">
            <v>인데버</v>
          </cell>
        </row>
        <row r="112">
          <cell r="A112">
            <v>70200032</v>
          </cell>
          <cell r="B112" t="str">
            <v>로르샤</v>
          </cell>
        </row>
        <row r="113">
          <cell r="A113">
            <v>70200105</v>
          </cell>
          <cell r="B113" t="str">
            <v>플라잉 클라우드</v>
          </cell>
        </row>
        <row r="114">
          <cell r="A114">
            <v>70200106</v>
          </cell>
          <cell r="B114" t="str">
            <v>간자 다우</v>
          </cell>
        </row>
        <row r="115">
          <cell r="A115">
            <v>70200107</v>
          </cell>
          <cell r="B115" t="str">
            <v>테르모필레</v>
          </cell>
        </row>
        <row r="116">
          <cell r="A116">
            <v>70200108</v>
          </cell>
          <cell r="B116" t="str">
            <v>서프라이즈</v>
          </cell>
        </row>
        <row r="117">
          <cell r="A117">
            <v>70200109</v>
          </cell>
          <cell r="B117" t="str">
            <v>비글</v>
          </cell>
        </row>
        <row r="118">
          <cell r="A118">
            <v>70200110</v>
          </cell>
          <cell r="B118" t="str">
            <v>산티시마 트리니다드</v>
          </cell>
        </row>
        <row r="119">
          <cell r="A119">
            <v>70200111</v>
          </cell>
          <cell r="B119" t="str">
            <v>어드벤처 갤리</v>
          </cell>
        </row>
        <row r="120">
          <cell r="A120">
            <v>70200112</v>
          </cell>
          <cell r="B120" t="str">
            <v>바운티</v>
          </cell>
        </row>
        <row r="121">
          <cell r="A121">
            <v>70200113</v>
          </cell>
          <cell r="B121" t="str">
            <v>세인트 로런스</v>
          </cell>
        </row>
        <row r="122">
          <cell r="A122">
            <v>70200114</v>
          </cell>
          <cell r="B122" t="str">
            <v>도팽 로열</v>
          </cell>
        </row>
        <row r="123">
          <cell r="A123">
            <v>70200115</v>
          </cell>
          <cell r="B123" t="str">
            <v>부첸타우르</v>
          </cell>
        </row>
        <row r="124">
          <cell r="A124">
            <v>70200116</v>
          </cell>
          <cell r="B124" t="str">
            <v>솔레이유 로열</v>
          </cell>
        </row>
        <row r="125">
          <cell r="A125">
            <v>70200117</v>
          </cell>
          <cell r="B125" t="str">
            <v>크로난</v>
          </cell>
        </row>
        <row r="126">
          <cell r="A126">
            <v>70200118</v>
          </cell>
          <cell r="B126" t="str">
            <v>더제번</v>
          </cell>
        </row>
        <row r="127">
          <cell r="A127">
            <v>70200119</v>
          </cell>
          <cell r="B127" t="str">
            <v>빅토리</v>
          </cell>
        </row>
        <row r="128">
          <cell r="A128">
            <v>70200120</v>
          </cell>
          <cell r="B128" t="str">
            <v>인게르마늘란트</v>
          </cell>
        </row>
        <row r="129">
          <cell r="A129">
            <v>70200121</v>
          </cell>
          <cell r="B129" t="str">
            <v>그랑 안 프류트</v>
          </cell>
        </row>
        <row r="130">
          <cell r="A130">
            <v>70200122</v>
          </cell>
          <cell r="B130" t="str">
            <v>몽충</v>
          </cell>
        </row>
        <row r="131">
          <cell r="A131">
            <v>70200123</v>
          </cell>
          <cell r="B131" t="str">
            <v>주가</v>
          </cell>
        </row>
        <row r="132">
          <cell r="A132">
            <v>70200124</v>
          </cell>
          <cell r="B132" t="str">
            <v>누선</v>
          </cell>
        </row>
        <row r="133">
          <cell r="A133">
            <v>70200125</v>
          </cell>
          <cell r="B133" t="str">
            <v>해남선</v>
          </cell>
        </row>
        <row r="134">
          <cell r="A134">
            <v>70200126</v>
          </cell>
          <cell r="B134" t="str">
            <v>정성공의 해남선</v>
          </cell>
        </row>
        <row r="135">
          <cell r="A135">
            <v>70200149</v>
          </cell>
          <cell r="B135" t="str">
            <v>천지환</v>
          </cell>
        </row>
        <row r="136">
          <cell r="A136">
            <v>70200150</v>
          </cell>
          <cell r="B136" t="str">
            <v>진공선</v>
          </cell>
        </row>
        <row r="137">
          <cell r="A137">
            <v>70200151</v>
          </cell>
          <cell r="B137" t="str">
            <v>위더</v>
          </cell>
        </row>
        <row r="138">
          <cell r="A138">
            <v>70200152</v>
          </cell>
          <cell r="B138" t="str">
            <v>벨로나</v>
          </cell>
        </row>
        <row r="139">
          <cell r="A139">
            <v>70200053</v>
          </cell>
          <cell r="B139" t="str">
            <v>대형 갤리온</v>
          </cell>
        </row>
        <row r="140">
          <cell r="A140">
            <v>70200154</v>
          </cell>
          <cell r="B140" t="str">
            <v>보선</v>
          </cell>
        </row>
        <row r="141">
          <cell r="A141">
            <v>70200155</v>
          </cell>
          <cell r="B141" t="str">
            <v>만선</v>
          </cell>
        </row>
        <row r="142">
          <cell r="A142">
            <v>70200156</v>
          </cell>
          <cell r="B142" t="str">
            <v>대판옥선</v>
          </cell>
        </row>
        <row r="143">
          <cell r="A143">
            <v>70200157</v>
          </cell>
          <cell r="B143" t="str">
            <v>몽동</v>
          </cell>
        </row>
        <row r="144">
          <cell r="A144">
            <v>70200158</v>
          </cell>
          <cell r="B144" t="str">
            <v>양선</v>
          </cell>
        </row>
        <row r="145">
          <cell r="A145">
            <v>70200159</v>
          </cell>
          <cell r="B145" t="str">
            <v>황금 한자 코그</v>
          </cell>
        </row>
        <row r="146">
          <cell r="A146">
            <v>70200169</v>
          </cell>
          <cell r="B146" t="str">
            <v>종</v>
          </cell>
        </row>
        <row r="147">
          <cell r="A147">
            <v>70200181</v>
          </cell>
          <cell r="B147" t="str">
            <v>정크 스쿠너</v>
          </cell>
        </row>
        <row r="148">
          <cell r="A148">
            <v>70200186</v>
          </cell>
          <cell r="B148" t="str">
            <v>대효선</v>
          </cell>
        </row>
        <row r="149">
          <cell r="A149">
            <v>70200187</v>
          </cell>
          <cell r="B149" t="str">
            <v>용주</v>
          </cell>
        </row>
        <row r="150">
          <cell r="A150">
            <v>70200092</v>
          </cell>
          <cell r="B150" t="str">
            <v>산타 카타리나</v>
          </cell>
        </row>
        <row r="151">
          <cell r="A151">
            <v>70200189</v>
          </cell>
          <cell r="B151" t="str">
            <v>병선</v>
          </cell>
        </row>
        <row r="152">
          <cell r="A152">
            <v>70200190</v>
          </cell>
          <cell r="B152" t="str">
            <v>투함</v>
          </cell>
        </row>
        <row r="153">
          <cell r="A153">
            <v>70200191</v>
          </cell>
          <cell r="B153" t="str">
            <v>평전선</v>
          </cell>
        </row>
        <row r="154">
          <cell r="A154">
            <v>70200192</v>
          </cell>
          <cell r="B154" t="str">
            <v>황금 타렛테</v>
          </cell>
        </row>
        <row r="155">
          <cell r="A155">
            <v>70200104</v>
          </cell>
          <cell r="B155" t="str">
            <v>프린스 빌럼</v>
          </cell>
        </row>
        <row r="156">
          <cell r="A156">
            <v>70200153</v>
          </cell>
          <cell r="B156" t="str">
            <v>아라키선</v>
          </cell>
        </row>
        <row r="157">
          <cell r="A157">
            <v>70200195</v>
          </cell>
          <cell r="B157" t="str">
            <v>이름없는 난파선</v>
          </cell>
        </row>
        <row r="158">
          <cell r="A158">
            <v>70200196</v>
          </cell>
          <cell r="B158" t="str">
            <v>백일선</v>
          </cell>
        </row>
        <row r="159">
          <cell r="A159">
            <v>70200197</v>
          </cell>
          <cell r="B159" t="str">
            <v>특수 로르샤</v>
          </cell>
        </row>
        <row r="160">
          <cell r="A160">
            <v>70200200</v>
          </cell>
          <cell r="B160" t="str">
            <v>황금 삼판_G</v>
          </cell>
        </row>
        <row r="161">
          <cell r="A161">
            <v>70200201</v>
          </cell>
          <cell r="B161" t="str">
            <v>황금 타렛테_G</v>
          </cell>
        </row>
        <row r="162">
          <cell r="A162">
            <v>70200202</v>
          </cell>
          <cell r="B162" t="str">
            <v>황금 바르카_G</v>
          </cell>
        </row>
        <row r="163">
          <cell r="A163">
            <v>70200203</v>
          </cell>
          <cell r="B163" t="str">
            <v>황금 한자 코그_G</v>
          </cell>
        </row>
        <row r="164">
          <cell r="A164">
            <v>70270001</v>
          </cell>
          <cell r="B164" t="str">
            <v>앤 여왕의 복수</v>
          </cell>
        </row>
        <row r="165">
          <cell r="A165">
            <v>70280001</v>
          </cell>
          <cell r="B165" t="str">
            <v>튜토리얼 검은돛 브리간틴</v>
          </cell>
        </row>
        <row r="166">
          <cell r="A166">
            <v>70280002</v>
          </cell>
          <cell r="B166" t="str">
            <v>튜토리얼 14 브리간틴</v>
          </cell>
        </row>
        <row r="167">
          <cell r="A167">
            <v>70280003</v>
          </cell>
          <cell r="B167" t="str">
            <v>튜토리얼 14 오스만 갤리</v>
          </cell>
        </row>
        <row r="168">
          <cell r="A168">
            <v>70280004</v>
          </cell>
          <cell r="B168" t="str">
            <v>튜토리얼 5 오스만 갤리</v>
          </cell>
        </row>
        <row r="169">
          <cell r="A169">
            <v>70280005</v>
          </cell>
          <cell r="B169" t="str">
            <v>프롤로그 보스</v>
          </cell>
        </row>
        <row r="170">
          <cell r="A170">
            <v>70280006</v>
          </cell>
          <cell r="B170" t="str">
            <v>튜토 아군 기함 포격</v>
          </cell>
        </row>
        <row r="171">
          <cell r="A171">
            <v>70280007</v>
          </cell>
          <cell r="B171" t="str">
            <v>튜토 아군2 충파</v>
          </cell>
        </row>
        <row r="172">
          <cell r="A172">
            <v>70280008</v>
          </cell>
          <cell r="B172" t="str">
            <v>촬영용 아군 산 펠리페</v>
          </cell>
        </row>
        <row r="173">
          <cell r="A173">
            <v>70280009</v>
          </cell>
          <cell r="B173" t="str">
            <v>촬영용 아군 그랑 안 프류트</v>
          </cell>
        </row>
        <row r="174">
          <cell r="A174">
            <v>70280010</v>
          </cell>
          <cell r="B174" t="str">
            <v>촬영용 아군 더제번</v>
          </cell>
        </row>
        <row r="175">
          <cell r="A175">
            <v>70280011</v>
          </cell>
          <cell r="B175" t="str">
            <v>촬영용 아군 베네치안 갤리스</v>
          </cell>
        </row>
        <row r="176">
          <cell r="A176">
            <v>70280012</v>
          </cell>
          <cell r="B176" t="str">
            <v>촬영용 아군 핀네스</v>
          </cell>
        </row>
        <row r="177">
          <cell r="A177">
            <v>70280013</v>
          </cell>
          <cell r="B177" t="str">
            <v>촬영용 적군 코르벳</v>
          </cell>
        </row>
        <row r="178">
          <cell r="A178">
            <v>70280014</v>
          </cell>
          <cell r="B178" t="str">
            <v>촬영용 적군 전열함</v>
          </cell>
        </row>
        <row r="179">
          <cell r="A179">
            <v>70280015</v>
          </cell>
          <cell r="B179" t="str">
            <v>촬영용 적군 오스만 갤리온</v>
          </cell>
        </row>
        <row r="180">
          <cell r="A180">
            <v>70280016</v>
          </cell>
          <cell r="B180" t="str">
            <v>촬영용 적군 로만 갤리</v>
          </cell>
        </row>
        <row r="181">
          <cell r="A181">
            <v>70280017</v>
          </cell>
          <cell r="B181" t="str">
            <v>촬영용 적군 대형 갤리온</v>
          </cell>
        </row>
        <row r="182">
          <cell r="A182">
            <v>70280018</v>
          </cell>
          <cell r="B182" t="str">
            <v>튜토 아군3 백병</v>
          </cell>
        </row>
        <row r="183">
          <cell r="A183">
            <v>70280019</v>
          </cell>
          <cell r="B183" t="str">
            <v>예외처리용 설계도</v>
          </cell>
        </row>
        <row r="184">
          <cell r="A184">
            <v>70280020</v>
          </cell>
          <cell r="B184" t="str">
            <v>##테스트용 선박</v>
          </cell>
        </row>
        <row r="185">
          <cell r="A185">
            <v>70280021</v>
          </cell>
          <cell r="B185" t="str">
            <v>##5티어 테스트_포격</v>
          </cell>
        </row>
        <row r="186">
          <cell r="A186">
            <v>70280022</v>
          </cell>
          <cell r="B186" t="str">
            <v>##5티어 테스트_백병</v>
          </cell>
        </row>
        <row r="187">
          <cell r="A187">
            <v>70280023</v>
          </cell>
          <cell r="B187" t="str">
            <v>##5티어 테스트_충파</v>
          </cell>
        </row>
        <row r="188">
          <cell r="A188">
            <v>70280024</v>
          </cell>
          <cell r="B188" t="str">
            <v>##10티어 테스트_포격</v>
          </cell>
        </row>
        <row r="189">
          <cell r="A189">
            <v>70280025</v>
          </cell>
          <cell r="B189" t="str">
            <v>##10티어 테스트_백병</v>
          </cell>
        </row>
        <row r="190">
          <cell r="A190">
            <v>70280026</v>
          </cell>
          <cell r="B190" t="str">
            <v>##10티어 테스트_충파</v>
          </cell>
        </row>
        <row r="191">
          <cell r="A191">
            <v>70280027</v>
          </cell>
          <cell r="B191" t="str">
            <v>##15티어 테스트_포격</v>
          </cell>
        </row>
        <row r="192">
          <cell r="A192">
            <v>70280028</v>
          </cell>
          <cell r="B192" t="str">
            <v>##15티어 테스트_백병</v>
          </cell>
        </row>
        <row r="193">
          <cell r="A193">
            <v>70280029</v>
          </cell>
          <cell r="B193" t="str">
            <v>##15티어 테스트_충파</v>
          </cell>
        </row>
        <row r="194">
          <cell r="A194">
            <v>70280030</v>
          </cell>
          <cell r="B194" t="str">
            <v>##20티어 테스트_포격</v>
          </cell>
        </row>
        <row r="195">
          <cell r="A195">
            <v>70280031</v>
          </cell>
          <cell r="B195" t="str">
            <v>##20티어 테스트_백병</v>
          </cell>
        </row>
        <row r="196">
          <cell r="A196">
            <v>70280032</v>
          </cell>
          <cell r="B196" t="str">
            <v>##20티어 테스트_충파</v>
          </cell>
        </row>
        <row r="197">
          <cell r="A197">
            <v>70280033</v>
          </cell>
          <cell r="B197" t="str">
            <v>##25티어 테스트_포격</v>
          </cell>
        </row>
        <row r="198">
          <cell r="A198">
            <v>70280034</v>
          </cell>
          <cell r="B198" t="str">
            <v>##25티어 테스트_백병</v>
          </cell>
        </row>
        <row r="199">
          <cell r="A199">
            <v>70280035</v>
          </cell>
          <cell r="B199" t="str">
            <v>##25티어 테스트_충파</v>
          </cell>
        </row>
        <row r="200">
          <cell r="A200">
            <v>70280036</v>
          </cell>
          <cell r="B200" t="str">
            <v>##30티어 테스트_포격</v>
          </cell>
        </row>
        <row r="201">
          <cell r="A201">
            <v>70280037</v>
          </cell>
          <cell r="B201" t="str">
            <v>##30티어 테스트_백병</v>
          </cell>
        </row>
        <row r="202">
          <cell r="A202">
            <v>70280038</v>
          </cell>
          <cell r="B202" t="str">
            <v>##30티어 테스트_충파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1">
          <cell r="A1" t="str">
            <v>enumKey</v>
          </cell>
          <cell r="B1" t="str">
            <v>enumName</v>
          </cell>
          <cell r="C1" t="str">
            <v>enumList</v>
          </cell>
          <cell r="D1" t="str">
            <v>enumValue</v>
          </cell>
        </row>
        <row r="2">
          <cell r="A2" t="str">
            <v>pointTypepoint</v>
          </cell>
          <cell r="B2" t="str">
            <v>pointType</v>
          </cell>
          <cell r="C2" t="str">
            <v>point</v>
          </cell>
          <cell r="D2">
            <v>0</v>
          </cell>
        </row>
        <row r="3">
          <cell r="A3" t="str">
            <v>pointTypecash</v>
          </cell>
          <cell r="B3" t="str">
            <v>pointType</v>
          </cell>
          <cell r="C3" t="str">
            <v>cash</v>
          </cell>
          <cell r="D3">
            <v>1</v>
          </cell>
        </row>
        <row r="4">
          <cell r="A4" t="str">
            <v>pointTypeenergy</v>
          </cell>
          <cell r="B4" t="str">
            <v>pointType</v>
          </cell>
          <cell r="C4" t="str">
            <v>energy</v>
          </cell>
          <cell r="D4">
            <v>2</v>
          </cell>
        </row>
        <row r="5">
          <cell r="A5" t="str">
            <v>pointTypeunusable</v>
          </cell>
          <cell r="B5" t="str">
            <v>pointType</v>
          </cell>
          <cell r="C5" t="str">
            <v>unusable</v>
          </cell>
          <cell r="D5">
            <v>3</v>
          </cell>
        </row>
        <row r="6">
          <cell r="A6" t="str">
            <v>charType항해사</v>
          </cell>
          <cell r="B6" t="str">
            <v>charType</v>
          </cell>
          <cell r="C6" t="str">
            <v>항해사</v>
          </cell>
          <cell r="D6">
            <v>0</v>
          </cell>
        </row>
        <row r="7">
          <cell r="A7" t="str">
            <v>charType제독</v>
          </cell>
          <cell r="B7" t="str">
            <v>charType</v>
          </cell>
          <cell r="C7" t="str">
            <v>제독</v>
          </cell>
          <cell r="D7">
            <v>1</v>
          </cell>
        </row>
        <row r="8">
          <cell r="A8" t="str">
            <v>charTypeNPC</v>
          </cell>
          <cell r="B8" t="str">
            <v>charType</v>
          </cell>
          <cell r="C8" t="str">
            <v>NPC</v>
          </cell>
          <cell r="D8">
            <v>2</v>
          </cell>
        </row>
        <row r="9">
          <cell r="A9" t="str">
            <v>charType특수 항해사</v>
          </cell>
          <cell r="B9" t="str">
            <v>charType</v>
          </cell>
          <cell r="C9" t="str">
            <v>특수 항해사</v>
          </cell>
          <cell r="D9">
            <v>3</v>
          </cell>
        </row>
        <row r="10">
          <cell r="A10" t="str">
            <v>genderType남성</v>
          </cell>
          <cell r="B10" t="str">
            <v>genderType</v>
          </cell>
          <cell r="C10" t="str">
            <v>남성</v>
          </cell>
          <cell r="D10">
            <v>0</v>
          </cell>
        </row>
        <row r="11">
          <cell r="A11" t="str">
            <v>genderType여성</v>
          </cell>
          <cell r="B11" t="str">
            <v>genderType</v>
          </cell>
          <cell r="C11" t="str">
            <v>여성</v>
          </cell>
          <cell r="D11">
            <v>1</v>
          </cell>
        </row>
        <row r="12">
          <cell r="A12" t="str">
            <v>CEquipType무기</v>
          </cell>
          <cell r="B12" t="str">
            <v>CEquipType</v>
          </cell>
          <cell r="C12" t="str">
            <v>무기</v>
          </cell>
          <cell r="D12">
            <v>0</v>
          </cell>
        </row>
        <row r="13">
          <cell r="A13" t="str">
            <v>CEquipType몸</v>
          </cell>
          <cell r="B13" t="str">
            <v>CEquipType</v>
          </cell>
          <cell r="C13" t="str">
            <v>몸</v>
          </cell>
          <cell r="D13">
            <v>1</v>
          </cell>
        </row>
        <row r="14">
          <cell r="A14" t="str">
            <v>CEquipType머리</v>
          </cell>
          <cell r="B14" t="str">
            <v>CEquipType</v>
          </cell>
          <cell r="C14" t="str">
            <v>머리</v>
          </cell>
          <cell r="D14">
            <v>2</v>
          </cell>
        </row>
        <row r="15">
          <cell r="A15" t="str">
            <v>CEquipType망토</v>
          </cell>
          <cell r="B15" t="str">
            <v>CEquipType</v>
          </cell>
          <cell r="C15" t="str">
            <v>망토</v>
          </cell>
          <cell r="D15">
            <v>3</v>
          </cell>
        </row>
        <row r="16">
          <cell r="A16" t="str">
            <v>CEquipType장신구</v>
          </cell>
          <cell r="B16" t="str">
            <v>CEquipType</v>
          </cell>
          <cell r="C16" t="str">
            <v>장신구</v>
          </cell>
          <cell r="D16">
            <v>4</v>
          </cell>
        </row>
        <row r="17">
          <cell r="A17" t="str">
            <v>CEquipType얼굴장식</v>
          </cell>
          <cell r="B17" t="str">
            <v>CEquipType</v>
          </cell>
          <cell r="C17" t="str">
            <v>얼굴장식</v>
          </cell>
          <cell r="D17">
            <v>5</v>
          </cell>
        </row>
        <row r="18">
          <cell r="A18" t="str">
            <v>CEquipGender남성용</v>
          </cell>
          <cell r="B18" t="str">
            <v>CEquipGender</v>
          </cell>
          <cell r="C18" t="str">
            <v>남성용</v>
          </cell>
          <cell r="D18">
            <v>0</v>
          </cell>
        </row>
        <row r="19">
          <cell r="A19" t="str">
            <v>CEquipGender여성용</v>
          </cell>
          <cell r="B19" t="str">
            <v>CEquipGender</v>
          </cell>
          <cell r="C19" t="str">
            <v>여성용</v>
          </cell>
          <cell r="D19">
            <v>1</v>
          </cell>
        </row>
        <row r="20">
          <cell r="A20" t="str">
            <v>CEquipGender공용</v>
          </cell>
          <cell r="B20" t="str">
            <v>CEquipGender</v>
          </cell>
          <cell r="C20" t="str">
            <v>공용</v>
          </cell>
          <cell r="D20">
            <v>2</v>
          </cell>
        </row>
        <row r="21">
          <cell r="A21" t="str">
            <v>CEquipGrade없음</v>
          </cell>
          <cell r="B21" t="str">
            <v>CEquipGrade</v>
          </cell>
          <cell r="C21" t="str">
            <v>없음</v>
          </cell>
          <cell r="D21">
            <v>0</v>
          </cell>
        </row>
        <row r="22">
          <cell r="A22" t="str">
            <v>CEquipGradeD</v>
          </cell>
          <cell r="B22" t="str">
            <v>CEquipGrade</v>
          </cell>
          <cell r="C22" t="str">
            <v>D</v>
          </cell>
          <cell r="D22">
            <v>1</v>
          </cell>
        </row>
        <row r="23">
          <cell r="A23" t="str">
            <v>CEquipGradeC</v>
          </cell>
          <cell r="B23" t="str">
            <v>CEquipGrade</v>
          </cell>
          <cell r="C23" t="str">
            <v>C</v>
          </cell>
          <cell r="D23">
            <v>2</v>
          </cell>
        </row>
        <row r="24">
          <cell r="A24" t="str">
            <v>CEquipGradeB</v>
          </cell>
          <cell r="B24" t="str">
            <v>CEquipGrade</v>
          </cell>
          <cell r="C24" t="str">
            <v>B</v>
          </cell>
          <cell r="D24">
            <v>3</v>
          </cell>
        </row>
        <row r="25">
          <cell r="A25" t="str">
            <v>CEquipGradeA</v>
          </cell>
          <cell r="B25" t="str">
            <v>CEquipGrade</v>
          </cell>
          <cell r="C25" t="str">
            <v>A</v>
          </cell>
          <cell r="D25">
            <v>4</v>
          </cell>
        </row>
        <row r="26">
          <cell r="A26" t="str">
            <v>CEquipGradeS</v>
          </cell>
          <cell r="B26" t="str">
            <v>CEquipGrade</v>
          </cell>
          <cell r="C26" t="str">
            <v>S</v>
          </cell>
          <cell r="D26">
            <v>5</v>
          </cell>
        </row>
        <row r="27">
          <cell r="A27" t="str">
            <v>CEquipGradeSS</v>
          </cell>
          <cell r="B27" t="str">
            <v>CEquipGrade</v>
          </cell>
          <cell r="C27" t="str">
            <v>SS</v>
          </cell>
          <cell r="D27">
            <v>6</v>
          </cell>
        </row>
        <row r="28">
          <cell r="A28" t="str">
            <v>CEquipGradeSSS</v>
          </cell>
          <cell r="B28" t="str">
            <v>CEquipGrade</v>
          </cell>
          <cell r="C28" t="str">
            <v>SSS</v>
          </cell>
          <cell r="D28">
            <v>7</v>
          </cell>
        </row>
        <row r="29">
          <cell r="A29" t="str">
            <v>CEquipGradeEvent</v>
          </cell>
          <cell r="B29" t="str">
            <v>CEquipGrade</v>
          </cell>
          <cell r="C29" t="str">
            <v>Event</v>
          </cell>
          <cell r="D29">
            <v>8</v>
          </cell>
        </row>
        <row r="30">
          <cell r="A30" t="str">
            <v>effectType언어 LV 표시</v>
          </cell>
          <cell r="B30" t="str">
            <v>effectType</v>
          </cell>
          <cell r="C30" t="str">
            <v>언어 LV 표시</v>
          </cell>
          <cell r="D30">
            <v>0</v>
          </cell>
        </row>
        <row r="31">
          <cell r="A31" t="str">
            <v>effectType은행 예금/출금 가능 여부</v>
          </cell>
          <cell r="B31" t="str">
            <v>effectType</v>
          </cell>
          <cell r="C31" t="str">
            <v>은행 예금/출금 가능 여부</v>
          </cell>
          <cell r="D31">
            <v>1</v>
          </cell>
        </row>
        <row r="32">
          <cell r="A32" t="str">
            <v>effectType은행 적금 가능 여부</v>
          </cell>
          <cell r="B32" t="str">
            <v>effectType</v>
          </cell>
          <cell r="C32" t="str">
            <v>은행 적금 가능 여부</v>
          </cell>
          <cell r="D32">
            <v>2</v>
          </cell>
        </row>
        <row r="33">
          <cell r="A33" t="str">
            <v>effectType은행 보험 가능 여부</v>
          </cell>
          <cell r="B33" t="str">
            <v>effectType</v>
          </cell>
          <cell r="C33" t="str">
            <v>은행 보험 가능 여부</v>
          </cell>
          <cell r="D33">
            <v>3</v>
          </cell>
        </row>
        <row r="34">
          <cell r="A34" t="str">
            <v>effectType은행 수수료 보정값 변경</v>
          </cell>
          <cell r="B34" t="str">
            <v>effectType</v>
          </cell>
          <cell r="C34" t="str">
            <v>은행 수수료 보정값 변경</v>
          </cell>
          <cell r="D34">
            <v>4</v>
          </cell>
        </row>
        <row r="35">
          <cell r="A35" t="str">
            <v>buildingType없음</v>
          </cell>
          <cell r="B35" t="str">
            <v>buildingType</v>
          </cell>
          <cell r="C35" t="str">
            <v>없음</v>
          </cell>
          <cell r="D35">
            <v>0</v>
          </cell>
        </row>
        <row r="36">
          <cell r="A36" t="str">
            <v>buildingType왕궁</v>
          </cell>
          <cell r="B36" t="str">
            <v>buildingType</v>
          </cell>
          <cell r="C36" t="str">
            <v>왕궁</v>
          </cell>
          <cell r="D36">
            <v>1</v>
          </cell>
        </row>
        <row r="37">
          <cell r="A37" t="str">
            <v>buildingType공관</v>
          </cell>
          <cell r="B37" t="str">
            <v>buildingType</v>
          </cell>
          <cell r="C37" t="str">
            <v>공관</v>
          </cell>
          <cell r="D37">
            <v>2</v>
          </cell>
        </row>
        <row r="38">
          <cell r="A38" t="str">
            <v>buildingType조합</v>
          </cell>
          <cell r="B38" t="str">
            <v>buildingType</v>
          </cell>
          <cell r="C38" t="str">
            <v>조합</v>
          </cell>
          <cell r="D38">
            <v>3</v>
          </cell>
        </row>
        <row r="39">
          <cell r="A39" t="str">
            <v>buildingType여관</v>
          </cell>
          <cell r="B39" t="str">
            <v>buildingType</v>
          </cell>
          <cell r="C39" t="str">
            <v>여관</v>
          </cell>
          <cell r="D39">
            <v>4</v>
          </cell>
        </row>
        <row r="40">
          <cell r="A40" t="str">
            <v>buildingType도구점</v>
          </cell>
          <cell r="B40" t="str">
            <v>buildingType</v>
          </cell>
          <cell r="C40" t="str">
            <v>도구점</v>
          </cell>
          <cell r="D40">
            <v>5</v>
          </cell>
        </row>
        <row r="41">
          <cell r="A41" t="str">
            <v>buildingType저택</v>
          </cell>
          <cell r="B41" t="str">
            <v>buildingType</v>
          </cell>
          <cell r="C41" t="str">
            <v>저택</v>
          </cell>
          <cell r="D41">
            <v>6</v>
          </cell>
        </row>
        <row r="42">
          <cell r="A42" t="str">
            <v>buildingType종교</v>
          </cell>
          <cell r="B42" t="str">
            <v>buildingType</v>
          </cell>
          <cell r="C42" t="str">
            <v>종교</v>
          </cell>
          <cell r="D42">
            <v>7</v>
          </cell>
        </row>
        <row r="43">
          <cell r="A43" t="str">
            <v>buildingType콜렉터</v>
          </cell>
          <cell r="B43" t="str">
            <v>buildingType</v>
          </cell>
          <cell r="C43" t="str">
            <v>콜렉터</v>
          </cell>
          <cell r="D43">
            <v>8</v>
          </cell>
        </row>
        <row r="44">
          <cell r="A44" t="str">
            <v>buildingType은행</v>
          </cell>
          <cell r="B44" t="str">
            <v>buildingType</v>
          </cell>
          <cell r="C44" t="str">
            <v>은행</v>
          </cell>
          <cell r="D44">
            <v>9</v>
          </cell>
        </row>
        <row r="45">
          <cell r="A45" t="str">
            <v>buildingType교역소</v>
          </cell>
          <cell r="B45" t="str">
            <v>buildingType</v>
          </cell>
          <cell r="C45" t="str">
            <v>교역소</v>
          </cell>
          <cell r="D45">
            <v>10</v>
          </cell>
        </row>
        <row r="46">
          <cell r="A46" t="str">
            <v>buildingType조선소</v>
          </cell>
          <cell r="B46" t="str">
            <v>buildingType</v>
          </cell>
          <cell r="C46" t="str">
            <v>조선소</v>
          </cell>
          <cell r="D46">
            <v>11</v>
          </cell>
        </row>
        <row r="47">
          <cell r="A47" t="str">
            <v>buildingType출항소</v>
          </cell>
          <cell r="B47" t="str">
            <v>buildingType</v>
          </cell>
          <cell r="C47" t="str">
            <v>출항소</v>
          </cell>
          <cell r="D47">
            <v>12</v>
          </cell>
        </row>
        <row r="48">
          <cell r="A48" t="str">
            <v>buildingType점술관</v>
          </cell>
          <cell r="B48" t="str">
            <v>buildingType</v>
          </cell>
          <cell r="C48" t="str">
            <v>점술관</v>
          </cell>
          <cell r="D48">
            <v>13</v>
          </cell>
        </row>
        <row r="49">
          <cell r="A49" t="str">
            <v>buildingType출국관리소</v>
          </cell>
          <cell r="B49" t="str">
            <v>buildingType</v>
          </cell>
          <cell r="C49" t="str">
            <v>출국관리소</v>
          </cell>
          <cell r="D49">
            <v>14</v>
          </cell>
        </row>
        <row r="50">
          <cell r="A50" t="str">
            <v>buildingType프랍_공업</v>
          </cell>
          <cell r="B50" t="str">
            <v>buildingType</v>
          </cell>
          <cell r="C50" t="str">
            <v>프랍_공업</v>
          </cell>
          <cell r="D50">
            <v>51</v>
          </cell>
        </row>
        <row r="51">
          <cell r="A51" t="str">
            <v>buildingType프랍_상업</v>
          </cell>
          <cell r="B51" t="str">
            <v>buildingType</v>
          </cell>
          <cell r="C51" t="str">
            <v>프랍_상업</v>
          </cell>
          <cell r="D51">
            <v>52</v>
          </cell>
        </row>
        <row r="52">
          <cell r="A52" t="str">
            <v>buildingType프랍_군사</v>
          </cell>
          <cell r="B52" t="str">
            <v>buildingType</v>
          </cell>
          <cell r="C52" t="str">
            <v>프랍_군사</v>
          </cell>
          <cell r="D52">
            <v>53</v>
          </cell>
        </row>
        <row r="53">
          <cell r="A53" t="str">
            <v>buildingType프랍_일반</v>
          </cell>
          <cell r="B53" t="str">
            <v>buildingType</v>
          </cell>
          <cell r="C53" t="str">
            <v>프랍_일반</v>
          </cell>
          <cell r="D53">
            <v>54</v>
          </cell>
        </row>
        <row r="54">
          <cell r="A54" t="str">
            <v>iconFrame긍정</v>
          </cell>
          <cell r="B54" t="str">
            <v>iconFrame</v>
          </cell>
          <cell r="C54" t="str">
            <v>긍정</v>
          </cell>
          <cell r="D54">
            <v>0</v>
          </cell>
        </row>
        <row r="55">
          <cell r="A55" t="str">
            <v>iconFrame부정</v>
          </cell>
          <cell r="B55" t="str">
            <v>iconFrame</v>
          </cell>
          <cell r="C55" t="str">
            <v>부정</v>
          </cell>
          <cell r="D55">
            <v>1</v>
          </cell>
        </row>
        <row r="56">
          <cell r="A56" t="str">
            <v>languageGroup이탈릭어파</v>
          </cell>
          <cell r="B56" t="str">
            <v>languageGroup</v>
          </cell>
          <cell r="C56" t="str">
            <v>이탈릭어파</v>
          </cell>
          <cell r="D56">
            <v>0</v>
          </cell>
        </row>
        <row r="57">
          <cell r="A57" t="str">
            <v>languageGroup게르만어파</v>
          </cell>
          <cell r="B57" t="str">
            <v>languageGroup</v>
          </cell>
          <cell r="C57" t="str">
            <v>게르만어파</v>
          </cell>
          <cell r="D57">
            <v>1</v>
          </cell>
        </row>
        <row r="58">
          <cell r="A58" t="str">
            <v>languageGroup투르크어족</v>
          </cell>
          <cell r="B58" t="str">
            <v>languageGroup</v>
          </cell>
          <cell r="C58" t="str">
            <v>투르크어족</v>
          </cell>
          <cell r="D58">
            <v>2</v>
          </cell>
        </row>
        <row r="59">
          <cell r="A59" t="str">
            <v>languageGroup슬라브어파</v>
          </cell>
          <cell r="B59" t="str">
            <v>languageGroup</v>
          </cell>
          <cell r="C59" t="str">
            <v>슬라브어파</v>
          </cell>
          <cell r="D59">
            <v>3</v>
          </cell>
        </row>
        <row r="60">
          <cell r="A60" t="str">
            <v>languageGroup아프리카아시아어족</v>
          </cell>
          <cell r="B60" t="str">
            <v>languageGroup</v>
          </cell>
          <cell r="C60" t="str">
            <v>아프리카아시아어족</v>
          </cell>
          <cell r="D60">
            <v>4</v>
          </cell>
        </row>
        <row r="61">
          <cell r="A61" t="str">
            <v>languageGroup인도이란어파</v>
          </cell>
          <cell r="B61" t="str">
            <v>languageGroup</v>
          </cell>
          <cell r="C61" t="str">
            <v>인도이란어파</v>
          </cell>
          <cell r="D61">
            <v>5</v>
          </cell>
        </row>
        <row r="62">
          <cell r="A62" t="str">
            <v>languageGroup아메리카인디언제어</v>
          </cell>
          <cell r="B62" t="str">
            <v>languageGroup</v>
          </cell>
          <cell r="C62" t="str">
            <v>아메리카인디언제어</v>
          </cell>
          <cell r="D62">
            <v>6</v>
          </cell>
        </row>
        <row r="63">
          <cell r="A63" t="str">
            <v>languageGroup오스트로아시아어족</v>
          </cell>
          <cell r="B63" t="str">
            <v>languageGroup</v>
          </cell>
          <cell r="C63" t="str">
            <v>오스트로아시아어족</v>
          </cell>
          <cell r="D63">
            <v>7</v>
          </cell>
        </row>
        <row r="64">
          <cell r="A64" t="str">
            <v>languageGroup오스트로네시아어족</v>
          </cell>
          <cell r="B64" t="str">
            <v>languageGroup</v>
          </cell>
          <cell r="C64" t="str">
            <v>오스트로네시아어족</v>
          </cell>
          <cell r="D64">
            <v>8</v>
          </cell>
        </row>
        <row r="65">
          <cell r="A65" t="str">
            <v>languageGroup한장어족</v>
          </cell>
          <cell r="B65" t="str">
            <v>languageGroup</v>
          </cell>
          <cell r="C65" t="str">
            <v>한장어족</v>
          </cell>
          <cell r="D65">
            <v>9</v>
          </cell>
        </row>
        <row r="66">
          <cell r="A66" t="str">
            <v>languageGroup일본어족</v>
          </cell>
          <cell r="B66" t="str">
            <v>languageGroup</v>
          </cell>
          <cell r="C66" t="str">
            <v>일본어족</v>
          </cell>
          <cell r="D66">
            <v>10</v>
          </cell>
        </row>
        <row r="67">
          <cell r="A67" t="str">
            <v>languageGroup조선어족</v>
          </cell>
          <cell r="B67" t="str">
            <v>languageGroup</v>
          </cell>
          <cell r="C67" t="str">
            <v>조선어족</v>
          </cell>
          <cell r="D67">
            <v>11</v>
          </cell>
        </row>
        <row r="68">
          <cell r="A68" t="str">
            <v>SelectAbleLocalNpcMate미사용</v>
          </cell>
          <cell r="B68" t="str">
            <v>SelectAbleLocalNpcMate</v>
          </cell>
          <cell r="C68" t="str">
            <v>미사용</v>
          </cell>
          <cell r="D68">
            <v>0</v>
          </cell>
        </row>
        <row r="69">
          <cell r="A69" t="str">
            <v>SelectAbleLocalNpcMate사용</v>
          </cell>
          <cell r="B69" t="str">
            <v>SelectAbleLocalNpcMate</v>
          </cell>
          <cell r="C69" t="str">
            <v>사용</v>
          </cell>
          <cell r="D69">
            <v>1</v>
          </cell>
        </row>
        <row r="70">
          <cell r="A70" t="str">
            <v>shipSize공용</v>
          </cell>
          <cell r="B70" t="str">
            <v>shipSize</v>
          </cell>
          <cell r="C70" t="str">
            <v>공용</v>
          </cell>
          <cell r="D70">
            <v>0</v>
          </cell>
        </row>
        <row r="71">
          <cell r="A71" t="str">
            <v>shipSize초소형</v>
          </cell>
          <cell r="B71" t="str">
            <v>shipSize</v>
          </cell>
          <cell r="C71" t="str">
            <v>초소형</v>
          </cell>
          <cell r="D71">
            <v>1</v>
          </cell>
        </row>
        <row r="72">
          <cell r="A72" t="str">
            <v>shipSize소형</v>
          </cell>
          <cell r="B72" t="str">
            <v>shipSize</v>
          </cell>
          <cell r="C72" t="str">
            <v>소형</v>
          </cell>
          <cell r="D72">
            <v>2</v>
          </cell>
        </row>
        <row r="73">
          <cell r="A73" t="str">
            <v>shipSize중형</v>
          </cell>
          <cell r="B73" t="str">
            <v>shipSize</v>
          </cell>
          <cell r="C73" t="str">
            <v>중형</v>
          </cell>
          <cell r="D73">
            <v>3</v>
          </cell>
        </row>
        <row r="74">
          <cell r="A74" t="str">
            <v>shipSize대형</v>
          </cell>
          <cell r="B74" t="str">
            <v>shipSize</v>
          </cell>
          <cell r="C74" t="str">
            <v>대형</v>
          </cell>
          <cell r="D74">
            <v>4</v>
          </cell>
        </row>
        <row r="75">
          <cell r="A75" t="str">
            <v>shipSize초대형</v>
          </cell>
          <cell r="B75" t="str">
            <v>shipSize</v>
          </cell>
          <cell r="C75" t="str">
            <v>초대형</v>
          </cell>
          <cell r="D75">
            <v>5</v>
          </cell>
        </row>
        <row r="76">
          <cell r="A76" t="str">
            <v>shipslotGradeD</v>
          </cell>
          <cell r="B76" t="str">
            <v>shipslotGrade</v>
          </cell>
          <cell r="C76" t="str">
            <v>D</v>
          </cell>
          <cell r="D76">
            <v>1</v>
          </cell>
        </row>
        <row r="77">
          <cell r="A77" t="str">
            <v>shipslotGradeC</v>
          </cell>
          <cell r="B77" t="str">
            <v>shipslotGrade</v>
          </cell>
          <cell r="C77" t="str">
            <v>C</v>
          </cell>
          <cell r="D77">
            <v>2</v>
          </cell>
        </row>
        <row r="78">
          <cell r="A78" t="str">
            <v>shipslotGradeB</v>
          </cell>
          <cell r="B78" t="str">
            <v>shipslotGrade</v>
          </cell>
          <cell r="C78" t="str">
            <v>B</v>
          </cell>
          <cell r="D78">
            <v>3</v>
          </cell>
        </row>
        <row r="79">
          <cell r="A79" t="str">
            <v>shipslotGradeA</v>
          </cell>
          <cell r="B79" t="str">
            <v>shipslotGrade</v>
          </cell>
          <cell r="C79" t="str">
            <v>A</v>
          </cell>
          <cell r="D79">
            <v>4</v>
          </cell>
        </row>
        <row r="80">
          <cell r="A80" t="str">
            <v>shipslotGradeS</v>
          </cell>
          <cell r="B80" t="str">
            <v>shipslotGrade</v>
          </cell>
          <cell r="C80" t="str">
            <v>S</v>
          </cell>
          <cell r="D80">
            <v>5</v>
          </cell>
        </row>
        <row r="81">
          <cell r="A81" t="str">
            <v>shipslotGradeSS</v>
          </cell>
          <cell r="B81" t="str">
            <v>shipslotGrade</v>
          </cell>
          <cell r="C81" t="str">
            <v>SS</v>
          </cell>
          <cell r="D81">
            <v>6</v>
          </cell>
        </row>
        <row r="82">
          <cell r="A82" t="str">
            <v>shipslotGradeEvent</v>
          </cell>
          <cell r="B82" t="str">
            <v>shipslotGrade</v>
          </cell>
          <cell r="C82" t="str">
            <v>Event</v>
          </cell>
          <cell r="D82">
            <v>8</v>
          </cell>
        </row>
        <row r="83">
          <cell r="A83" t="str">
            <v>weaponGradeD</v>
          </cell>
          <cell r="B83" t="str">
            <v>weaponGrade</v>
          </cell>
          <cell r="C83" t="str">
            <v>D</v>
          </cell>
          <cell r="D83">
            <v>0</v>
          </cell>
        </row>
        <row r="84">
          <cell r="A84" t="str">
            <v>weaponGradeC</v>
          </cell>
          <cell r="B84" t="str">
            <v>weaponGrade</v>
          </cell>
          <cell r="C84" t="str">
            <v>C</v>
          </cell>
          <cell r="D84">
            <v>1</v>
          </cell>
        </row>
        <row r="85">
          <cell r="A85" t="str">
            <v>weaponGradeB</v>
          </cell>
          <cell r="B85" t="str">
            <v>weaponGrade</v>
          </cell>
          <cell r="C85" t="str">
            <v>B</v>
          </cell>
          <cell r="D85">
            <v>2</v>
          </cell>
        </row>
        <row r="86">
          <cell r="A86" t="str">
            <v>weaponGradeA</v>
          </cell>
          <cell r="B86" t="str">
            <v>weaponGrade</v>
          </cell>
          <cell r="C86" t="str">
            <v>A</v>
          </cell>
          <cell r="D86">
            <v>3</v>
          </cell>
        </row>
        <row r="87">
          <cell r="A87" t="str">
            <v>weaponGradeS</v>
          </cell>
          <cell r="B87" t="str">
            <v>weaponGrade</v>
          </cell>
          <cell r="C87" t="str">
            <v>S</v>
          </cell>
          <cell r="D87">
            <v>4</v>
          </cell>
        </row>
        <row r="88">
          <cell r="A88" t="str">
            <v>hatGradeD</v>
          </cell>
          <cell r="B88" t="str">
            <v>hatGrade</v>
          </cell>
          <cell r="C88" t="str">
            <v>D</v>
          </cell>
          <cell r="D88">
            <v>0</v>
          </cell>
        </row>
        <row r="89">
          <cell r="A89" t="str">
            <v>hatGradeC</v>
          </cell>
          <cell r="B89" t="str">
            <v>hatGrade</v>
          </cell>
          <cell r="C89" t="str">
            <v>C</v>
          </cell>
          <cell r="D89">
            <v>1</v>
          </cell>
        </row>
        <row r="90">
          <cell r="A90" t="str">
            <v>hatGradeB</v>
          </cell>
          <cell r="B90" t="str">
            <v>hatGrade</v>
          </cell>
          <cell r="C90" t="str">
            <v>B</v>
          </cell>
          <cell r="D90">
            <v>2</v>
          </cell>
        </row>
        <row r="91">
          <cell r="A91" t="str">
            <v>hatGradeA</v>
          </cell>
          <cell r="B91" t="str">
            <v>hatGrade</v>
          </cell>
          <cell r="C91" t="str">
            <v>A</v>
          </cell>
          <cell r="D91">
            <v>3</v>
          </cell>
        </row>
        <row r="92">
          <cell r="A92" t="str">
            <v>hatGradeS</v>
          </cell>
          <cell r="B92" t="str">
            <v>hatGrade</v>
          </cell>
          <cell r="C92" t="str">
            <v>S</v>
          </cell>
          <cell r="D92">
            <v>4</v>
          </cell>
        </row>
        <row r="93">
          <cell r="A93" t="str">
            <v>bodyGradeD</v>
          </cell>
          <cell r="B93" t="str">
            <v>bodyGrade</v>
          </cell>
          <cell r="C93" t="str">
            <v>D</v>
          </cell>
          <cell r="D93">
            <v>0</v>
          </cell>
        </row>
        <row r="94">
          <cell r="A94" t="str">
            <v>bodyGradeC</v>
          </cell>
          <cell r="B94" t="str">
            <v>bodyGrade</v>
          </cell>
          <cell r="C94" t="str">
            <v>C</v>
          </cell>
          <cell r="D94">
            <v>1</v>
          </cell>
        </row>
        <row r="95">
          <cell r="A95" t="str">
            <v>bodyGradeB</v>
          </cell>
          <cell r="B95" t="str">
            <v>bodyGrade</v>
          </cell>
          <cell r="C95" t="str">
            <v>B</v>
          </cell>
          <cell r="D95">
            <v>2</v>
          </cell>
        </row>
        <row r="96">
          <cell r="A96" t="str">
            <v>bodyGradeA</v>
          </cell>
          <cell r="B96" t="str">
            <v>bodyGrade</v>
          </cell>
          <cell r="C96" t="str">
            <v>A</v>
          </cell>
          <cell r="D96">
            <v>3</v>
          </cell>
        </row>
        <row r="97">
          <cell r="A97" t="str">
            <v>bodyGradeS</v>
          </cell>
          <cell r="B97" t="str">
            <v>bodyGrade</v>
          </cell>
          <cell r="C97" t="str">
            <v>S</v>
          </cell>
          <cell r="D97">
            <v>4</v>
          </cell>
        </row>
        <row r="98">
          <cell r="A98" t="str">
            <v>activationTimingType타일 입장</v>
          </cell>
          <cell r="B98" t="str">
            <v>activationTimingType</v>
          </cell>
          <cell r="C98" t="str">
            <v>타일 입장</v>
          </cell>
          <cell r="D98">
            <v>0</v>
          </cell>
        </row>
        <row r="99">
          <cell r="A99" t="str">
            <v>activationTimingType페이즈 종료</v>
          </cell>
          <cell r="B99" t="str">
            <v>activationTimingType</v>
          </cell>
          <cell r="C99" t="str">
            <v>페이즈 종료</v>
          </cell>
          <cell r="D99">
            <v>1</v>
          </cell>
        </row>
        <row r="100">
          <cell r="A100" t="str">
            <v>useTypeadd</v>
          </cell>
          <cell r="B100" t="str">
            <v>useType</v>
          </cell>
          <cell r="C100" t="str">
            <v>add</v>
          </cell>
          <cell r="D100">
            <v>1</v>
          </cell>
        </row>
        <row r="101">
          <cell r="A101" t="str">
            <v>useTyperemove</v>
          </cell>
          <cell r="B101" t="str">
            <v>useType</v>
          </cell>
          <cell r="C101" t="str">
            <v>remove</v>
          </cell>
          <cell r="D101">
            <v>2</v>
          </cell>
        </row>
        <row r="102">
          <cell r="A102" t="str">
            <v>weaponType도끼</v>
          </cell>
          <cell r="B102" t="str">
            <v>weaponType</v>
          </cell>
          <cell r="C102" t="str">
            <v>도끼</v>
          </cell>
          <cell r="D102">
            <v>0</v>
          </cell>
        </row>
        <row r="103">
          <cell r="A103" t="str">
            <v>weaponType한손검(베기)</v>
          </cell>
          <cell r="B103" t="str">
            <v>weaponType</v>
          </cell>
          <cell r="C103" t="str">
            <v>한손검(베기)</v>
          </cell>
          <cell r="D103">
            <v>1</v>
          </cell>
        </row>
        <row r="104">
          <cell r="A104" t="str">
            <v>weaponType활</v>
          </cell>
          <cell r="B104" t="str">
            <v>weaponType</v>
          </cell>
          <cell r="C104" t="str">
            <v>활</v>
          </cell>
          <cell r="D104">
            <v>2</v>
          </cell>
        </row>
        <row r="105">
          <cell r="A105" t="str">
            <v>weaponType석궁</v>
          </cell>
          <cell r="B105" t="str">
            <v>weaponType</v>
          </cell>
          <cell r="C105" t="str">
            <v>석궁</v>
          </cell>
          <cell r="D105">
            <v>3</v>
          </cell>
        </row>
        <row r="106">
          <cell r="A106" t="str">
            <v>weaponType권총</v>
          </cell>
          <cell r="B106" t="str">
            <v>weaponType</v>
          </cell>
          <cell r="C106" t="str">
            <v>권총</v>
          </cell>
          <cell r="D106">
            <v>4</v>
          </cell>
        </row>
        <row r="107">
          <cell r="A107" t="str">
            <v>weaponType장총</v>
          </cell>
          <cell r="B107" t="str">
            <v>weaponType</v>
          </cell>
          <cell r="C107" t="str">
            <v>장총</v>
          </cell>
          <cell r="D107">
            <v>5</v>
          </cell>
        </row>
        <row r="108">
          <cell r="A108" t="str">
            <v>weaponType창</v>
          </cell>
          <cell r="B108" t="str">
            <v>weaponType</v>
          </cell>
          <cell r="C108" t="str">
            <v>창</v>
          </cell>
          <cell r="D108">
            <v>6</v>
          </cell>
        </row>
        <row r="109">
          <cell r="A109" t="str">
            <v>weaponType한손검(찌르기)</v>
          </cell>
          <cell r="B109" t="str">
            <v>weaponType</v>
          </cell>
          <cell r="C109" t="str">
            <v>한손검(찌르기)</v>
          </cell>
          <cell r="D109">
            <v>7</v>
          </cell>
        </row>
        <row r="110">
          <cell r="A110" t="str">
            <v>weaponType양손검</v>
          </cell>
          <cell r="B110" t="str">
            <v>weaponType</v>
          </cell>
          <cell r="C110" t="str">
            <v>양손검</v>
          </cell>
          <cell r="D110">
            <v>8</v>
          </cell>
        </row>
        <row r="111">
          <cell r="A111" t="str">
            <v>weaponType쌍검</v>
          </cell>
          <cell r="B111" t="str">
            <v>weaponType</v>
          </cell>
          <cell r="C111" t="str">
            <v>쌍검</v>
          </cell>
          <cell r="D111">
            <v>9</v>
          </cell>
        </row>
        <row r="112">
          <cell r="A112" t="str">
            <v>weaponType도구</v>
          </cell>
          <cell r="B112" t="str">
            <v>weaponType</v>
          </cell>
          <cell r="C112" t="str">
            <v>도구</v>
          </cell>
          <cell r="D112">
            <v>10</v>
          </cell>
        </row>
        <row r="113">
          <cell r="A113" t="str">
            <v>armorType천갑옷</v>
          </cell>
          <cell r="B113" t="str">
            <v>armorType</v>
          </cell>
          <cell r="C113" t="str">
            <v>천갑옷</v>
          </cell>
          <cell r="D113">
            <v>0</v>
          </cell>
        </row>
        <row r="114">
          <cell r="A114" t="str">
            <v>armorType경갑</v>
          </cell>
          <cell r="B114" t="str">
            <v>armorType</v>
          </cell>
          <cell r="C114" t="str">
            <v>경갑</v>
          </cell>
          <cell r="D114">
            <v>1</v>
          </cell>
        </row>
        <row r="115">
          <cell r="A115" t="str">
            <v>armorType중갑</v>
          </cell>
          <cell r="B115" t="str">
            <v>armorType</v>
          </cell>
          <cell r="C115" t="str">
            <v>중갑</v>
          </cell>
          <cell r="D115">
            <v>2</v>
          </cell>
        </row>
        <row r="116">
          <cell r="A116" t="str">
            <v>slotType배치 가능 선실</v>
          </cell>
          <cell r="B116" t="str">
            <v>slotType</v>
          </cell>
          <cell r="C116" t="str">
            <v>배치 가능 선실</v>
          </cell>
          <cell r="D116">
            <v>1</v>
          </cell>
        </row>
        <row r="117">
          <cell r="A117" t="str">
            <v>slotType배치 불가 선실</v>
          </cell>
          <cell r="B117" t="str">
            <v>slotType</v>
          </cell>
          <cell r="C117" t="str">
            <v>배치 불가 선실</v>
          </cell>
          <cell r="D117">
            <v>2</v>
          </cell>
        </row>
        <row r="118">
          <cell r="A118" t="str">
            <v>slotType선수상</v>
          </cell>
          <cell r="B118" t="str">
            <v>slotType</v>
          </cell>
          <cell r="C118" t="str">
            <v>선수상</v>
          </cell>
          <cell r="D118">
            <v>3</v>
          </cell>
        </row>
        <row r="119">
          <cell r="A119" t="str">
            <v>slotType돛</v>
          </cell>
          <cell r="B119" t="str">
            <v>slotType</v>
          </cell>
          <cell r="C119" t="str">
            <v>돛</v>
          </cell>
          <cell r="D119">
            <v>4</v>
          </cell>
        </row>
        <row r="120">
          <cell r="A120" t="str">
            <v>slotType충각</v>
          </cell>
          <cell r="B120" t="str">
            <v>slotType</v>
          </cell>
          <cell r="C120" t="str">
            <v>충각</v>
          </cell>
          <cell r="D120">
            <v>5</v>
          </cell>
        </row>
        <row r="121">
          <cell r="A121" t="str">
            <v>slotType특수</v>
          </cell>
          <cell r="B121" t="str">
            <v>slotType</v>
          </cell>
          <cell r="C121" t="str">
            <v>특수</v>
          </cell>
          <cell r="D121">
            <v>6</v>
          </cell>
        </row>
        <row r="122">
          <cell r="A122" t="str">
            <v>slotType포</v>
          </cell>
          <cell r="B122" t="str">
            <v>slotType</v>
          </cell>
          <cell r="C122" t="str">
            <v>포</v>
          </cell>
          <cell r="D122">
            <v>7</v>
          </cell>
        </row>
        <row r="123">
          <cell r="A123" t="str">
            <v>slotType장갑</v>
          </cell>
          <cell r="B123" t="str">
            <v>slotType</v>
          </cell>
          <cell r="C123" t="str">
            <v>장갑</v>
          </cell>
          <cell r="D123">
            <v>8</v>
          </cell>
        </row>
        <row r="124">
          <cell r="A124" t="str">
            <v>slotType닻</v>
          </cell>
          <cell r="B124" t="str">
            <v>slotType</v>
          </cell>
          <cell r="C124" t="str">
            <v>닻</v>
          </cell>
          <cell r="D124">
            <v>9</v>
          </cell>
        </row>
        <row r="125">
          <cell r="A125" t="str">
            <v>slotType종업원 선실</v>
          </cell>
          <cell r="B125" t="str">
            <v>slotType</v>
          </cell>
          <cell r="C125" t="str">
            <v>종업원 선실</v>
          </cell>
          <cell r="D125">
            <v>10</v>
          </cell>
        </row>
        <row r="126">
          <cell r="A126" t="str">
            <v>slotType이벤트 선실</v>
          </cell>
          <cell r="B126" t="str">
            <v>slotType</v>
          </cell>
          <cell r="C126" t="str">
            <v>이벤트 선실</v>
          </cell>
          <cell r="D126">
            <v>11</v>
          </cell>
        </row>
        <row r="127">
          <cell r="A127" t="str">
            <v>actionType일반</v>
          </cell>
          <cell r="B127" t="str">
            <v>actionType</v>
          </cell>
          <cell r="C127" t="str">
            <v>일반</v>
          </cell>
          <cell r="D127">
            <v>1</v>
          </cell>
        </row>
        <row r="128">
          <cell r="A128" t="str">
            <v>actionType특수</v>
          </cell>
          <cell r="B128" t="str">
            <v>actionType</v>
          </cell>
          <cell r="C128" t="str">
            <v>특수</v>
          </cell>
          <cell r="D128">
            <v>2</v>
          </cell>
        </row>
        <row r="129">
          <cell r="A129" t="str">
            <v>specialActionTypenaviPoint 로 이동</v>
          </cell>
          <cell r="B129" t="str">
            <v>specialActionType</v>
          </cell>
          <cell r="C129" t="str">
            <v>naviPoint 로 이동</v>
          </cell>
          <cell r="D129">
            <v>1</v>
          </cell>
        </row>
        <row r="130">
          <cell r="A130" t="str">
            <v>specialActionTypeTown ID 로 입항</v>
          </cell>
          <cell r="B130" t="str">
            <v>specialActionType</v>
          </cell>
          <cell r="C130" t="str">
            <v>Town ID 로 입항</v>
          </cell>
          <cell r="D130">
            <v>2</v>
          </cell>
        </row>
        <row r="131">
          <cell r="A131" t="str">
            <v>specialActionTypeworldbuffId 랜덤 선택</v>
          </cell>
          <cell r="B131" t="str">
            <v>specialActionType</v>
          </cell>
          <cell r="C131" t="str">
            <v>worldbuffId 랜덤 선택</v>
          </cell>
          <cell r="D131">
            <v>3</v>
          </cell>
        </row>
        <row r="132">
          <cell r="A132" t="str">
            <v>townSize소항구</v>
          </cell>
          <cell r="B132" t="str">
            <v>townSize</v>
          </cell>
          <cell r="C132" t="str">
            <v>소항구</v>
          </cell>
          <cell r="D132">
            <v>1</v>
          </cell>
        </row>
        <row r="133">
          <cell r="A133" t="str">
            <v>townSize중항구</v>
          </cell>
          <cell r="B133" t="str">
            <v>townSize</v>
          </cell>
          <cell r="C133" t="str">
            <v>중항구</v>
          </cell>
          <cell r="D133">
            <v>2</v>
          </cell>
        </row>
        <row r="134">
          <cell r="A134" t="str">
            <v>townSize대항구</v>
          </cell>
          <cell r="B134" t="str">
            <v>townSize</v>
          </cell>
          <cell r="C134" t="str">
            <v>대항구</v>
          </cell>
          <cell r="D134">
            <v>3</v>
          </cell>
        </row>
        <row r="135">
          <cell r="A135" t="str">
            <v>ownType자유항</v>
          </cell>
          <cell r="B135" t="str">
            <v>ownType</v>
          </cell>
          <cell r="C135" t="str">
            <v>자유항</v>
          </cell>
          <cell r="D135">
            <v>0</v>
          </cell>
        </row>
        <row r="136">
          <cell r="A136" t="str">
            <v>ownType본거지</v>
          </cell>
          <cell r="B136" t="str">
            <v>ownType</v>
          </cell>
          <cell r="C136" t="str">
            <v>본거지</v>
          </cell>
          <cell r="D136">
            <v>1</v>
          </cell>
        </row>
        <row r="137">
          <cell r="A137" t="str">
            <v>ownType영지</v>
          </cell>
          <cell r="B137" t="str">
            <v>ownType</v>
          </cell>
          <cell r="C137" t="str">
            <v>영지</v>
          </cell>
          <cell r="D137">
            <v>2</v>
          </cell>
        </row>
        <row r="138">
          <cell r="A138" t="str">
            <v>statType없음</v>
          </cell>
          <cell r="B138" t="str">
            <v>statType</v>
          </cell>
          <cell r="C138" t="str">
            <v>없음</v>
          </cell>
          <cell r="D138">
            <v>0</v>
          </cell>
        </row>
        <row r="139">
          <cell r="A139" t="str">
            <v>statType최소 선원수</v>
          </cell>
          <cell r="B139" t="str">
            <v>statType</v>
          </cell>
          <cell r="C139" t="str">
            <v>최소 선원수</v>
          </cell>
          <cell r="D139">
            <v>1</v>
          </cell>
        </row>
        <row r="140">
          <cell r="A140" t="str">
            <v>statType최대 선원수</v>
          </cell>
          <cell r="B140" t="str">
            <v>statType</v>
          </cell>
          <cell r="C140" t="str">
            <v>최대 선원수</v>
          </cell>
          <cell r="D140">
            <v>2</v>
          </cell>
        </row>
        <row r="141">
          <cell r="A141" t="str">
            <v>statType내구도</v>
          </cell>
          <cell r="B141" t="str">
            <v>statType</v>
          </cell>
          <cell r="C141" t="str">
            <v>내구도</v>
          </cell>
          <cell r="D141">
            <v>3</v>
          </cell>
        </row>
        <row r="142">
          <cell r="A142" t="str">
            <v>statType적재량</v>
          </cell>
          <cell r="B142" t="str">
            <v>statType</v>
          </cell>
          <cell r="C142" t="str">
            <v>적재량</v>
          </cell>
          <cell r="D142">
            <v>4</v>
          </cell>
        </row>
        <row r="143">
          <cell r="A143" t="str">
            <v>statType포격 위력</v>
          </cell>
          <cell r="B143" t="str">
            <v>statType</v>
          </cell>
          <cell r="C143" t="str">
            <v>포격 위력</v>
          </cell>
          <cell r="D143">
            <v>5</v>
          </cell>
        </row>
        <row r="144">
          <cell r="A144" t="str">
            <v>statType조력</v>
          </cell>
          <cell r="B144" t="str">
            <v>statType</v>
          </cell>
          <cell r="C144" t="str">
            <v>조력</v>
          </cell>
          <cell r="D144">
            <v>6</v>
          </cell>
        </row>
        <row r="145">
          <cell r="A145" t="str">
            <v>statType세로돛</v>
          </cell>
          <cell r="B145" t="str">
            <v>statType</v>
          </cell>
          <cell r="C145" t="str">
            <v>세로돛</v>
          </cell>
          <cell r="D145">
            <v>7</v>
          </cell>
        </row>
        <row r="146">
          <cell r="A146" t="str">
            <v>statType가로돛</v>
          </cell>
          <cell r="B146" t="str">
            <v>statType</v>
          </cell>
          <cell r="C146" t="str">
            <v>가로돛</v>
          </cell>
          <cell r="D146">
            <v>8</v>
          </cell>
        </row>
        <row r="147">
          <cell r="A147" t="str">
            <v>statType내파</v>
          </cell>
          <cell r="B147" t="str">
            <v>statType</v>
          </cell>
          <cell r="C147" t="str">
            <v>내파</v>
          </cell>
          <cell r="D147">
            <v>9</v>
          </cell>
        </row>
        <row r="148">
          <cell r="A148" t="str">
            <v>statType장갑</v>
          </cell>
          <cell r="B148" t="str">
            <v>statType</v>
          </cell>
          <cell r="C148" t="str">
            <v>장갑</v>
          </cell>
          <cell r="D148">
            <v>10</v>
          </cell>
        </row>
        <row r="149">
          <cell r="A149" t="str">
            <v>statType통솔</v>
          </cell>
          <cell r="B149" t="str">
            <v>statType</v>
          </cell>
          <cell r="C149" t="str">
            <v>통솔</v>
          </cell>
          <cell r="D149">
            <v>101</v>
          </cell>
        </row>
        <row r="150">
          <cell r="A150" t="str">
            <v>statType무력</v>
          </cell>
          <cell r="B150" t="str">
            <v>statType</v>
          </cell>
          <cell r="C150" t="str">
            <v>무력</v>
          </cell>
          <cell r="D150">
            <v>102</v>
          </cell>
        </row>
        <row r="151">
          <cell r="A151" t="str">
            <v>statType직감</v>
          </cell>
          <cell r="B151" t="str">
            <v>statType</v>
          </cell>
          <cell r="C151" t="str">
            <v>직감</v>
          </cell>
          <cell r="D151">
            <v>103</v>
          </cell>
        </row>
        <row r="152">
          <cell r="A152" t="str">
            <v>statType협상</v>
          </cell>
          <cell r="B152" t="str">
            <v>statType</v>
          </cell>
          <cell r="C152" t="str">
            <v>협상</v>
          </cell>
          <cell r="D152">
            <v>104</v>
          </cell>
        </row>
        <row r="153">
          <cell r="A153" t="str">
            <v>statType지식</v>
          </cell>
          <cell r="B153" t="str">
            <v>statType</v>
          </cell>
          <cell r="C153" t="str">
            <v>지식</v>
          </cell>
          <cell r="D153">
            <v>105</v>
          </cell>
        </row>
        <row r="154">
          <cell r="A154" t="str">
            <v>statType매력</v>
          </cell>
          <cell r="B154" t="str">
            <v>statType</v>
          </cell>
          <cell r="C154" t="str">
            <v>매력</v>
          </cell>
          <cell r="D154">
            <v>106</v>
          </cell>
        </row>
        <row r="155">
          <cell r="A155" t="str">
            <v>statType운</v>
          </cell>
          <cell r="B155" t="str">
            <v>statType</v>
          </cell>
          <cell r="C155" t="str">
            <v>운</v>
          </cell>
          <cell r="D155">
            <v>107</v>
          </cell>
        </row>
        <row r="156">
          <cell r="A156" t="str">
            <v>statType쇄빙</v>
          </cell>
          <cell r="B156" t="str">
            <v>statType</v>
          </cell>
          <cell r="C156" t="str">
            <v>쇄빙</v>
          </cell>
          <cell r="D156">
            <v>201</v>
          </cell>
        </row>
        <row r="157">
          <cell r="A157" t="str">
            <v>statType돌파</v>
          </cell>
          <cell r="B157" t="str">
            <v>statType</v>
          </cell>
          <cell r="C157" t="str">
            <v>돌파</v>
          </cell>
          <cell r="D157">
            <v>202</v>
          </cell>
        </row>
        <row r="158">
          <cell r="A158" t="str">
            <v>statType경험치</v>
          </cell>
          <cell r="B158" t="str">
            <v>statType</v>
          </cell>
          <cell r="C158" t="str">
            <v>경험치</v>
          </cell>
          <cell r="D158">
            <v>203</v>
          </cell>
        </row>
        <row r="159">
          <cell r="A159" t="str">
            <v>statType경험치%</v>
          </cell>
          <cell r="B159" t="str">
            <v>statType</v>
          </cell>
          <cell r="C159" t="str">
            <v>경험치%</v>
          </cell>
          <cell r="D159">
            <v>204</v>
          </cell>
        </row>
        <row r="160">
          <cell r="A160" t="str">
            <v>statType발전</v>
          </cell>
          <cell r="B160" t="str">
            <v>statType</v>
          </cell>
          <cell r="C160" t="str">
            <v>발전</v>
          </cell>
          <cell r="D160">
            <v>205</v>
          </cell>
        </row>
        <row r="161">
          <cell r="A161" t="str">
            <v>statType발전%</v>
          </cell>
          <cell r="B161" t="str">
            <v>statType</v>
          </cell>
          <cell r="C161" t="str">
            <v>발전%</v>
          </cell>
          <cell r="D161">
            <v>206</v>
          </cell>
        </row>
        <row r="162">
          <cell r="A162" t="str">
            <v>statType명성</v>
          </cell>
          <cell r="B162" t="str">
            <v>statType</v>
          </cell>
          <cell r="C162" t="str">
            <v>명성</v>
          </cell>
          <cell r="D162">
            <v>207</v>
          </cell>
        </row>
        <row r="163">
          <cell r="A163" t="str">
            <v>statType명성%</v>
          </cell>
          <cell r="B163" t="str">
            <v>statType</v>
          </cell>
          <cell r="C163" t="str">
            <v>명성%</v>
          </cell>
          <cell r="D163">
            <v>208</v>
          </cell>
        </row>
        <row r="164">
          <cell r="A164" t="str">
            <v>statType충파 위력</v>
          </cell>
          <cell r="B164" t="str">
            <v>statType</v>
          </cell>
          <cell r="C164" t="str">
            <v>충파 위력</v>
          </cell>
          <cell r="D164">
            <v>301</v>
          </cell>
        </row>
        <row r="165">
          <cell r="A165" t="str">
            <v>statType관통력</v>
          </cell>
          <cell r="B165" t="str">
            <v>statType</v>
          </cell>
          <cell r="C165" t="str">
            <v>관통력</v>
          </cell>
          <cell r="D165">
            <v>302</v>
          </cell>
        </row>
        <row r="166">
          <cell r="A166" t="str">
            <v>statType추가 장갑</v>
          </cell>
          <cell r="B166" t="str">
            <v>statType</v>
          </cell>
          <cell r="C166" t="str">
            <v>추가 장갑</v>
          </cell>
          <cell r="D166">
            <v>303</v>
          </cell>
        </row>
        <row r="167">
          <cell r="A167" t="str">
            <v>statType백병전 지원</v>
          </cell>
          <cell r="B167" t="str">
            <v>statType</v>
          </cell>
          <cell r="C167" t="str">
            <v>백병전 지원</v>
          </cell>
          <cell r="D167">
            <v>304</v>
          </cell>
        </row>
        <row r="168">
          <cell r="A168" t="str">
            <v>statType포격 최소 사거리</v>
          </cell>
          <cell r="B168" t="str">
            <v>statType</v>
          </cell>
          <cell r="C168" t="str">
            <v>포격 최소 사거리</v>
          </cell>
          <cell r="D168">
            <v>305</v>
          </cell>
        </row>
        <row r="169">
          <cell r="A169" t="str">
            <v>statType포격 최대 사거리</v>
          </cell>
          <cell r="B169" t="str">
            <v>statType</v>
          </cell>
          <cell r="C169" t="str">
            <v>포격 최대 사거리</v>
          </cell>
          <cell r="D169">
            <v>306</v>
          </cell>
        </row>
        <row r="170">
          <cell r="A170" t="str">
            <v>statType포격 최소 유효 사거리</v>
          </cell>
          <cell r="B170" t="str">
            <v>statType</v>
          </cell>
          <cell r="C170" t="str">
            <v>포격 최소 유효 사거리</v>
          </cell>
          <cell r="D170">
            <v>307</v>
          </cell>
        </row>
        <row r="171">
          <cell r="A171" t="str">
            <v>statType포격 최대 유효 사거리</v>
          </cell>
          <cell r="B171" t="str">
            <v>statType</v>
          </cell>
          <cell r="C171" t="str">
            <v>포격 최대 유효 사거리</v>
          </cell>
          <cell r="D171">
            <v>308</v>
          </cell>
        </row>
        <row r="172">
          <cell r="A172" t="str">
            <v>statType중심각</v>
          </cell>
          <cell r="B172" t="str">
            <v>statType</v>
          </cell>
          <cell r="C172" t="str">
            <v>중심각</v>
          </cell>
          <cell r="D172">
            <v>309</v>
          </cell>
        </row>
        <row r="173">
          <cell r="A173" t="str">
            <v>statType백병 위력</v>
          </cell>
          <cell r="B173" t="str">
            <v>statType</v>
          </cell>
          <cell r="C173" t="str">
            <v>백병 위력</v>
          </cell>
          <cell r="D173">
            <v>310</v>
          </cell>
        </row>
        <row r="174">
          <cell r="A174" t="str">
            <v>statType대인 방어력</v>
          </cell>
          <cell r="B174" t="str">
            <v>statType</v>
          </cell>
          <cell r="C174" t="str">
            <v>대인 방어력</v>
          </cell>
          <cell r="D174">
            <v>311</v>
          </cell>
        </row>
        <row r="175">
          <cell r="A175" t="str">
            <v>statType이동력</v>
          </cell>
          <cell r="B175" t="str">
            <v>statType</v>
          </cell>
          <cell r="C175" t="str">
            <v>이동력</v>
          </cell>
          <cell r="D175">
            <v>312</v>
          </cell>
        </row>
        <row r="176">
          <cell r="A176" t="str">
            <v>statType포격 공격력</v>
          </cell>
          <cell r="B176" t="str">
            <v>statType</v>
          </cell>
          <cell r="C176" t="str">
            <v>포격 공격력</v>
          </cell>
          <cell r="D176">
            <v>313</v>
          </cell>
        </row>
        <row r="177">
          <cell r="A177" t="str">
            <v>statType포격 방어력</v>
          </cell>
          <cell r="B177" t="str">
            <v>statType</v>
          </cell>
          <cell r="C177" t="str">
            <v>포격 방어력</v>
          </cell>
          <cell r="D177">
            <v>314</v>
          </cell>
        </row>
        <row r="178">
          <cell r="A178" t="str">
            <v>statType백병 공격력</v>
          </cell>
          <cell r="B178" t="str">
            <v>statType</v>
          </cell>
          <cell r="C178" t="str">
            <v>백병 공격력</v>
          </cell>
          <cell r="D178">
            <v>315</v>
          </cell>
        </row>
        <row r="179">
          <cell r="A179" t="str">
            <v>statType백병 방어력</v>
          </cell>
          <cell r="B179" t="str">
            <v>statType</v>
          </cell>
          <cell r="C179" t="str">
            <v>백병 방어력</v>
          </cell>
          <cell r="D179">
            <v>316</v>
          </cell>
        </row>
        <row r="180">
          <cell r="A180" t="str">
            <v>statType충파 공격력</v>
          </cell>
          <cell r="B180" t="str">
            <v>statType</v>
          </cell>
          <cell r="C180" t="str">
            <v>충파 공격력</v>
          </cell>
          <cell r="D180">
            <v>317</v>
          </cell>
        </row>
        <row r="181">
          <cell r="A181" t="str">
            <v>statType기동력</v>
          </cell>
          <cell r="B181" t="str">
            <v>statType</v>
          </cell>
          <cell r="C181" t="str">
            <v>기동력</v>
          </cell>
          <cell r="D181">
            <v>318</v>
          </cell>
        </row>
        <row r="182">
          <cell r="A182" t="str">
            <v>statType포격 명중</v>
          </cell>
          <cell r="B182" t="str">
            <v>statType</v>
          </cell>
          <cell r="C182" t="str">
            <v>포격 명중</v>
          </cell>
          <cell r="D182">
            <v>319</v>
          </cell>
        </row>
        <row r="183">
          <cell r="A183" t="str">
            <v>statType포격 치명타 발생</v>
          </cell>
          <cell r="B183" t="str">
            <v>statType</v>
          </cell>
          <cell r="C183" t="str">
            <v>포격 치명타 발생</v>
          </cell>
          <cell r="D183">
            <v>320</v>
          </cell>
        </row>
        <row r="184">
          <cell r="A184" t="str">
            <v>statType백병 명중</v>
          </cell>
          <cell r="B184" t="str">
            <v>statType</v>
          </cell>
          <cell r="C184" t="str">
            <v>백병 명중</v>
          </cell>
          <cell r="D184">
            <v>321</v>
          </cell>
        </row>
        <row r="185">
          <cell r="A185" t="str">
            <v>statType백병 치명타 발생</v>
          </cell>
          <cell r="B185" t="str">
            <v>statType</v>
          </cell>
          <cell r="C185" t="str">
            <v>백병 치명타 발생</v>
          </cell>
          <cell r="D185">
            <v>322</v>
          </cell>
        </row>
        <row r="186">
          <cell r="A186" t="str">
            <v>statType결투 공격력</v>
          </cell>
          <cell r="B186" t="str">
            <v>statType</v>
          </cell>
          <cell r="C186" t="str">
            <v>결투 공격력</v>
          </cell>
          <cell r="D186">
            <v>323</v>
          </cell>
        </row>
        <row r="187">
          <cell r="A187" t="str">
            <v>statType결투 방어력</v>
          </cell>
          <cell r="B187" t="str">
            <v>statType</v>
          </cell>
          <cell r="C187" t="str">
            <v>결투 방어력</v>
          </cell>
          <cell r="D187">
            <v>324</v>
          </cell>
        </row>
        <row r="188">
          <cell r="A188" t="str">
            <v>statType결투 회피</v>
          </cell>
          <cell r="B188" t="str">
            <v>statType</v>
          </cell>
          <cell r="C188" t="str">
            <v>결투 회피</v>
          </cell>
          <cell r="D188">
            <v>325</v>
          </cell>
        </row>
        <row r="189">
          <cell r="A189" t="str">
            <v>statType수리 회복량</v>
          </cell>
          <cell r="B189" t="str">
            <v>statType</v>
          </cell>
          <cell r="C189" t="str">
            <v>수리 회복량</v>
          </cell>
          <cell r="D189">
            <v>326</v>
          </cell>
        </row>
        <row r="190">
          <cell r="A190" t="str">
            <v>statType수리 극대화 발생</v>
          </cell>
          <cell r="B190" t="str">
            <v>statType</v>
          </cell>
          <cell r="C190" t="str">
            <v>수리 극대화 발생</v>
          </cell>
          <cell r="D190">
            <v>327</v>
          </cell>
        </row>
        <row r="191">
          <cell r="A191" t="str">
            <v>statType자재 소모량</v>
          </cell>
          <cell r="B191" t="str">
            <v>statType</v>
          </cell>
          <cell r="C191" t="str">
            <v>자재 소모량</v>
          </cell>
          <cell r="D191">
            <v>328</v>
          </cell>
        </row>
        <row r="192">
          <cell r="A192" t="str">
            <v>statType의술 회복량</v>
          </cell>
          <cell r="B192" t="str">
            <v>statType</v>
          </cell>
          <cell r="C192" t="str">
            <v>의술 회복량</v>
          </cell>
          <cell r="D192">
            <v>329</v>
          </cell>
        </row>
        <row r="193">
          <cell r="A193" t="str">
            <v>statType의술 극대화 발생</v>
          </cell>
          <cell r="B193" t="str">
            <v>statType</v>
          </cell>
          <cell r="C193" t="str">
            <v>의술 극대화 발생</v>
          </cell>
          <cell r="D193">
            <v>330</v>
          </cell>
        </row>
        <row r="194">
          <cell r="A194" t="str">
            <v>statType물 소모량</v>
          </cell>
          <cell r="B194" t="str">
            <v>statType</v>
          </cell>
          <cell r="C194" t="str">
            <v>물 소모량</v>
          </cell>
          <cell r="D194">
            <v>331</v>
          </cell>
        </row>
        <row r="195">
          <cell r="A195" t="str">
            <v>statType항복 성공률</v>
          </cell>
          <cell r="B195" t="str">
            <v>statType</v>
          </cell>
          <cell r="C195" t="str">
            <v>항복 성공률</v>
          </cell>
          <cell r="D195">
            <v>332</v>
          </cell>
        </row>
        <row r="196">
          <cell r="A196" t="str">
            <v>statType전투 상태 저항력</v>
          </cell>
          <cell r="B196" t="str">
            <v>statType</v>
          </cell>
          <cell r="C196" t="str">
            <v>전투 상태 저항력</v>
          </cell>
          <cell r="D196">
            <v>333</v>
          </cell>
        </row>
        <row r="197">
          <cell r="A197" t="str">
            <v>statType포탄 소모량</v>
          </cell>
          <cell r="B197" t="str">
            <v>statType</v>
          </cell>
          <cell r="C197" t="str">
            <v>포탄 소모량</v>
          </cell>
          <cell r="D197">
            <v>334</v>
          </cell>
        </row>
        <row r="198">
          <cell r="A198" t="str">
            <v>statType포격 회피</v>
          </cell>
          <cell r="B198" t="str">
            <v>statType</v>
          </cell>
          <cell r="C198" t="str">
            <v>포격 회피</v>
          </cell>
          <cell r="D198">
            <v>335</v>
          </cell>
        </row>
        <row r="199">
          <cell r="A199" t="str">
            <v>statType백병 회피</v>
          </cell>
          <cell r="B199" t="str">
            <v>statType</v>
          </cell>
          <cell r="C199" t="str">
            <v>백병 회피</v>
          </cell>
          <cell r="D199">
            <v>336</v>
          </cell>
        </row>
        <row r="200">
          <cell r="A200" t="str">
            <v>statType이동력%</v>
          </cell>
          <cell r="B200" t="str">
            <v>statType</v>
          </cell>
          <cell r="C200" t="str">
            <v>이동력%</v>
          </cell>
          <cell r="D200">
            <v>337</v>
          </cell>
        </row>
        <row r="201">
          <cell r="A201" t="str">
            <v>statType포격 공격력%</v>
          </cell>
          <cell r="B201" t="str">
            <v>statType</v>
          </cell>
          <cell r="C201" t="str">
            <v>포격 공격력%</v>
          </cell>
          <cell r="D201">
            <v>338</v>
          </cell>
        </row>
        <row r="202">
          <cell r="A202" t="str">
            <v>statType포격 방어력%</v>
          </cell>
          <cell r="B202" t="str">
            <v>statType</v>
          </cell>
          <cell r="C202" t="str">
            <v>포격 방어력%</v>
          </cell>
          <cell r="D202">
            <v>339</v>
          </cell>
        </row>
        <row r="203">
          <cell r="A203" t="str">
            <v>statType백병 공격력%</v>
          </cell>
          <cell r="B203" t="str">
            <v>statType</v>
          </cell>
          <cell r="C203" t="str">
            <v>백병 공격력%</v>
          </cell>
          <cell r="D203">
            <v>340</v>
          </cell>
        </row>
        <row r="204">
          <cell r="A204" t="str">
            <v>statType백병 방어력%</v>
          </cell>
          <cell r="B204" t="str">
            <v>statType</v>
          </cell>
          <cell r="C204" t="str">
            <v>백병 방어력%</v>
          </cell>
          <cell r="D204">
            <v>341</v>
          </cell>
        </row>
        <row r="205">
          <cell r="A205" t="str">
            <v>statType충파 공격력%</v>
          </cell>
          <cell r="B205" t="str">
            <v>statType</v>
          </cell>
          <cell r="C205" t="str">
            <v>충파 공격력%</v>
          </cell>
          <cell r="D205">
            <v>342</v>
          </cell>
        </row>
        <row r="206">
          <cell r="A206" t="str">
            <v>statType기동력%</v>
          </cell>
          <cell r="B206" t="str">
            <v>statType</v>
          </cell>
          <cell r="C206" t="str">
            <v>기동력%</v>
          </cell>
          <cell r="D206">
            <v>343</v>
          </cell>
        </row>
        <row r="207">
          <cell r="A207" t="str">
            <v>statType포격 명중%</v>
          </cell>
          <cell r="B207" t="str">
            <v>statType</v>
          </cell>
          <cell r="C207" t="str">
            <v>포격 명중%</v>
          </cell>
          <cell r="D207">
            <v>344</v>
          </cell>
        </row>
        <row r="208">
          <cell r="A208" t="str">
            <v>statType포격 치명타 발생%</v>
          </cell>
          <cell r="B208" t="str">
            <v>statType</v>
          </cell>
          <cell r="C208" t="str">
            <v>포격 치명타 발생%</v>
          </cell>
          <cell r="D208">
            <v>345</v>
          </cell>
        </row>
        <row r="209">
          <cell r="A209" t="str">
            <v>statType백병 명중%</v>
          </cell>
          <cell r="B209" t="str">
            <v>statType</v>
          </cell>
          <cell r="C209" t="str">
            <v>백병 명중%</v>
          </cell>
          <cell r="D209">
            <v>346</v>
          </cell>
        </row>
        <row r="210">
          <cell r="A210" t="str">
            <v>statType백병 치명타 발생%</v>
          </cell>
          <cell r="B210" t="str">
            <v>statType</v>
          </cell>
          <cell r="C210" t="str">
            <v>백병 치명타 발생%</v>
          </cell>
          <cell r="D210">
            <v>347</v>
          </cell>
        </row>
        <row r="211">
          <cell r="A211" t="str">
            <v>statType결투 공격력%</v>
          </cell>
          <cell r="B211" t="str">
            <v>statType</v>
          </cell>
          <cell r="C211" t="str">
            <v>결투 공격력%</v>
          </cell>
          <cell r="D211">
            <v>348</v>
          </cell>
        </row>
        <row r="212">
          <cell r="A212" t="str">
            <v>statType결투 방어력%</v>
          </cell>
          <cell r="B212" t="str">
            <v>statType</v>
          </cell>
          <cell r="C212" t="str">
            <v>결투 방어력%</v>
          </cell>
          <cell r="D212">
            <v>349</v>
          </cell>
        </row>
        <row r="213">
          <cell r="A213" t="str">
            <v>statType결투 회피%</v>
          </cell>
          <cell r="B213" t="str">
            <v>statType</v>
          </cell>
          <cell r="C213" t="str">
            <v>결투 회피%</v>
          </cell>
          <cell r="D213">
            <v>350</v>
          </cell>
        </row>
        <row r="214">
          <cell r="A214" t="str">
            <v>statType수리 회복량%</v>
          </cell>
          <cell r="B214" t="str">
            <v>statType</v>
          </cell>
          <cell r="C214" t="str">
            <v>수리 회복량%</v>
          </cell>
          <cell r="D214">
            <v>351</v>
          </cell>
        </row>
        <row r="215">
          <cell r="A215" t="str">
            <v>statType수리 극대화 발생%</v>
          </cell>
          <cell r="B215" t="str">
            <v>statType</v>
          </cell>
          <cell r="C215" t="str">
            <v>수리 극대화 발생%</v>
          </cell>
          <cell r="D215">
            <v>352</v>
          </cell>
        </row>
        <row r="216">
          <cell r="A216" t="str">
            <v>statType의술 회복량%</v>
          </cell>
          <cell r="B216" t="str">
            <v>statType</v>
          </cell>
          <cell r="C216" t="str">
            <v>의술 회복량%</v>
          </cell>
          <cell r="D216">
            <v>354</v>
          </cell>
        </row>
        <row r="217">
          <cell r="A217" t="str">
            <v>statType의술 극대화 발생%</v>
          </cell>
          <cell r="B217" t="str">
            <v>statType</v>
          </cell>
          <cell r="C217" t="str">
            <v>의술 극대화 발생%</v>
          </cell>
          <cell r="D217">
            <v>355</v>
          </cell>
        </row>
        <row r="218">
          <cell r="A218" t="str">
            <v>statType항복 성공률%</v>
          </cell>
          <cell r="B218" t="str">
            <v>statType</v>
          </cell>
          <cell r="C218" t="str">
            <v>항복 성공률%</v>
          </cell>
          <cell r="D218">
            <v>357</v>
          </cell>
        </row>
        <row r="219">
          <cell r="A219" t="str">
            <v>statType포격 회피%</v>
          </cell>
          <cell r="B219" t="str">
            <v>statType</v>
          </cell>
          <cell r="C219" t="str">
            <v>포격 회피%</v>
          </cell>
          <cell r="D219">
            <v>359</v>
          </cell>
        </row>
        <row r="220">
          <cell r="A220" t="str">
            <v>statType백병 회피%</v>
          </cell>
          <cell r="B220" t="str">
            <v>statType</v>
          </cell>
          <cell r="C220" t="str">
            <v>백병 회피%</v>
          </cell>
          <cell r="D220">
            <v>360</v>
          </cell>
        </row>
        <row r="221">
          <cell r="A221" t="str">
            <v>statType포격 특성</v>
          </cell>
          <cell r="B221" t="str">
            <v>statType</v>
          </cell>
          <cell r="C221" t="str">
            <v>포격 특성</v>
          </cell>
          <cell r="D221">
            <v>361</v>
          </cell>
        </row>
        <row r="222">
          <cell r="A222" t="str">
            <v>statType포격 특성%</v>
          </cell>
          <cell r="B222" t="str">
            <v>statType</v>
          </cell>
          <cell r="C222" t="str">
            <v>포격 특성%</v>
          </cell>
          <cell r="D222">
            <v>362</v>
          </cell>
        </row>
        <row r="223">
          <cell r="A223" t="str">
            <v>statType선박 특성</v>
          </cell>
          <cell r="B223" t="str">
            <v>statType</v>
          </cell>
          <cell r="C223" t="str">
            <v>선박 특성</v>
          </cell>
          <cell r="D223">
            <v>363</v>
          </cell>
        </row>
        <row r="224">
          <cell r="A224" t="str">
            <v>statType선박 특성%</v>
          </cell>
          <cell r="B224" t="str">
            <v>statType</v>
          </cell>
          <cell r="C224" t="str">
            <v>선박 특성%</v>
          </cell>
          <cell r="D224">
            <v>364</v>
          </cell>
        </row>
        <row r="225">
          <cell r="A225" t="str">
            <v>statType기동 특성</v>
          </cell>
          <cell r="B225" t="str">
            <v>statType</v>
          </cell>
          <cell r="C225" t="str">
            <v>기동 특성</v>
          </cell>
          <cell r="D225">
            <v>365</v>
          </cell>
        </row>
        <row r="226">
          <cell r="A226" t="str">
            <v>statType기동 특성%</v>
          </cell>
          <cell r="B226" t="str">
            <v>statType</v>
          </cell>
          <cell r="C226" t="str">
            <v>기동 특성%</v>
          </cell>
          <cell r="D226">
            <v>366</v>
          </cell>
        </row>
        <row r="227">
          <cell r="A227" t="str">
            <v>statType선원 특성</v>
          </cell>
          <cell r="B227" t="str">
            <v>statType</v>
          </cell>
          <cell r="C227" t="str">
            <v>선원 특성</v>
          </cell>
          <cell r="D227">
            <v>367</v>
          </cell>
        </row>
        <row r="228">
          <cell r="A228" t="str">
            <v>statType선원 특성%</v>
          </cell>
          <cell r="B228" t="str">
            <v>statType</v>
          </cell>
          <cell r="C228" t="str">
            <v>선원 특성%</v>
          </cell>
          <cell r="D228">
            <v>368</v>
          </cell>
        </row>
        <row r="229">
          <cell r="A229" t="str">
            <v>statType물 소모량%</v>
          </cell>
          <cell r="B229" t="str">
            <v>statType</v>
          </cell>
          <cell r="C229" t="str">
            <v>물 소모량%</v>
          </cell>
          <cell r="D229">
            <v>369</v>
          </cell>
        </row>
        <row r="230">
          <cell r="A230" t="str">
            <v>statType포탄 소모량%</v>
          </cell>
          <cell r="B230" t="str">
            <v>statType</v>
          </cell>
          <cell r="C230" t="str">
            <v>포탄 소모량%</v>
          </cell>
          <cell r="D230">
            <v>370</v>
          </cell>
        </row>
        <row r="231">
          <cell r="A231" t="str">
            <v>statType자재 소모량%</v>
          </cell>
          <cell r="B231" t="str">
            <v>statType</v>
          </cell>
          <cell r="C231" t="str">
            <v>자재 소모량%</v>
          </cell>
          <cell r="D231">
            <v>371</v>
          </cell>
        </row>
        <row r="232">
          <cell r="A232" t="str">
            <v>statType전투 상태 저항력%</v>
          </cell>
          <cell r="B232" t="str">
            <v>statType</v>
          </cell>
          <cell r="C232" t="str">
            <v>전투 상태 저항력%</v>
          </cell>
          <cell r="D232">
            <v>372</v>
          </cell>
        </row>
        <row r="233">
          <cell r="A233" t="str">
            <v>statType출금 수수료</v>
          </cell>
          <cell r="B233" t="str">
            <v>statType</v>
          </cell>
          <cell r="C233" t="str">
            <v>출금 수수료</v>
          </cell>
          <cell r="D233">
            <v>1001</v>
          </cell>
        </row>
        <row r="234">
          <cell r="A234" t="str">
            <v>statType보급 비용</v>
          </cell>
          <cell r="B234" t="str">
            <v>statType</v>
          </cell>
          <cell r="C234" t="str">
            <v>보급 비용</v>
          </cell>
          <cell r="D234">
            <v>1002</v>
          </cell>
        </row>
        <row r="235">
          <cell r="A235" t="str">
            <v>statType건조 비용</v>
          </cell>
          <cell r="B235" t="str">
            <v>statType</v>
          </cell>
          <cell r="C235" t="str">
            <v>건조 비용</v>
          </cell>
          <cell r="D235">
            <v>1003</v>
          </cell>
        </row>
        <row r="236">
          <cell r="A236" t="str">
            <v>statType선박 수리 비용</v>
          </cell>
          <cell r="B236" t="str">
            <v>statType</v>
          </cell>
          <cell r="C236" t="str">
            <v>선박 수리 비용</v>
          </cell>
          <cell r="D236">
            <v>1004</v>
          </cell>
        </row>
        <row r="237">
          <cell r="A237" t="str">
            <v>statType선박 매각 비용</v>
          </cell>
          <cell r="B237" t="str">
            <v>statType</v>
          </cell>
          <cell r="C237" t="str">
            <v>선박 매각 비용</v>
          </cell>
          <cell r="D237">
            <v>1005</v>
          </cell>
        </row>
        <row r="238">
          <cell r="A238" t="str">
            <v>statType선원 모집 비용</v>
          </cell>
          <cell r="B238" t="str">
            <v>statType</v>
          </cell>
          <cell r="C238" t="str">
            <v>선원 모집 비용</v>
          </cell>
          <cell r="D238">
            <v>1006</v>
          </cell>
        </row>
        <row r="239">
          <cell r="A239" t="str">
            <v>statType선원 모집수</v>
          </cell>
          <cell r="B239" t="str">
            <v>statType</v>
          </cell>
          <cell r="C239" t="str">
            <v>선원 모집수</v>
          </cell>
          <cell r="D239">
            <v>1007</v>
          </cell>
        </row>
        <row r="240">
          <cell r="A240" t="str">
            <v>statType협상 비용</v>
          </cell>
          <cell r="B240" t="str">
            <v>statType</v>
          </cell>
          <cell r="C240" t="str">
            <v>협상 비용</v>
          </cell>
          <cell r="D240">
            <v>1008</v>
          </cell>
        </row>
        <row r="241">
          <cell r="A241" t="str">
            <v>statType교역품 구매 비용</v>
          </cell>
          <cell r="B241" t="str">
            <v>statType</v>
          </cell>
          <cell r="C241" t="str">
            <v>교역품 구매 비용</v>
          </cell>
          <cell r="D241">
            <v>1009</v>
          </cell>
        </row>
        <row r="242">
          <cell r="A242" t="str">
            <v>statType교역품 판매 비용</v>
          </cell>
          <cell r="B242" t="str">
            <v>statType</v>
          </cell>
          <cell r="C242" t="str">
            <v>교역품 판매 비용</v>
          </cell>
          <cell r="D242">
            <v>1010</v>
          </cell>
        </row>
        <row r="243">
          <cell r="A243" t="str">
            <v>statType후원 비용</v>
          </cell>
          <cell r="B243" t="str">
            <v>statType</v>
          </cell>
          <cell r="C243" t="str">
            <v>후원 비용</v>
          </cell>
          <cell r="D243">
            <v>1011</v>
          </cell>
        </row>
        <row r="244">
          <cell r="A244" t="str">
            <v>statType친밀도</v>
          </cell>
          <cell r="B244" t="str">
            <v>statType</v>
          </cell>
          <cell r="C244" t="str">
            <v>친밀도</v>
          </cell>
          <cell r="D244">
            <v>1012</v>
          </cell>
        </row>
        <row r="245">
          <cell r="A245" t="str">
            <v>statType건조 비용%</v>
          </cell>
          <cell r="B245" t="str">
            <v>statType</v>
          </cell>
          <cell r="C245" t="str">
            <v>건조 비용%</v>
          </cell>
          <cell r="D245">
            <v>1013</v>
          </cell>
        </row>
        <row r="246">
          <cell r="A246" t="str">
            <v>statType선박 매각 비용%</v>
          </cell>
          <cell r="B246" t="str">
            <v>statType</v>
          </cell>
          <cell r="C246" t="str">
            <v>선박 매각 비용%</v>
          </cell>
          <cell r="D246">
            <v>1014</v>
          </cell>
        </row>
        <row r="247">
          <cell r="A247" t="str">
            <v>statType선박 수리 비용%</v>
          </cell>
          <cell r="B247" t="str">
            <v>statType</v>
          </cell>
          <cell r="C247" t="str">
            <v>선박 수리 비용%</v>
          </cell>
          <cell r="D247">
            <v>1015</v>
          </cell>
        </row>
        <row r="248">
          <cell r="A248" t="str">
            <v>statType보급 비용%</v>
          </cell>
          <cell r="B248" t="str">
            <v>statType</v>
          </cell>
          <cell r="C248" t="str">
            <v>보급 비용%</v>
          </cell>
          <cell r="D248">
            <v>1016</v>
          </cell>
        </row>
        <row r="249">
          <cell r="A249" t="str">
            <v>statType선원 모집 비용%</v>
          </cell>
          <cell r="B249" t="str">
            <v>statType</v>
          </cell>
          <cell r="C249" t="str">
            <v>선원 모집 비용%</v>
          </cell>
          <cell r="D249">
            <v>1017</v>
          </cell>
        </row>
        <row r="250">
          <cell r="A250" t="str">
            <v>statType선원 모집수%</v>
          </cell>
          <cell r="B250" t="str">
            <v>statType</v>
          </cell>
          <cell r="C250" t="str">
            <v>선원 모집수%</v>
          </cell>
          <cell r="D250">
            <v>1018</v>
          </cell>
        </row>
        <row r="251">
          <cell r="A251" t="str">
            <v>statType협상 비용%</v>
          </cell>
          <cell r="B251" t="str">
            <v>statType</v>
          </cell>
          <cell r="C251" t="str">
            <v>협상 비용%</v>
          </cell>
          <cell r="D251">
            <v>1019</v>
          </cell>
        </row>
        <row r="252">
          <cell r="A252" t="str">
            <v>statType후원 비용%</v>
          </cell>
          <cell r="B252" t="str">
            <v>statType</v>
          </cell>
          <cell r="C252" t="str">
            <v>후원 비용%</v>
          </cell>
          <cell r="D252">
            <v>1020</v>
          </cell>
        </row>
        <row r="253">
          <cell r="A253" t="str">
            <v>statType출금 수수료%</v>
          </cell>
          <cell r="B253" t="str">
            <v>statType</v>
          </cell>
          <cell r="C253" t="str">
            <v>출금 수수료%</v>
          </cell>
          <cell r="D253">
            <v>1021</v>
          </cell>
        </row>
        <row r="254">
          <cell r="A254" t="str">
            <v>statType친밀도%</v>
          </cell>
          <cell r="B254" t="str">
            <v>statType</v>
          </cell>
          <cell r="C254" t="str">
            <v>친밀도%</v>
          </cell>
          <cell r="D254">
            <v>1022</v>
          </cell>
        </row>
        <row r="255">
          <cell r="A255" t="str">
            <v>statType포격 피해량</v>
          </cell>
          <cell r="B255" t="str">
            <v>statType</v>
          </cell>
          <cell r="C255" t="str">
            <v>포격 피해량</v>
          </cell>
          <cell r="D255">
            <v>2000</v>
          </cell>
        </row>
        <row r="256">
          <cell r="A256" t="str">
            <v>statType포격 피해량%</v>
          </cell>
          <cell r="B256" t="str">
            <v>statType</v>
          </cell>
          <cell r="C256" t="str">
            <v>포격 피해량%</v>
          </cell>
          <cell r="D256">
            <v>2001</v>
          </cell>
        </row>
        <row r="257">
          <cell r="A257" t="str">
            <v>statType백병 피해량</v>
          </cell>
          <cell r="B257" t="str">
            <v>statType</v>
          </cell>
          <cell r="C257" t="str">
            <v>백병 피해량</v>
          </cell>
          <cell r="D257">
            <v>2002</v>
          </cell>
        </row>
        <row r="258">
          <cell r="A258" t="str">
            <v>statType백병 피해량%</v>
          </cell>
          <cell r="B258" t="str">
            <v>statType</v>
          </cell>
          <cell r="C258" t="str">
            <v>백병 피해량%</v>
          </cell>
          <cell r="D258">
            <v>2003</v>
          </cell>
        </row>
        <row r="259">
          <cell r="A259" t="str">
            <v>statType충파 피해량</v>
          </cell>
          <cell r="B259" t="str">
            <v>statType</v>
          </cell>
          <cell r="C259" t="str">
            <v>충파 피해량</v>
          </cell>
          <cell r="D259">
            <v>2004</v>
          </cell>
        </row>
        <row r="260">
          <cell r="A260" t="str">
            <v>statType충파 피해량%</v>
          </cell>
          <cell r="B260" t="str">
            <v>statType</v>
          </cell>
          <cell r="C260" t="str">
            <v>충파 피해량%</v>
          </cell>
          <cell r="D260">
            <v>2005</v>
          </cell>
        </row>
        <row r="261">
          <cell r="A261" t="str">
            <v>statType수리</v>
          </cell>
          <cell r="B261" t="str">
            <v>statType</v>
          </cell>
          <cell r="C261" t="str">
            <v>수리</v>
          </cell>
          <cell r="D261">
            <v>2006</v>
          </cell>
        </row>
        <row r="262">
          <cell r="A262" t="str">
            <v>statType수리%</v>
          </cell>
          <cell r="B262" t="str">
            <v>statType</v>
          </cell>
          <cell r="C262" t="str">
            <v>수리%</v>
          </cell>
          <cell r="D262">
            <v>2007</v>
          </cell>
        </row>
        <row r="263">
          <cell r="A263" t="str">
            <v>statType의술</v>
          </cell>
          <cell r="B263" t="str">
            <v>statType</v>
          </cell>
          <cell r="C263" t="str">
            <v>의술</v>
          </cell>
          <cell r="D263">
            <v>2008</v>
          </cell>
        </row>
        <row r="264">
          <cell r="A264" t="str">
            <v>statType의술%</v>
          </cell>
          <cell r="B264" t="str">
            <v>statType</v>
          </cell>
          <cell r="C264" t="str">
            <v>의술%</v>
          </cell>
          <cell r="D264">
            <v>2009</v>
          </cell>
        </row>
        <row r="265">
          <cell r="A265" t="str">
            <v>statType기뢰 피해량</v>
          </cell>
          <cell r="B265" t="str">
            <v>statType</v>
          </cell>
          <cell r="C265" t="str">
            <v>기뢰 피해량</v>
          </cell>
          <cell r="D265">
            <v>2010</v>
          </cell>
        </row>
        <row r="266">
          <cell r="A266" t="str">
            <v>statType기뢰 피해량%</v>
          </cell>
          <cell r="B266" t="str">
            <v>statType</v>
          </cell>
          <cell r="C266" t="str">
            <v>기뢰 피해량%</v>
          </cell>
          <cell r="D266">
            <v>2011</v>
          </cell>
        </row>
        <row r="267">
          <cell r="A267" t="str">
            <v>statType교역품 약탈</v>
          </cell>
          <cell r="B267" t="str">
            <v>statType</v>
          </cell>
          <cell r="C267" t="str">
            <v>교역품 약탈</v>
          </cell>
          <cell r="D267">
            <v>2012</v>
          </cell>
        </row>
        <row r="268">
          <cell r="A268" t="str">
            <v>statType교역품 약탈%</v>
          </cell>
          <cell r="B268" t="str">
            <v>statType</v>
          </cell>
          <cell r="C268" t="str">
            <v>교역품 약탈%</v>
          </cell>
          <cell r="D268">
            <v>2013</v>
          </cell>
        </row>
        <row r="269">
          <cell r="A269" t="str">
            <v>statType내구도 피해량</v>
          </cell>
          <cell r="B269" t="str">
            <v>statType</v>
          </cell>
          <cell r="C269" t="str">
            <v>내구도 피해량</v>
          </cell>
          <cell r="D269">
            <v>2014</v>
          </cell>
        </row>
        <row r="270">
          <cell r="A270" t="str">
            <v>statType내구도 피해량%</v>
          </cell>
          <cell r="B270" t="str">
            <v>statType</v>
          </cell>
          <cell r="C270" t="str">
            <v>내구도 피해량%</v>
          </cell>
          <cell r="D270">
            <v>2015</v>
          </cell>
        </row>
        <row r="271">
          <cell r="A271" t="str">
            <v>statType내구도 피해량 계수</v>
          </cell>
          <cell r="B271" t="str">
            <v>statType</v>
          </cell>
          <cell r="C271" t="str">
            <v>내구도 피해량 계수</v>
          </cell>
          <cell r="D271">
            <v>2016</v>
          </cell>
        </row>
        <row r="272">
          <cell r="A272" t="str">
            <v>statType내구도 피해량 계수%</v>
          </cell>
          <cell r="B272" t="str">
            <v>statType</v>
          </cell>
          <cell r="C272" t="str">
            <v>내구도 피해량 계수%</v>
          </cell>
          <cell r="D272">
            <v>2017</v>
          </cell>
        </row>
        <row r="273">
          <cell r="A273" t="str">
            <v>statType선원 피해량</v>
          </cell>
          <cell r="B273" t="str">
            <v>statType</v>
          </cell>
          <cell r="C273" t="str">
            <v>선원 피해량</v>
          </cell>
          <cell r="D273">
            <v>2018</v>
          </cell>
        </row>
        <row r="274">
          <cell r="A274" t="str">
            <v>statType선원 피해량%</v>
          </cell>
          <cell r="B274" t="str">
            <v>statType</v>
          </cell>
          <cell r="C274" t="str">
            <v>선원 피해량%</v>
          </cell>
          <cell r="D274">
            <v>2019</v>
          </cell>
        </row>
        <row r="275">
          <cell r="A275" t="str">
            <v>statType선원 피해량 계수</v>
          </cell>
          <cell r="B275" t="str">
            <v>statType</v>
          </cell>
          <cell r="C275" t="str">
            <v>선원 피해량 계수</v>
          </cell>
          <cell r="D275">
            <v>2020</v>
          </cell>
        </row>
        <row r="276">
          <cell r="A276" t="str">
            <v>statType선원 피해량 계수%</v>
          </cell>
          <cell r="B276" t="str">
            <v>statType</v>
          </cell>
          <cell r="C276" t="str">
            <v>선원 피해량 계수%</v>
          </cell>
          <cell r="D276">
            <v>2021</v>
          </cell>
        </row>
        <row r="277">
          <cell r="A277" t="str">
            <v>statType내구도 회복량</v>
          </cell>
          <cell r="B277" t="str">
            <v>statType</v>
          </cell>
          <cell r="C277" t="str">
            <v>내구도 회복량</v>
          </cell>
          <cell r="D277">
            <v>2022</v>
          </cell>
        </row>
        <row r="278">
          <cell r="A278" t="str">
            <v>statType내구도 회복량%</v>
          </cell>
          <cell r="B278" t="str">
            <v>statType</v>
          </cell>
          <cell r="C278" t="str">
            <v>내구도 회복량%</v>
          </cell>
          <cell r="D278">
            <v>2023</v>
          </cell>
        </row>
        <row r="279">
          <cell r="A279" t="str">
            <v>statType선원 회복량</v>
          </cell>
          <cell r="B279" t="str">
            <v>statType</v>
          </cell>
          <cell r="C279" t="str">
            <v>선원 회복량</v>
          </cell>
          <cell r="D279">
            <v>2024</v>
          </cell>
        </row>
        <row r="280">
          <cell r="A280" t="str">
            <v>statType선원 회복량%</v>
          </cell>
          <cell r="B280" t="str">
            <v>statType</v>
          </cell>
          <cell r="C280" t="str">
            <v>선원 회복량%</v>
          </cell>
          <cell r="D280">
            <v>2025</v>
          </cell>
        </row>
        <row r="281">
          <cell r="A281" t="str">
            <v>statType사기</v>
          </cell>
          <cell r="B281" t="str">
            <v>statType</v>
          </cell>
          <cell r="C281" t="str">
            <v>사기</v>
          </cell>
          <cell r="D281">
            <v>2026</v>
          </cell>
        </row>
        <row r="282">
          <cell r="A282" t="str">
            <v>statType사기%</v>
          </cell>
          <cell r="B282" t="str">
            <v>statType</v>
          </cell>
          <cell r="C282" t="str">
            <v>사기%</v>
          </cell>
          <cell r="D282">
            <v>2027</v>
          </cell>
        </row>
        <row r="283">
          <cell r="A283" t="str">
            <v>statType포격 치명타 피해량</v>
          </cell>
          <cell r="B283" t="str">
            <v>statType</v>
          </cell>
          <cell r="C283" t="str">
            <v>포격 치명타 피해량</v>
          </cell>
          <cell r="D283">
            <v>2028</v>
          </cell>
        </row>
        <row r="284">
          <cell r="A284" t="str">
            <v>statType포격 치명타 피해량%</v>
          </cell>
          <cell r="B284" t="str">
            <v>statType</v>
          </cell>
          <cell r="C284" t="str">
            <v>포격 치명타 피해량%</v>
          </cell>
          <cell r="D284">
            <v>2029</v>
          </cell>
        </row>
        <row r="285">
          <cell r="A285" t="str">
            <v>statType백병 치명타 피해량</v>
          </cell>
          <cell r="B285" t="str">
            <v>statType</v>
          </cell>
          <cell r="C285" t="str">
            <v>백병 치명타 피해량</v>
          </cell>
          <cell r="D285">
            <v>2030</v>
          </cell>
        </row>
        <row r="286">
          <cell r="A286" t="str">
            <v>statType백병 치명타 피해량%</v>
          </cell>
          <cell r="B286" t="str">
            <v>statType</v>
          </cell>
          <cell r="C286" t="str">
            <v>백병 치명타 피해량%</v>
          </cell>
          <cell r="D286">
            <v>2031</v>
          </cell>
        </row>
        <row r="287">
          <cell r="A287" t="str">
            <v>statType백병 사거리</v>
          </cell>
          <cell r="B287" t="str">
            <v>statType</v>
          </cell>
          <cell r="C287" t="str">
            <v>백병 사거리</v>
          </cell>
          <cell r="D287">
            <v>2032</v>
          </cell>
        </row>
        <row r="288">
          <cell r="A288" t="str">
            <v>statType백병 사거리%</v>
          </cell>
          <cell r="B288" t="str">
            <v>statType</v>
          </cell>
          <cell r="C288" t="str">
            <v>백병 사거리%</v>
          </cell>
          <cell r="D288">
            <v>2033</v>
          </cell>
        </row>
        <row r="289">
          <cell r="A289" t="str">
            <v>statType충파 사거리</v>
          </cell>
          <cell r="B289" t="str">
            <v>statType</v>
          </cell>
          <cell r="C289" t="str">
            <v>충파 사거리</v>
          </cell>
          <cell r="D289">
            <v>2034</v>
          </cell>
        </row>
        <row r="290">
          <cell r="A290" t="str">
            <v>statType충파 사거리%</v>
          </cell>
          <cell r="B290" t="str">
            <v>statType</v>
          </cell>
          <cell r="C290" t="str">
            <v>충파 사거리%</v>
          </cell>
          <cell r="D290">
            <v>2035</v>
          </cell>
        </row>
        <row r="291">
          <cell r="A291" t="str">
            <v>statType기동력 회복</v>
          </cell>
          <cell r="B291" t="str">
            <v>statType</v>
          </cell>
          <cell r="C291" t="str">
            <v>기동력 회복</v>
          </cell>
          <cell r="D291">
            <v>2036</v>
          </cell>
        </row>
        <row r="292">
          <cell r="A292" t="str">
            <v>statType기동력 회복%</v>
          </cell>
          <cell r="B292" t="str">
            <v>statType</v>
          </cell>
          <cell r="C292" t="str">
            <v>기동력 회복%</v>
          </cell>
          <cell r="D292">
            <v>2037</v>
          </cell>
        </row>
        <row r="293">
          <cell r="A293" t="str">
            <v>statType선회력</v>
          </cell>
          <cell r="B293" t="str">
            <v>statType</v>
          </cell>
          <cell r="C293" t="str">
            <v>선회력</v>
          </cell>
          <cell r="D293">
            <v>2038</v>
          </cell>
        </row>
        <row r="294">
          <cell r="A294" t="str">
            <v>statType선회력%</v>
          </cell>
          <cell r="B294" t="str">
            <v>statType</v>
          </cell>
          <cell r="C294" t="str">
            <v>선회력%</v>
          </cell>
          <cell r="D294">
            <v>2039</v>
          </cell>
        </row>
        <row r="295">
          <cell r="A295" t="str">
            <v>statType전투력</v>
          </cell>
          <cell r="B295" t="str">
            <v>statType</v>
          </cell>
          <cell r="C295" t="str">
            <v>전투력</v>
          </cell>
          <cell r="D295">
            <v>2040</v>
          </cell>
        </row>
        <row r="296">
          <cell r="A296" t="str">
            <v>statType전투력%</v>
          </cell>
          <cell r="B296" t="str">
            <v>statType</v>
          </cell>
          <cell r="C296" t="str">
            <v>전투력%</v>
          </cell>
          <cell r="D296">
            <v>2041</v>
          </cell>
        </row>
        <row r="297">
          <cell r="A297" t="str">
            <v>statType포격 협공 피해량</v>
          </cell>
          <cell r="B297" t="str">
            <v>statType</v>
          </cell>
          <cell r="C297" t="str">
            <v>포격 협공 피해량</v>
          </cell>
          <cell r="D297">
            <v>2042</v>
          </cell>
        </row>
        <row r="298">
          <cell r="A298" t="str">
            <v>statType포격 협공 피해량%</v>
          </cell>
          <cell r="B298" t="str">
            <v>statType</v>
          </cell>
          <cell r="C298" t="str">
            <v>포격 협공 피해량%</v>
          </cell>
          <cell r="D298">
            <v>2043</v>
          </cell>
        </row>
        <row r="299">
          <cell r="A299" t="str">
            <v>statType백병 협공 피해량</v>
          </cell>
          <cell r="B299" t="str">
            <v>statType</v>
          </cell>
          <cell r="C299" t="str">
            <v>백병 협공 피해량</v>
          </cell>
          <cell r="D299">
            <v>2044</v>
          </cell>
        </row>
        <row r="300">
          <cell r="A300" t="str">
            <v>statType백병 협공 피해량%</v>
          </cell>
          <cell r="B300" t="str">
            <v>statType</v>
          </cell>
          <cell r="C300" t="str">
            <v>백병 협공 피해량%</v>
          </cell>
          <cell r="D300">
            <v>2045</v>
          </cell>
        </row>
        <row r="301">
          <cell r="A301" t="str">
            <v>statType최종 포격 피해량</v>
          </cell>
          <cell r="B301" t="str">
            <v>statType</v>
          </cell>
          <cell r="C301" t="str">
            <v>최종 포격 피해량</v>
          </cell>
          <cell r="D301">
            <v>2046</v>
          </cell>
        </row>
        <row r="302">
          <cell r="A302" t="str">
            <v>statType최종 포격 피해량%</v>
          </cell>
          <cell r="B302" t="str">
            <v>statType</v>
          </cell>
          <cell r="C302" t="str">
            <v>최종 포격 피해량%</v>
          </cell>
          <cell r="D302">
            <v>2047</v>
          </cell>
        </row>
        <row r="303">
          <cell r="A303" t="str">
            <v>statType포격 반격 피해량</v>
          </cell>
          <cell r="B303" t="str">
            <v>statType</v>
          </cell>
          <cell r="C303" t="str">
            <v>포격 반격 피해량</v>
          </cell>
          <cell r="D303">
            <v>2048</v>
          </cell>
        </row>
        <row r="304">
          <cell r="A304" t="str">
            <v>statType포격 반격 피해량%</v>
          </cell>
          <cell r="B304" t="str">
            <v>statType</v>
          </cell>
          <cell r="C304" t="str">
            <v>포격 반격 피해량%</v>
          </cell>
          <cell r="D304">
            <v>2049</v>
          </cell>
        </row>
        <row r="305">
          <cell r="A305" t="str">
            <v>statType최종 백병 피해량</v>
          </cell>
          <cell r="B305" t="str">
            <v>statType</v>
          </cell>
          <cell r="C305" t="str">
            <v>최종 백병 피해량</v>
          </cell>
          <cell r="D305">
            <v>2050</v>
          </cell>
        </row>
        <row r="306">
          <cell r="A306" t="str">
            <v>statType최종 백병 피해량%</v>
          </cell>
          <cell r="B306" t="str">
            <v>statType</v>
          </cell>
          <cell r="C306" t="str">
            <v>최종 백병 피해량%</v>
          </cell>
          <cell r="D306">
            <v>2051</v>
          </cell>
        </row>
        <row r="307">
          <cell r="A307" t="str">
            <v>statType백병 반격 피해량</v>
          </cell>
          <cell r="B307" t="str">
            <v>statType</v>
          </cell>
          <cell r="C307" t="str">
            <v>백병 반격 피해량</v>
          </cell>
          <cell r="D307">
            <v>2052</v>
          </cell>
        </row>
        <row r="308">
          <cell r="A308" t="str">
            <v>statType백병 반격 피해량%</v>
          </cell>
          <cell r="B308" t="str">
            <v>statType</v>
          </cell>
          <cell r="C308" t="str">
            <v>백병 반격 피해량%</v>
          </cell>
          <cell r="D308">
            <v>2053</v>
          </cell>
        </row>
        <row r="309">
          <cell r="A309" t="str">
            <v>statType충파 반격 피해량</v>
          </cell>
          <cell r="B309" t="str">
            <v>statType</v>
          </cell>
          <cell r="C309" t="str">
            <v>충파 반격 피해량</v>
          </cell>
          <cell r="D309">
            <v>2054</v>
          </cell>
        </row>
        <row r="310">
          <cell r="A310" t="str">
            <v>statType충파 반격 피해량%</v>
          </cell>
          <cell r="B310" t="str">
            <v>statType</v>
          </cell>
          <cell r="C310" t="str">
            <v>충파 반격 피해량%</v>
          </cell>
          <cell r="D310">
            <v>2055</v>
          </cell>
        </row>
        <row r="311">
          <cell r="A311" t="str">
            <v>statType의술 자원 소모량</v>
          </cell>
          <cell r="B311" t="str">
            <v>statType</v>
          </cell>
          <cell r="C311" t="str">
            <v>의술 자원 소모량</v>
          </cell>
          <cell r="D311">
            <v>2056</v>
          </cell>
        </row>
        <row r="312">
          <cell r="A312" t="str">
            <v>statType의술 자원 소모량%</v>
          </cell>
          <cell r="B312" t="str">
            <v>statType</v>
          </cell>
          <cell r="C312" t="str">
            <v>의술 자원 소모량%</v>
          </cell>
          <cell r="D312">
            <v>2057</v>
          </cell>
        </row>
        <row r="313">
          <cell r="A313" t="str">
            <v>statType수리 자원 소모량</v>
          </cell>
          <cell r="B313" t="str">
            <v>statType</v>
          </cell>
          <cell r="C313" t="str">
            <v>수리 자원 소모량</v>
          </cell>
          <cell r="D313">
            <v>2058</v>
          </cell>
        </row>
        <row r="314">
          <cell r="A314" t="str">
            <v>statType수리 자원 소모량%</v>
          </cell>
          <cell r="B314" t="str">
            <v>statType</v>
          </cell>
          <cell r="C314" t="str">
            <v>수리 자원 소모량%</v>
          </cell>
          <cell r="D314">
            <v>2059</v>
          </cell>
        </row>
        <row r="315">
          <cell r="A315" t="str">
            <v>statType선박 상태 발생률</v>
          </cell>
          <cell r="B315" t="str">
            <v>statType</v>
          </cell>
          <cell r="C315" t="str">
            <v>선박 상태 발생률</v>
          </cell>
          <cell r="D315">
            <v>2060</v>
          </cell>
        </row>
        <row r="316">
          <cell r="A316" t="str">
            <v>statType선박 상태 발생률%</v>
          </cell>
          <cell r="B316" t="str">
            <v>statType</v>
          </cell>
          <cell r="C316" t="str">
            <v>선박 상태 발생률%</v>
          </cell>
          <cell r="D316">
            <v>2061</v>
          </cell>
        </row>
        <row r="317">
          <cell r="A317" t="str">
            <v>statType선원 상태 발생률</v>
          </cell>
          <cell r="B317" t="str">
            <v>statType</v>
          </cell>
          <cell r="C317" t="str">
            <v>선원 상태 발생률</v>
          </cell>
          <cell r="D317">
            <v>2062</v>
          </cell>
        </row>
        <row r="318">
          <cell r="A318" t="str">
            <v>statType선원 상태 발생률%</v>
          </cell>
          <cell r="B318" t="str">
            <v>statType</v>
          </cell>
          <cell r="C318" t="str">
            <v>선원 상태 발생률%</v>
          </cell>
          <cell r="D318">
            <v>2063</v>
          </cell>
        </row>
        <row r="319">
          <cell r="A319" t="str">
            <v>statType전투 상태 발생률</v>
          </cell>
          <cell r="B319" t="str">
            <v>statType</v>
          </cell>
          <cell r="C319" t="str">
            <v>전투 상태 발생률</v>
          </cell>
          <cell r="D319">
            <v>2064</v>
          </cell>
        </row>
        <row r="320">
          <cell r="A320" t="str">
            <v>statType전투 상태 발생률%</v>
          </cell>
          <cell r="B320" t="str">
            <v>statType</v>
          </cell>
          <cell r="C320" t="str">
            <v>전투 상태 발생률%</v>
          </cell>
          <cell r="D320">
            <v>2065</v>
          </cell>
        </row>
        <row r="321">
          <cell r="A321" t="str">
            <v>statType현재 기동력</v>
          </cell>
          <cell r="B321" t="str">
            <v>statType</v>
          </cell>
          <cell r="C321" t="str">
            <v>현재 기동력</v>
          </cell>
          <cell r="D321">
            <v>2066</v>
          </cell>
        </row>
        <row r="322">
          <cell r="A322" t="str">
            <v>statType현재 기동력%</v>
          </cell>
          <cell r="B322" t="str">
            <v>statType</v>
          </cell>
          <cell r="C322" t="str">
            <v>현재 기동력%</v>
          </cell>
          <cell r="D322">
            <v>2067</v>
          </cell>
        </row>
        <row r="323">
          <cell r="A323" t="str">
            <v>statType최대 기동력</v>
          </cell>
          <cell r="B323" t="str">
            <v>statType</v>
          </cell>
          <cell r="C323" t="str">
            <v>최대 기동력</v>
          </cell>
          <cell r="D323">
            <v>2068</v>
          </cell>
        </row>
        <row r="324">
          <cell r="A324" t="str">
            <v>statType최대 기동력%</v>
          </cell>
          <cell r="B324" t="str">
            <v>statType</v>
          </cell>
          <cell r="C324" t="str">
            <v>최대 기동력%</v>
          </cell>
          <cell r="D324">
            <v>2069</v>
          </cell>
        </row>
        <row r="325">
          <cell r="A325" t="str">
            <v>statType최대 내구도</v>
          </cell>
          <cell r="B325" t="str">
            <v>statType</v>
          </cell>
          <cell r="C325" t="str">
            <v>최대 내구도</v>
          </cell>
          <cell r="D325">
            <v>2070</v>
          </cell>
        </row>
        <row r="326">
          <cell r="A326" t="str">
            <v>statType최대 내구도%</v>
          </cell>
          <cell r="B326" t="str">
            <v>statType</v>
          </cell>
          <cell r="C326" t="str">
            <v>최대 내구도%</v>
          </cell>
          <cell r="D326">
            <v>2071</v>
          </cell>
        </row>
        <row r="327">
          <cell r="A327" t="str">
            <v>statType교역품 분류 구매 가능 수량</v>
          </cell>
          <cell r="B327" t="str">
            <v>statType</v>
          </cell>
          <cell r="C327" t="str">
            <v>교역품 분류 구매 가능 수량</v>
          </cell>
          <cell r="D327">
            <v>3000</v>
          </cell>
        </row>
        <row r="328">
          <cell r="A328" t="str">
            <v>statType교역품 분류 구매 가능 수량%</v>
          </cell>
          <cell r="B328" t="str">
            <v>statType</v>
          </cell>
          <cell r="C328" t="str">
            <v>교역품 분류 구매 가능 수량%</v>
          </cell>
          <cell r="D328">
            <v>3001</v>
          </cell>
        </row>
        <row r="329">
          <cell r="A329" t="str">
            <v>statType교역품 구매 가능 수량</v>
          </cell>
          <cell r="B329" t="str">
            <v>statType</v>
          </cell>
          <cell r="C329" t="str">
            <v>교역품 구매 가능 수량</v>
          </cell>
          <cell r="D329">
            <v>3002</v>
          </cell>
        </row>
        <row r="330">
          <cell r="A330" t="str">
            <v>statType교역품 구매 가능 수량%</v>
          </cell>
          <cell r="B330" t="str">
            <v>statType</v>
          </cell>
          <cell r="C330" t="str">
            <v>교역품 구매 가능 수량%</v>
          </cell>
          <cell r="D330">
            <v>3003</v>
          </cell>
        </row>
        <row r="331">
          <cell r="A331" t="str">
            <v>statType교역품 분류 가격</v>
          </cell>
          <cell r="B331" t="str">
            <v>statType</v>
          </cell>
          <cell r="C331" t="str">
            <v>교역품 분류 가격</v>
          </cell>
          <cell r="D331">
            <v>3004</v>
          </cell>
        </row>
        <row r="332">
          <cell r="A332" t="str">
            <v>statType교역품 분류 가격%</v>
          </cell>
          <cell r="B332" t="str">
            <v>statType</v>
          </cell>
          <cell r="C332" t="str">
            <v>교역품 분류 가격%</v>
          </cell>
          <cell r="D332">
            <v>3005</v>
          </cell>
        </row>
        <row r="333">
          <cell r="A333" t="str">
            <v>statType교역품 가격</v>
          </cell>
          <cell r="B333" t="str">
            <v>statType</v>
          </cell>
          <cell r="C333" t="str">
            <v>교역품 가격</v>
          </cell>
          <cell r="D333">
            <v>3006</v>
          </cell>
        </row>
        <row r="334">
          <cell r="A334" t="str">
            <v>statType교역품 가격%</v>
          </cell>
          <cell r="B334" t="str">
            <v>statType</v>
          </cell>
          <cell r="C334" t="str">
            <v>교역품 가격%</v>
          </cell>
          <cell r="D334">
            <v>3007</v>
          </cell>
        </row>
        <row r="335">
          <cell r="A335" t="str">
            <v>statType가격 협상 할인율</v>
          </cell>
          <cell r="B335" t="str">
            <v>statType</v>
          </cell>
          <cell r="C335" t="str">
            <v>가격 협상 할인율</v>
          </cell>
          <cell r="D335">
            <v>3008</v>
          </cell>
        </row>
        <row r="336">
          <cell r="A336" t="str">
            <v>statType가격 협상 할인율%</v>
          </cell>
          <cell r="B336" t="str">
            <v>statType</v>
          </cell>
          <cell r="C336" t="str">
            <v>가격 협상 할인율%</v>
          </cell>
          <cell r="D336">
            <v>3009</v>
          </cell>
        </row>
        <row r="337">
          <cell r="A337" t="str">
            <v>statType가격 협상 할증률</v>
          </cell>
          <cell r="B337" t="str">
            <v>statType</v>
          </cell>
          <cell r="C337" t="str">
            <v>가격 협상 할증률</v>
          </cell>
          <cell r="D337">
            <v>3010</v>
          </cell>
        </row>
        <row r="338">
          <cell r="A338" t="str">
            <v>statType가격 협상 할증률%</v>
          </cell>
          <cell r="B338" t="str">
            <v>statType</v>
          </cell>
          <cell r="C338" t="str">
            <v>가격 협상 할증률%</v>
          </cell>
          <cell r="D338">
            <v>3011</v>
          </cell>
        </row>
        <row r="339">
          <cell r="A339" t="str">
            <v>statType가격 협상 발생률</v>
          </cell>
          <cell r="B339" t="str">
            <v>statType</v>
          </cell>
          <cell r="C339" t="str">
            <v>가격 협상 발생률</v>
          </cell>
          <cell r="D339">
            <v>3012</v>
          </cell>
        </row>
        <row r="340">
          <cell r="A340" t="str">
            <v>statType가격 협상 발생률%</v>
          </cell>
          <cell r="B340" t="str">
            <v>statType</v>
          </cell>
          <cell r="C340" t="str">
            <v>가격 협상 발생률%</v>
          </cell>
          <cell r="D340">
            <v>3013</v>
          </cell>
        </row>
        <row r="341">
          <cell r="A341" t="str">
            <v>statType가격 협상 성공률</v>
          </cell>
          <cell r="B341" t="str">
            <v>statType</v>
          </cell>
          <cell r="C341" t="str">
            <v>가격 협상 성공률</v>
          </cell>
          <cell r="D341">
            <v>3014</v>
          </cell>
        </row>
        <row r="342">
          <cell r="A342" t="str">
            <v>statType가격 협상 성공률%</v>
          </cell>
          <cell r="B342" t="str">
            <v>statType</v>
          </cell>
          <cell r="C342" t="str">
            <v>가격 협상 성공률%</v>
          </cell>
          <cell r="D342">
            <v>3015</v>
          </cell>
        </row>
        <row r="343">
          <cell r="A343" t="str">
            <v>statType가격 협상 횟수</v>
          </cell>
          <cell r="B343" t="str">
            <v>statType</v>
          </cell>
          <cell r="C343" t="str">
            <v>가격 협상 횟수</v>
          </cell>
          <cell r="D343">
            <v>3016</v>
          </cell>
        </row>
        <row r="344">
          <cell r="A344" t="str">
            <v>statType가격 협상 횟수%</v>
          </cell>
          <cell r="B344" t="str">
            <v>statType</v>
          </cell>
          <cell r="C344" t="str">
            <v>가격 협상 횟수%</v>
          </cell>
          <cell r="D344">
            <v>3017</v>
          </cell>
        </row>
        <row r="345">
          <cell r="A345" t="str">
            <v>statType관세율</v>
          </cell>
          <cell r="B345" t="str">
            <v>statType</v>
          </cell>
          <cell r="C345" t="str">
            <v>관세율</v>
          </cell>
          <cell r="D345">
            <v>3018</v>
          </cell>
        </row>
        <row r="346">
          <cell r="A346" t="str">
            <v>statType선박 속도</v>
          </cell>
          <cell r="B346" t="str">
            <v>statType</v>
          </cell>
          <cell r="C346" t="str">
            <v>선박 속도</v>
          </cell>
          <cell r="D346">
            <v>4000</v>
          </cell>
        </row>
        <row r="347">
          <cell r="A347" t="str">
            <v>statType선박 속도%</v>
          </cell>
          <cell r="B347" t="str">
            <v>statType</v>
          </cell>
          <cell r="C347" t="str">
            <v>선박 속도%</v>
          </cell>
          <cell r="D347">
            <v>4001</v>
          </cell>
        </row>
        <row r="348">
          <cell r="A348" t="str">
            <v>statType해상 재해 상태 예방</v>
          </cell>
          <cell r="B348" t="str">
            <v>statType</v>
          </cell>
          <cell r="C348" t="str">
            <v>해상 재해 상태 예방</v>
          </cell>
          <cell r="D348">
            <v>4002</v>
          </cell>
        </row>
        <row r="349">
          <cell r="A349" t="str">
            <v>statType해상 재해 상태 예방%</v>
          </cell>
          <cell r="B349" t="str">
            <v>statType</v>
          </cell>
          <cell r="C349" t="str">
            <v>해상 재해 상태 예방%</v>
          </cell>
          <cell r="D349">
            <v>4003</v>
          </cell>
        </row>
        <row r="350">
          <cell r="A350" t="str">
            <v>statType해상 재해 상태 피해</v>
          </cell>
          <cell r="B350" t="str">
            <v>statType</v>
          </cell>
          <cell r="C350" t="str">
            <v>해상 재해 상태 피해</v>
          </cell>
          <cell r="D350">
            <v>4004</v>
          </cell>
        </row>
        <row r="351">
          <cell r="A351" t="str">
            <v>statType해상 재해 상태 피해%</v>
          </cell>
          <cell r="B351" t="str">
            <v>statType</v>
          </cell>
          <cell r="C351" t="str">
            <v>해상 재해 상태 피해%</v>
          </cell>
          <cell r="D351">
            <v>4005</v>
          </cell>
        </row>
        <row r="352">
          <cell r="A352" t="str">
            <v>statType물 보유량</v>
          </cell>
          <cell r="B352" t="str">
            <v>statType</v>
          </cell>
          <cell r="C352" t="str">
            <v>물 보유량</v>
          </cell>
          <cell r="D352">
            <v>4006</v>
          </cell>
        </row>
        <row r="353">
          <cell r="A353" t="str">
            <v>statType물 보유량%</v>
          </cell>
          <cell r="B353" t="str">
            <v>statType</v>
          </cell>
          <cell r="C353" t="str">
            <v>물 보유량%</v>
          </cell>
          <cell r="D353">
            <v>4007</v>
          </cell>
        </row>
        <row r="354">
          <cell r="A354" t="str">
            <v>statType식량 보유량</v>
          </cell>
          <cell r="B354" t="str">
            <v>statType</v>
          </cell>
          <cell r="C354" t="str">
            <v>식량 보유량</v>
          </cell>
          <cell r="D354">
            <v>4008</v>
          </cell>
        </row>
        <row r="355">
          <cell r="A355" t="str">
            <v>statType식량 보유량%</v>
          </cell>
          <cell r="B355" t="str">
            <v>statType</v>
          </cell>
          <cell r="C355" t="str">
            <v>식량 보유량%</v>
          </cell>
          <cell r="D355">
            <v>4009</v>
          </cell>
        </row>
        <row r="356">
          <cell r="A356" t="str">
            <v>statType식량 소모량</v>
          </cell>
          <cell r="B356" t="str">
            <v>statType</v>
          </cell>
          <cell r="C356" t="str">
            <v>식량 소모량</v>
          </cell>
          <cell r="D356">
            <v>4010</v>
          </cell>
        </row>
        <row r="357">
          <cell r="A357" t="str">
            <v>statType식량 소모량%</v>
          </cell>
          <cell r="B357" t="str">
            <v>statType</v>
          </cell>
          <cell r="C357" t="str">
            <v>식량 소모량%</v>
          </cell>
          <cell r="D357">
            <v>4011</v>
          </cell>
        </row>
        <row r="358">
          <cell r="A358" t="str">
            <v>statType돛 손상률</v>
          </cell>
          <cell r="B358" t="str">
            <v>statType</v>
          </cell>
          <cell r="C358" t="str">
            <v>돛 손상률</v>
          </cell>
          <cell r="D358">
            <v>4012</v>
          </cell>
        </row>
        <row r="359">
          <cell r="A359" t="str">
            <v>statType돛 손상률%</v>
          </cell>
          <cell r="B359" t="str">
            <v>statType</v>
          </cell>
          <cell r="C359" t="str">
            <v>돛 손상률%</v>
          </cell>
          <cell r="D359">
            <v>4013</v>
          </cell>
        </row>
        <row r="360">
          <cell r="A360" t="str">
            <v>statType키 손상률</v>
          </cell>
          <cell r="B360" t="str">
            <v>statType</v>
          </cell>
          <cell r="C360" t="str">
            <v>키 손상률</v>
          </cell>
          <cell r="D360">
            <v>4014</v>
          </cell>
        </row>
        <row r="361">
          <cell r="A361" t="str">
            <v>statType키 손상률%</v>
          </cell>
          <cell r="B361" t="str">
            <v>statType</v>
          </cell>
          <cell r="C361" t="str">
            <v>키 손상률%</v>
          </cell>
          <cell r="D361">
            <v>4015</v>
          </cell>
        </row>
        <row r="362">
          <cell r="A362" t="str">
            <v>statType감시 범위</v>
          </cell>
          <cell r="B362" t="str">
            <v>statType</v>
          </cell>
          <cell r="C362" t="str">
            <v>감시 범위</v>
          </cell>
          <cell r="D362">
            <v>4016</v>
          </cell>
        </row>
        <row r="363">
          <cell r="A363" t="str">
            <v>statType감시 범위%</v>
          </cell>
          <cell r="B363" t="str">
            <v>statType</v>
          </cell>
          <cell r="C363" t="str">
            <v>감시 범위%</v>
          </cell>
          <cell r="D363">
            <v>4017</v>
          </cell>
        </row>
        <row r="364">
          <cell r="A364" t="str">
            <v>statType선원수</v>
          </cell>
          <cell r="B364" t="str">
            <v>statType</v>
          </cell>
          <cell r="C364" t="str">
            <v>선원수</v>
          </cell>
          <cell r="D364">
            <v>4018</v>
          </cell>
        </row>
        <row r="365">
          <cell r="A365" t="str">
            <v>statType선원수%</v>
          </cell>
          <cell r="B365" t="str">
            <v>statType</v>
          </cell>
          <cell r="C365" t="str">
            <v>선원수%</v>
          </cell>
          <cell r="D365">
            <v>4019</v>
          </cell>
        </row>
        <row r="366">
          <cell r="A366" t="str">
            <v>statType우호도</v>
          </cell>
          <cell r="B366" t="str">
            <v>statType</v>
          </cell>
          <cell r="C366" t="str">
            <v>우호도</v>
          </cell>
          <cell r="D366">
            <v>4020</v>
          </cell>
        </row>
        <row r="367">
          <cell r="A367" t="str">
            <v>statType조우 확률%</v>
          </cell>
          <cell r="B367" t="str">
            <v>statType</v>
          </cell>
          <cell r="C367" t="str">
            <v>조우 확률%</v>
          </cell>
          <cell r="D367">
            <v>4021</v>
          </cell>
        </row>
        <row r="368">
          <cell r="A368" t="str">
            <v>statType충성도</v>
          </cell>
          <cell r="B368" t="str">
            <v>statType</v>
          </cell>
          <cell r="C368" t="str">
            <v>충성도</v>
          </cell>
          <cell r="D368">
            <v>4022</v>
          </cell>
        </row>
        <row r="369">
          <cell r="A369" t="str">
            <v>statType충성도%</v>
          </cell>
          <cell r="B369" t="str">
            <v>statType</v>
          </cell>
          <cell r="C369" t="str">
            <v>충성도%</v>
          </cell>
          <cell r="D369">
            <v>4023</v>
          </cell>
        </row>
        <row r="370">
          <cell r="A370" t="str">
            <v>statType교역품 수량</v>
          </cell>
          <cell r="B370" t="str">
            <v>statType</v>
          </cell>
          <cell r="C370" t="str">
            <v>교역품 수량</v>
          </cell>
          <cell r="D370">
            <v>4024</v>
          </cell>
        </row>
        <row r="371">
          <cell r="A371" t="str">
            <v>statType교역품 수량%</v>
          </cell>
          <cell r="B371" t="str">
            <v>statType</v>
          </cell>
          <cell r="C371" t="str">
            <v>교역품 수량%</v>
          </cell>
          <cell r="D371">
            <v>4025</v>
          </cell>
        </row>
        <row r="372">
          <cell r="A372" t="str">
            <v>statType항해사 부상률</v>
          </cell>
          <cell r="B372" t="str">
            <v>statType</v>
          </cell>
          <cell r="C372" t="str">
            <v>항해사 부상률</v>
          </cell>
          <cell r="D372">
            <v>4026</v>
          </cell>
        </row>
        <row r="373">
          <cell r="A373" t="str">
            <v>statType항해사 부상률%</v>
          </cell>
          <cell r="B373" t="str">
            <v>statType</v>
          </cell>
          <cell r="C373" t="str">
            <v>항해사 부상률%</v>
          </cell>
          <cell r="D373">
            <v>4027</v>
          </cell>
        </row>
        <row r="374">
          <cell r="A374" t="str">
            <v>statType항해사 부상 시간</v>
          </cell>
          <cell r="B374" t="str">
            <v>statType</v>
          </cell>
          <cell r="C374" t="str">
            <v>항해사 부상 시간</v>
          </cell>
          <cell r="D374">
            <v>4028</v>
          </cell>
        </row>
        <row r="375">
          <cell r="A375" t="str">
            <v>statType항해사 부상 시간%</v>
          </cell>
          <cell r="B375" t="str">
            <v>statType</v>
          </cell>
          <cell r="C375" t="str">
            <v>항해사 부상 시간%</v>
          </cell>
          <cell r="D375">
            <v>4029</v>
          </cell>
        </row>
        <row r="376">
          <cell r="A376" t="str">
            <v>statType항해사 부상 치료율</v>
          </cell>
          <cell r="B376" t="str">
            <v>statType</v>
          </cell>
          <cell r="C376" t="str">
            <v>항해사 부상 치료율</v>
          </cell>
          <cell r="D376">
            <v>4030</v>
          </cell>
        </row>
        <row r="377">
          <cell r="A377" t="str">
            <v>statType항해사 부상 치료율%</v>
          </cell>
          <cell r="B377" t="str">
            <v>statType</v>
          </cell>
          <cell r="C377" t="str">
            <v>항해사 부상 치료율%</v>
          </cell>
          <cell r="D377">
            <v>4031</v>
          </cell>
        </row>
        <row r="378">
          <cell r="A378" t="str">
            <v>statType발견물 획득 관련 스킬 발견 행동</v>
          </cell>
          <cell r="B378" t="str">
            <v>statType</v>
          </cell>
          <cell r="C378" t="str">
            <v>발견물 획득 관련 스킬 발견 행동</v>
          </cell>
          <cell r="D378">
            <v>4032</v>
          </cell>
        </row>
        <row r="379">
          <cell r="A379" t="str">
            <v>statType탐험 상태 피해량%</v>
          </cell>
          <cell r="B379" t="str">
            <v>statType</v>
          </cell>
          <cell r="C379" t="str">
            <v>탐험 상태 피해량%</v>
          </cell>
          <cell r="D379">
            <v>4033</v>
          </cell>
        </row>
        <row r="380">
          <cell r="A380" t="str">
            <v>statType캐릭터 이동 범위</v>
          </cell>
          <cell r="B380" t="str">
            <v>statType</v>
          </cell>
          <cell r="C380" t="str">
            <v>캐릭터 이동 범위</v>
          </cell>
          <cell r="D380">
            <v>4034</v>
          </cell>
        </row>
        <row r="381">
          <cell r="A381" t="str">
            <v>statType탐험 상태 발생률%</v>
          </cell>
          <cell r="B381" t="str">
            <v>statType</v>
          </cell>
          <cell r="C381" t="str">
            <v>탐험 상태 발생률%</v>
          </cell>
          <cell r="D381">
            <v>4035</v>
          </cell>
        </row>
        <row r="382">
          <cell r="A382" t="str">
            <v>statType탐험 상태 피해량</v>
          </cell>
          <cell r="B382" t="str">
            <v>statType</v>
          </cell>
          <cell r="C382" t="str">
            <v>탐험 상태 피해량</v>
          </cell>
          <cell r="D382">
            <v>4036</v>
          </cell>
        </row>
        <row r="383">
          <cell r="A383" t="str">
            <v>statType야생 동물 발견율%</v>
          </cell>
          <cell r="B383" t="str">
            <v>statType</v>
          </cell>
          <cell r="C383" t="str">
            <v>야생 동물 발견율%</v>
          </cell>
          <cell r="D383">
            <v>4037</v>
          </cell>
        </row>
        <row r="384">
          <cell r="A384" t="str">
            <v>statType아이템 획득률</v>
          </cell>
          <cell r="B384" t="str">
            <v>statType</v>
          </cell>
          <cell r="C384" t="str">
            <v>아이템 획득률</v>
          </cell>
          <cell r="D384">
            <v>4038</v>
          </cell>
        </row>
        <row r="385">
          <cell r="A385" t="str">
            <v>statType아이템 획득률%</v>
          </cell>
          <cell r="B385" t="str">
            <v>statType</v>
          </cell>
          <cell r="C385" t="str">
            <v>아이템 획득률%</v>
          </cell>
          <cell r="D385">
            <v>4039</v>
          </cell>
        </row>
        <row r="386">
          <cell r="A386" t="str">
            <v>statType환대 필요 재화량</v>
          </cell>
          <cell r="B386" t="str">
            <v>statType</v>
          </cell>
          <cell r="C386" t="str">
            <v>환대 필요 재화량</v>
          </cell>
          <cell r="D386">
            <v>4040</v>
          </cell>
        </row>
        <row r="387">
          <cell r="A387" t="str">
            <v>statType환대 필요 재화량%</v>
          </cell>
          <cell r="B387" t="str">
            <v>statType</v>
          </cell>
          <cell r="C387" t="str">
            <v>환대 필요 재화량%</v>
          </cell>
          <cell r="D387">
            <v>4041</v>
          </cell>
        </row>
        <row r="388">
          <cell r="A388" t="str">
            <v>statType약탈 피해량</v>
          </cell>
          <cell r="B388" t="str">
            <v>statType</v>
          </cell>
          <cell r="C388" t="str">
            <v>약탈 피해량</v>
          </cell>
          <cell r="D388">
            <v>4042</v>
          </cell>
        </row>
        <row r="389">
          <cell r="A389" t="str">
            <v>statType약탈 피해량%</v>
          </cell>
          <cell r="B389" t="str">
            <v>statType</v>
          </cell>
          <cell r="C389" t="str">
            <v>약탈 피해량%</v>
          </cell>
          <cell r="D389">
            <v>4043</v>
          </cell>
        </row>
        <row r="390">
          <cell r="A390" t="str">
            <v>statType보급품 획득량</v>
          </cell>
          <cell r="B390" t="str">
            <v>statType</v>
          </cell>
          <cell r="C390" t="str">
            <v>보급품 획득량</v>
          </cell>
          <cell r="D390">
            <v>4044</v>
          </cell>
        </row>
        <row r="391">
          <cell r="A391" t="str">
            <v>statType보급품 획득량%</v>
          </cell>
          <cell r="B391" t="str">
            <v>statType</v>
          </cell>
          <cell r="C391" t="str">
            <v>보급품 획득량%</v>
          </cell>
          <cell r="D391">
            <v>4045</v>
          </cell>
        </row>
        <row r="392">
          <cell r="A392" t="str">
            <v>statType여급 호감도</v>
          </cell>
          <cell r="B392" t="str">
            <v>statType</v>
          </cell>
          <cell r="C392" t="str">
            <v>여급 호감도</v>
          </cell>
          <cell r="D392">
            <v>4046</v>
          </cell>
        </row>
        <row r="393">
          <cell r="A393" t="str">
            <v>statType여급 호감도%</v>
          </cell>
          <cell r="B393" t="str">
            <v>statType</v>
          </cell>
          <cell r="C393" t="str">
            <v>여급 호감도%</v>
          </cell>
          <cell r="D393">
            <v>4047</v>
          </cell>
        </row>
        <row r="394">
          <cell r="A394" t="str">
            <v>statType발견물 보고 보상률</v>
          </cell>
          <cell r="B394" t="str">
            <v>statType</v>
          </cell>
          <cell r="C394" t="str">
            <v>발견물 보고 보상률</v>
          </cell>
          <cell r="D394">
            <v>4048</v>
          </cell>
        </row>
        <row r="395">
          <cell r="A395" t="str">
            <v>statType발견물 보고 보상률%</v>
          </cell>
          <cell r="B395" t="str">
            <v>statType</v>
          </cell>
          <cell r="C395" t="str">
            <v>발견물 보고 보상률%</v>
          </cell>
          <cell r="D395">
            <v>4049</v>
          </cell>
        </row>
        <row r="396">
          <cell r="A396" t="str">
            <v>throughTileType정지</v>
          </cell>
          <cell r="B396" t="str">
            <v>throughTileType</v>
          </cell>
          <cell r="C396" t="str">
            <v>정지</v>
          </cell>
          <cell r="D396">
            <v>0</v>
          </cell>
        </row>
        <row r="397">
          <cell r="A397" t="str">
            <v>throughTileType정지&amp;경유</v>
          </cell>
          <cell r="B397" t="str">
            <v>throughTileType</v>
          </cell>
          <cell r="C397" t="str">
            <v>정지&amp;경유</v>
          </cell>
          <cell r="D397">
            <v>1</v>
          </cell>
        </row>
        <row r="398">
          <cell r="A398" t="str">
            <v>obstacleType아님</v>
          </cell>
          <cell r="B398" t="str">
            <v>obstacleType</v>
          </cell>
          <cell r="C398" t="str">
            <v>아님</v>
          </cell>
          <cell r="D398">
            <v>0</v>
          </cell>
        </row>
        <row r="399">
          <cell r="A399" t="str">
            <v>obstacleType작음</v>
          </cell>
          <cell r="B399" t="str">
            <v>obstacleType</v>
          </cell>
          <cell r="C399" t="str">
            <v>작음</v>
          </cell>
          <cell r="D399">
            <v>1</v>
          </cell>
        </row>
        <row r="400">
          <cell r="A400" t="str">
            <v>obstacleType큼</v>
          </cell>
          <cell r="B400" t="str">
            <v>obstacleType</v>
          </cell>
          <cell r="C400" t="str">
            <v>큼</v>
          </cell>
          <cell r="D400">
            <v>2</v>
          </cell>
        </row>
        <row r="401">
          <cell r="A401" t="str">
            <v>jobType없음</v>
          </cell>
          <cell r="B401" t="str">
            <v>jobType</v>
          </cell>
          <cell r="C401" t="str">
            <v>없음</v>
          </cell>
          <cell r="D401">
            <v>0</v>
          </cell>
        </row>
        <row r="402">
          <cell r="A402" t="str">
            <v>jobType모험</v>
          </cell>
          <cell r="B402" t="str">
            <v>jobType</v>
          </cell>
          <cell r="C402" t="str">
            <v>모험</v>
          </cell>
          <cell r="D402">
            <v>1</v>
          </cell>
        </row>
        <row r="403">
          <cell r="A403" t="str">
            <v>jobType교역</v>
          </cell>
          <cell r="B403" t="str">
            <v>jobType</v>
          </cell>
          <cell r="C403" t="str">
            <v>교역</v>
          </cell>
          <cell r="D403">
            <v>2</v>
          </cell>
        </row>
        <row r="404">
          <cell r="A404" t="str">
            <v>jobType전투</v>
          </cell>
          <cell r="B404" t="str">
            <v>jobType</v>
          </cell>
          <cell r="C404" t="str">
            <v>전투</v>
          </cell>
          <cell r="D404">
            <v>3</v>
          </cell>
        </row>
        <row r="405">
          <cell r="A405" t="str">
            <v>jobBattleType전투 아님</v>
          </cell>
          <cell r="B405" t="str">
            <v>jobBattleType</v>
          </cell>
          <cell r="C405" t="str">
            <v>전투 아님</v>
          </cell>
          <cell r="D405">
            <v>0</v>
          </cell>
        </row>
        <row r="406">
          <cell r="A406" t="str">
            <v>jobBattleType충파</v>
          </cell>
          <cell r="B406" t="str">
            <v>jobBattleType</v>
          </cell>
          <cell r="C406" t="str">
            <v>충파</v>
          </cell>
          <cell r="D406">
            <v>1</v>
          </cell>
        </row>
        <row r="407">
          <cell r="A407" t="str">
            <v>jobBattleType지원</v>
          </cell>
          <cell r="B407" t="str">
            <v>jobBattleType</v>
          </cell>
          <cell r="C407" t="str">
            <v>지원</v>
          </cell>
          <cell r="D407">
            <v>2</v>
          </cell>
        </row>
        <row r="408">
          <cell r="A408" t="str">
            <v>jobBattleType포격</v>
          </cell>
          <cell r="B408" t="str">
            <v>jobBattleType</v>
          </cell>
          <cell r="C408" t="str">
            <v>포격</v>
          </cell>
          <cell r="D408">
            <v>3</v>
          </cell>
        </row>
        <row r="409">
          <cell r="A409" t="str">
            <v>jobBattleType백병</v>
          </cell>
          <cell r="B409" t="str">
            <v>jobBattleType</v>
          </cell>
          <cell r="C409" t="str">
            <v>백병</v>
          </cell>
          <cell r="D409">
            <v>4</v>
          </cell>
        </row>
        <row r="410">
          <cell r="A410" t="str">
            <v>SkillActionType없음</v>
          </cell>
          <cell r="B410" t="str">
            <v>SkillActionType</v>
          </cell>
          <cell r="C410" t="str">
            <v>없음</v>
          </cell>
          <cell r="D410">
            <v>0</v>
          </cell>
        </row>
        <row r="411">
          <cell r="A411" t="str">
            <v>SkillActionType유닛 타겟</v>
          </cell>
          <cell r="B411" t="str">
            <v>SkillActionType</v>
          </cell>
          <cell r="C411" t="str">
            <v>유닛 타겟</v>
          </cell>
          <cell r="D411">
            <v>1</v>
          </cell>
        </row>
        <row r="412">
          <cell r="A412" t="str">
            <v>SkillActionType타일 타겟</v>
          </cell>
          <cell r="B412" t="str">
            <v>SkillActionType</v>
          </cell>
          <cell r="C412" t="str">
            <v>타일 타겟</v>
          </cell>
          <cell r="D412">
            <v>2</v>
          </cell>
        </row>
        <row r="413">
          <cell r="A413" t="str">
            <v>useDuelEffectTypeglobal 가능</v>
          </cell>
          <cell r="B413" t="str">
            <v>useDuelEffectType</v>
          </cell>
          <cell r="C413" t="str">
            <v>global 가능</v>
          </cell>
          <cell r="D413">
            <v>0</v>
          </cell>
        </row>
        <row r="414">
          <cell r="A414" t="str">
            <v>useDuelEffectTypeself 가능</v>
          </cell>
          <cell r="B414" t="str">
            <v>useDuelEffectType</v>
          </cell>
          <cell r="C414" t="str">
            <v>self 가능</v>
          </cell>
          <cell r="D414">
            <v>1</v>
          </cell>
        </row>
        <row r="415">
          <cell r="A415" t="str">
            <v>useDuelEffectTypetarget 가능</v>
          </cell>
          <cell r="B415" t="str">
            <v>useDuelEffectType</v>
          </cell>
          <cell r="C415" t="str">
            <v>target 가능</v>
          </cell>
          <cell r="D415">
            <v>2</v>
          </cell>
        </row>
        <row r="416">
          <cell r="A416" t="str">
            <v>useDuelEffectTypeself,target 가능</v>
          </cell>
          <cell r="B416" t="str">
            <v>useDuelEffectType</v>
          </cell>
          <cell r="C416" t="str">
            <v>self,target 가능</v>
          </cell>
          <cell r="D416">
            <v>3</v>
          </cell>
        </row>
        <row r="417">
          <cell r="A417" t="str">
            <v>duelEffectTimingType행동 전</v>
          </cell>
          <cell r="B417" t="str">
            <v>duelEffectTimingType</v>
          </cell>
          <cell r="C417" t="str">
            <v>행동 전</v>
          </cell>
          <cell r="D417">
            <v>0</v>
          </cell>
        </row>
        <row r="418">
          <cell r="A418" t="str">
            <v>duelEffectTimingType행동 후</v>
          </cell>
          <cell r="B418" t="str">
            <v>duelEffectTimingType</v>
          </cell>
          <cell r="C418" t="str">
            <v>행동 후</v>
          </cell>
          <cell r="D418">
            <v>1</v>
          </cell>
        </row>
        <row r="419">
          <cell r="A419" t="str">
            <v>duelSkillUseType사용 제한 없음</v>
          </cell>
          <cell r="B419" t="str">
            <v>duelSkillUseType</v>
          </cell>
          <cell r="C419" t="str">
            <v>사용 제한 없음</v>
          </cell>
          <cell r="D419">
            <v>0</v>
          </cell>
        </row>
        <row r="420">
          <cell r="A420" t="str">
            <v>duelSkillUseType공격 스킬</v>
          </cell>
          <cell r="B420" t="str">
            <v>duelSkillUseType</v>
          </cell>
          <cell r="C420" t="str">
            <v>공격 스킬</v>
          </cell>
          <cell r="D420">
            <v>1</v>
          </cell>
        </row>
        <row r="421">
          <cell r="A421" t="str">
            <v>duelSkillUseType방어스킬</v>
          </cell>
          <cell r="B421" t="str">
            <v>duelSkillUseType</v>
          </cell>
          <cell r="C421" t="str">
            <v>방어스킬</v>
          </cell>
          <cell r="D421">
            <v>2</v>
          </cell>
        </row>
        <row r="422">
          <cell r="A422" t="str">
            <v>townTermsType없음</v>
          </cell>
          <cell r="B422" t="str">
            <v>townTermsType</v>
          </cell>
          <cell r="C422" t="str">
            <v>없음</v>
          </cell>
          <cell r="D422">
            <v>0</v>
          </cell>
        </row>
        <row r="423">
          <cell r="A423" t="str">
            <v>townTermsType공업 발전 LV</v>
          </cell>
          <cell r="B423" t="str">
            <v>townTermsType</v>
          </cell>
          <cell r="C423" t="str">
            <v>공업 발전 LV</v>
          </cell>
          <cell r="D423">
            <v>1</v>
          </cell>
        </row>
        <row r="424">
          <cell r="A424" t="str">
            <v>townTermsType상업 발전 LV</v>
          </cell>
          <cell r="B424" t="str">
            <v>townTermsType</v>
          </cell>
          <cell r="C424" t="str">
            <v>상업 발전 LV</v>
          </cell>
          <cell r="D424">
            <v>2</v>
          </cell>
        </row>
        <row r="425">
          <cell r="A425" t="str">
            <v>townTermsType군사 발전 LV</v>
          </cell>
          <cell r="B425" t="str">
            <v>townTermsType</v>
          </cell>
          <cell r="C425" t="str">
            <v>군사 발전 LV</v>
          </cell>
          <cell r="D425">
            <v>3</v>
          </cell>
        </row>
        <row r="426">
          <cell r="A426" t="str">
            <v>townTermsType발전 LV 합</v>
          </cell>
          <cell r="B426" t="str">
            <v>townTermsType</v>
          </cell>
          <cell r="C426" t="str">
            <v>발전 LV 합</v>
          </cell>
          <cell r="D426">
            <v>4</v>
          </cell>
        </row>
        <row r="427">
          <cell r="A427" t="str">
            <v>tradeGoodsCategory식료품</v>
          </cell>
          <cell r="B427" t="str">
            <v>tradeGoodsCategory</v>
          </cell>
          <cell r="C427" t="str">
            <v>식료품</v>
          </cell>
          <cell r="D427">
            <v>0</v>
          </cell>
        </row>
        <row r="428">
          <cell r="A428" t="str">
            <v>tradeGoodsCategory조미료</v>
          </cell>
          <cell r="B428" t="str">
            <v>tradeGoodsCategory</v>
          </cell>
          <cell r="C428" t="str">
            <v>조미료</v>
          </cell>
          <cell r="D428">
            <v>1</v>
          </cell>
        </row>
        <row r="429">
          <cell r="A429" t="str">
            <v>tradeGoodsCategory가축</v>
          </cell>
          <cell r="B429" t="str">
            <v>tradeGoodsCategory</v>
          </cell>
          <cell r="C429" t="str">
            <v>가축</v>
          </cell>
          <cell r="D429">
            <v>2</v>
          </cell>
        </row>
        <row r="430">
          <cell r="A430" t="str">
            <v>tradeGoodsCategory의약품</v>
          </cell>
          <cell r="B430" t="str">
            <v>tradeGoodsCategory</v>
          </cell>
          <cell r="C430" t="str">
            <v>의약품</v>
          </cell>
          <cell r="D430">
            <v>3</v>
          </cell>
        </row>
        <row r="431">
          <cell r="A431" t="str">
            <v>tradeGoodsCategory잡화</v>
          </cell>
          <cell r="B431" t="str">
            <v>tradeGoodsCategory</v>
          </cell>
          <cell r="C431" t="str">
            <v>잡화</v>
          </cell>
          <cell r="D431">
            <v>4</v>
          </cell>
        </row>
        <row r="432">
          <cell r="A432" t="str">
            <v>tradeGoodsCategory주류</v>
          </cell>
          <cell r="B432" t="str">
            <v>tradeGoodsCategory</v>
          </cell>
          <cell r="C432" t="str">
            <v>주류</v>
          </cell>
          <cell r="D432">
            <v>5</v>
          </cell>
        </row>
        <row r="433">
          <cell r="A433" t="str">
            <v>tradeGoodsCategory염료</v>
          </cell>
          <cell r="B433" t="str">
            <v>tradeGoodsCategory</v>
          </cell>
          <cell r="C433" t="str">
            <v>염료</v>
          </cell>
          <cell r="D433">
            <v>6</v>
          </cell>
        </row>
        <row r="434">
          <cell r="A434" t="str">
            <v>tradeGoodsCategory광석</v>
          </cell>
          <cell r="B434" t="str">
            <v>tradeGoodsCategory</v>
          </cell>
          <cell r="C434" t="str">
            <v>광석</v>
          </cell>
          <cell r="D434">
            <v>7</v>
          </cell>
        </row>
        <row r="435">
          <cell r="A435" t="str">
            <v>tradeGoodsCategory공업품</v>
          </cell>
          <cell r="B435" t="str">
            <v>tradeGoodsCategory</v>
          </cell>
          <cell r="C435" t="str">
            <v>공업품</v>
          </cell>
          <cell r="D435">
            <v>8</v>
          </cell>
        </row>
        <row r="436">
          <cell r="A436" t="str">
            <v>tradeGoodsCategory기호품</v>
          </cell>
          <cell r="B436" t="str">
            <v>tradeGoodsCategory</v>
          </cell>
          <cell r="C436" t="str">
            <v>기호품</v>
          </cell>
          <cell r="D436">
            <v>9</v>
          </cell>
        </row>
        <row r="437">
          <cell r="A437" t="str">
            <v>tradeGoodsCategory섬유</v>
          </cell>
          <cell r="B437" t="str">
            <v>tradeGoodsCategory</v>
          </cell>
          <cell r="C437" t="str">
            <v>섬유</v>
          </cell>
          <cell r="D437">
            <v>10</v>
          </cell>
        </row>
        <row r="438">
          <cell r="A438" t="str">
            <v>tradeGoodsCategory직물</v>
          </cell>
          <cell r="B438" t="str">
            <v>tradeGoodsCategory</v>
          </cell>
          <cell r="C438" t="str">
            <v>직물</v>
          </cell>
          <cell r="D438">
            <v>11</v>
          </cell>
        </row>
        <row r="439">
          <cell r="A439" t="str">
            <v>tradeGoodsCategory공예품</v>
          </cell>
          <cell r="B439" t="str">
            <v>tradeGoodsCategory</v>
          </cell>
          <cell r="C439" t="str">
            <v>공예품</v>
          </cell>
          <cell r="D439">
            <v>12</v>
          </cell>
        </row>
        <row r="440">
          <cell r="A440" t="str">
            <v>tradeGoodsCategory미술품</v>
          </cell>
          <cell r="B440" t="str">
            <v>tradeGoodsCategory</v>
          </cell>
          <cell r="C440" t="str">
            <v>미술품</v>
          </cell>
          <cell r="D440">
            <v>13</v>
          </cell>
        </row>
        <row r="441">
          <cell r="A441" t="str">
            <v>tradeGoodsCategory향신료</v>
          </cell>
          <cell r="B441" t="str">
            <v>tradeGoodsCategory</v>
          </cell>
          <cell r="C441" t="str">
            <v>향신료</v>
          </cell>
          <cell r="D441">
            <v>14</v>
          </cell>
        </row>
        <row r="442">
          <cell r="A442" t="str">
            <v>tradeGoodsCategory귀금속</v>
          </cell>
          <cell r="B442" t="str">
            <v>tradeGoodsCategory</v>
          </cell>
          <cell r="C442" t="str">
            <v>귀금속</v>
          </cell>
          <cell r="D442">
            <v>15</v>
          </cell>
        </row>
        <row r="443">
          <cell r="A443" t="str">
            <v>tradeGoodsCategory향료</v>
          </cell>
          <cell r="B443" t="str">
            <v>tradeGoodsCategory</v>
          </cell>
          <cell r="C443" t="str">
            <v>향료</v>
          </cell>
          <cell r="D443">
            <v>16</v>
          </cell>
        </row>
        <row r="444">
          <cell r="A444" t="str">
            <v>tradeGoodsCategory보석</v>
          </cell>
          <cell r="B444" t="str">
            <v>tradeGoodsCategory</v>
          </cell>
          <cell r="C444" t="str">
            <v>보석</v>
          </cell>
          <cell r="D444">
            <v>17</v>
          </cell>
        </row>
        <row r="445">
          <cell r="A445" t="str">
            <v>tradeGoodsCategory무기류</v>
          </cell>
          <cell r="B445" t="str">
            <v>tradeGoodsCategory</v>
          </cell>
          <cell r="C445" t="str">
            <v>무기류</v>
          </cell>
          <cell r="D445">
            <v>18</v>
          </cell>
        </row>
        <row r="446">
          <cell r="A446" t="str">
            <v>tradeGoodsCategory총포류</v>
          </cell>
          <cell r="B446" t="str">
            <v>tradeGoodsCategory</v>
          </cell>
          <cell r="C446" t="str">
            <v>총포류</v>
          </cell>
          <cell r="D446">
            <v>19</v>
          </cell>
        </row>
        <row r="447">
          <cell r="A447" t="str">
            <v>townDevelopType공업 발전</v>
          </cell>
          <cell r="B447" t="str">
            <v>townDevelopType</v>
          </cell>
          <cell r="C447" t="str">
            <v>공업 발전</v>
          </cell>
          <cell r="D447">
            <v>1</v>
          </cell>
        </row>
        <row r="448">
          <cell r="A448" t="str">
            <v>townDevelopType상업 발전</v>
          </cell>
          <cell r="B448" t="str">
            <v>townDevelopType</v>
          </cell>
          <cell r="C448" t="str">
            <v>상업 발전</v>
          </cell>
          <cell r="D448">
            <v>2</v>
          </cell>
        </row>
        <row r="449">
          <cell r="A449" t="str">
            <v>townDevelopType군사 발전</v>
          </cell>
          <cell r="B449" t="str">
            <v>townDevelopType</v>
          </cell>
          <cell r="C449" t="str">
            <v>군사 발전</v>
          </cell>
          <cell r="D449">
            <v>3</v>
          </cell>
        </row>
        <row r="450">
          <cell r="A450" t="str">
            <v>arrowIcon없음</v>
          </cell>
          <cell r="B450" t="str">
            <v>arrowIcon</v>
          </cell>
          <cell r="C450" t="str">
            <v>없음</v>
          </cell>
          <cell r="D450">
            <v>0</v>
          </cell>
        </row>
        <row r="451">
          <cell r="A451" t="str">
            <v>arrowIcon위</v>
          </cell>
          <cell r="B451" t="str">
            <v>arrowIcon</v>
          </cell>
          <cell r="C451" t="str">
            <v>위</v>
          </cell>
          <cell r="D451">
            <v>1</v>
          </cell>
        </row>
        <row r="452">
          <cell r="A452" t="str">
            <v>arrowIcon아래</v>
          </cell>
          <cell r="B452" t="str">
            <v>arrowIcon</v>
          </cell>
          <cell r="C452" t="str">
            <v>아래</v>
          </cell>
          <cell r="D452">
            <v>2</v>
          </cell>
        </row>
        <row r="453">
          <cell r="A453" t="str">
            <v>rewardType포인트</v>
          </cell>
          <cell r="B453" t="str">
            <v>rewardType</v>
          </cell>
          <cell r="C453" t="str">
            <v>포인트</v>
          </cell>
          <cell r="D453">
            <v>1</v>
          </cell>
        </row>
        <row r="454">
          <cell r="A454" t="str">
            <v>rewardType아이템</v>
          </cell>
          <cell r="B454" t="str">
            <v>rewardType</v>
          </cell>
          <cell r="C454" t="str">
            <v>아이템</v>
          </cell>
          <cell r="D454">
            <v>2</v>
          </cell>
        </row>
        <row r="455">
          <cell r="A455" t="str">
            <v>rewardType보급품</v>
          </cell>
          <cell r="B455" t="str">
            <v>rewardType</v>
          </cell>
          <cell r="C455" t="str">
            <v>보급품</v>
          </cell>
          <cell r="D455">
            <v>3</v>
          </cell>
        </row>
        <row r="456">
          <cell r="A456" t="str">
            <v>rewardType교역품</v>
          </cell>
          <cell r="B456" t="str">
            <v>rewardType</v>
          </cell>
          <cell r="C456" t="str">
            <v>교역품</v>
          </cell>
          <cell r="D456">
            <v>4</v>
          </cell>
        </row>
        <row r="457">
          <cell r="A457" t="str">
            <v>rewardType항해사 장비</v>
          </cell>
          <cell r="B457" t="str">
            <v>rewardType</v>
          </cell>
          <cell r="C457" t="str">
            <v>항해사 장비</v>
          </cell>
          <cell r="D457">
            <v>5</v>
          </cell>
        </row>
        <row r="458">
          <cell r="A458" t="str">
            <v>rewardType선박</v>
          </cell>
          <cell r="B458" t="str">
            <v>rewardType</v>
          </cell>
          <cell r="C458" t="str">
            <v>선박</v>
          </cell>
          <cell r="D458">
            <v>6</v>
          </cell>
        </row>
        <row r="459">
          <cell r="A459" t="str">
            <v>rewardType항해사</v>
          </cell>
          <cell r="B459" t="str">
            <v>rewardType</v>
          </cell>
          <cell r="C459" t="str">
            <v>항해사</v>
          </cell>
          <cell r="D459">
            <v>7</v>
          </cell>
        </row>
        <row r="460">
          <cell r="A460" t="str">
            <v>rewardType설계도</v>
          </cell>
          <cell r="B460" t="str">
            <v>rewardType</v>
          </cell>
          <cell r="C460" t="str">
            <v>설계도</v>
          </cell>
          <cell r="D460">
            <v>8</v>
          </cell>
        </row>
        <row r="461">
          <cell r="A461" t="str">
            <v>rewardType부품</v>
          </cell>
          <cell r="B461" t="str">
            <v>rewardType</v>
          </cell>
          <cell r="C461" t="str">
            <v>부품</v>
          </cell>
          <cell r="D461">
            <v>9</v>
          </cell>
        </row>
        <row r="462">
          <cell r="A462" t="str">
            <v>rewardType의뢰서</v>
          </cell>
          <cell r="B462" t="str">
            <v>rewardType</v>
          </cell>
          <cell r="C462" t="str">
            <v>의뢰서</v>
          </cell>
          <cell r="D462">
            <v>10</v>
          </cell>
        </row>
        <row r="463">
          <cell r="A463" t="str">
            <v>rewardType전투 경험치</v>
          </cell>
          <cell r="B463" t="str">
            <v>rewardType</v>
          </cell>
          <cell r="C463" t="str">
            <v>전투 경험치</v>
          </cell>
          <cell r="D463">
            <v>11</v>
          </cell>
        </row>
        <row r="464">
          <cell r="A464" t="str">
            <v>rewardType교역 경험치</v>
          </cell>
          <cell r="B464" t="str">
            <v>rewardType</v>
          </cell>
          <cell r="C464" t="str">
            <v>교역 경험치</v>
          </cell>
          <cell r="D464">
            <v>12</v>
          </cell>
        </row>
        <row r="465">
          <cell r="A465" t="str">
            <v>rewardType모험 경험치</v>
          </cell>
          <cell r="B465" t="str">
            <v>rewardType</v>
          </cell>
          <cell r="C465" t="str">
            <v>모험 경험치</v>
          </cell>
          <cell r="D465">
            <v>13</v>
          </cell>
        </row>
        <row r="466">
          <cell r="A466" t="str">
            <v>rewardType전투 명성</v>
          </cell>
          <cell r="B466" t="str">
            <v>rewardType</v>
          </cell>
          <cell r="C466" t="str">
            <v>전투 명성</v>
          </cell>
          <cell r="D466">
            <v>14</v>
          </cell>
        </row>
        <row r="467">
          <cell r="A467" t="str">
            <v>rewardType교역 명성</v>
          </cell>
          <cell r="B467" t="str">
            <v>rewardType</v>
          </cell>
          <cell r="C467" t="str">
            <v>교역 명성</v>
          </cell>
          <cell r="D467">
            <v>15</v>
          </cell>
        </row>
        <row r="468">
          <cell r="A468" t="str">
            <v>rewardType모험 명성</v>
          </cell>
          <cell r="B468" t="str">
            <v>rewardType</v>
          </cell>
          <cell r="C468" t="str">
            <v>모험 명성</v>
          </cell>
          <cell r="D468">
            <v>16</v>
          </cell>
        </row>
        <row r="469">
          <cell r="A469" t="str">
            <v>rewardType선원</v>
          </cell>
          <cell r="B469" t="str">
            <v>rewardType</v>
          </cell>
          <cell r="C469" t="str">
            <v>선원</v>
          </cell>
          <cell r="D469">
            <v>17</v>
          </cell>
        </row>
        <row r="470">
          <cell r="A470" t="str">
            <v>rewardType항해사 친밀도/충성도</v>
          </cell>
          <cell r="B470" t="str">
            <v>rewardType</v>
          </cell>
          <cell r="C470" t="str">
            <v>항해사 친밀도/충성도</v>
          </cell>
          <cell r="D470">
            <v>18</v>
          </cell>
        </row>
        <row r="471">
          <cell r="A471" t="str">
            <v>rewardType행동력</v>
          </cell>
          <cell r="B471" t="str">
            <v>rewardType</v>
          </cell>
          <cell r="C471" t="str">
            <v>행동력</v>
          </cell>
          <cell r="D471">
            <v>19</v>
          </cell>
        </row>
        <row r="472">
          <cell r="A472" t="str">
            <v>rewardType패스 경험치</v>
          </cell>
          <cell r="B472" t="str">
            <v>rewardType</v>
          </cell>
          <cell r="C472" t="str">
            <v>패스 경험치</v>
          </cell>
          <cell r="D472">
            <v>21</v>
          </cell>
        </row>
        <row r="473">
          <cell r="A473" t="str">
            <v>rewardType면세증</v>
          </cell>
          <cell r="B473" t="str">
            <v>rewardType</v>
          </cell>
          <cell r="C473" t="str">
            <v>면세증</v>
          </cell>
          <cell r="D473">
            <v>22</v>
          </cell>
        </row>
        <row r="474">
          <cell r="A474" t="str">
            <v xml:space="preserve">rewardType무료 구매 Shield </v>
          </cell>
          <cell r="B474" t="str">
            <v>rewardType</v>
          </cell>
          <cell r="C474" t="str">
            <v xml:space="preserve">무료 구매 Shield </v>
          </cell>
          <cell r="D474">
            <v>25</v>
          </cell>
        </row>
        <row r="475">
          <cell r="A475" t="str">
            <v xml:space="preserve">rewardType유료 구매 Shield </v>
          </cell>
          <cell r="B475" t="str">
            <v>rewardType</v>
          </cell>
          <cell r="C475" t="str">
            <v xml:space="preserve">유료 구매 Shield </v>
          </cell>
          <cell r="D475">
            <v>26</v>
          </cell>
        </row>
        <row r="476">
          <cell r="A476" t="str">
            <v>weightType절대</v>
          </cell>
          <cell r="B476" t="str">
            <v>weightType</v>
          </cell>
          <cell r="C476" t="str">
            <v>절대</v>
          </cell>
          <cell r="D476">
            <v>1</v>
          </cell>
        </row>
        <row r="477">
          <cell r="A477" t="str">
            <v>weightType상대</v>
          </cell>
          <cell r="B477" t="str">
            <v>weightType</v>
          </cell>
          <cell r="C477" t="str">
            <v>상대</v>
          </cell>
          <cell r="D477">
            <v>2</v>
          </cell>
        </row>
        <row r="478">
          <cell r="A478" t="str">
            <v>blueprintType서양형</v>
          </cell>
          <cell r="B478" t="str">
            <v>blueprintType</v>
          </cell>
          <cell r="C478" t="str">
            <v>서양형</v>
          </cell>
          <cell r="D478">
            <v>1</v>
          </cell>
        </row>
        <row r="479">
          <cell r="A479" t="str">
            <v>blueprintType동양형</v>
          </cell>
          <cell r="B479" t="str">
            <v>blueprintType</v>
          </cell>
          <cell r="C479" t="str">
            <v>동양형</v>
          </cell>
          <cell r="D479">
            <v>2</v>
          </cell>
        </row>
        <row r="480">
          <cell r="A480" t="str">
            <v>blueprintType특수</v>
          </cell>
          <cell r="B480" t="str">
            <v>blueprintType</v>
          </cell>
          <cell r="C480" t="str">
            <v>특수</v>
          </cell>
          <cell r="D480">
            <v>3</v>
          </cell>
        </row>
        <row r="481">
          <cell r="A481" t="str">
            <v>FEquipType몸</v>
          </cell>
          <cell r="B481" t="str">
            <v>FEquipType</v>
          </cell>
          <cell r="C481" t="str">
            <v>몸</v>
          </cell>
          <cell r="D481">
            <v>1</v>
          </cell>
        </row>
        <row r="482">
          <cell r="A482" t="str">
            <v>FEquipType머리</v>
          </cell>
          <cell r="B482" t="str">
            <v>FEquipType</v>
          </cell>
          <cell r="C482" t="str">
            <v>머리</v>
          </cell>
          <cell r="D482">
            <v>2</v>
          </cell>
        </row>
        <row r="483">
          <cell r="A483" t="str">
            <v>FEquipType무기</v>
          </cell>
          <cell r="B483" t="str">
            <v>FEquipType</v>
          </cell>
          <cell r="C483" t="str">
            <v>무기</v>
          </cell>
          <cell r="D483">
            <v>3</v>
          </cell>
        </row>
        <row r="484">
          <cell r="A484" t="str">
            <v>FEquipGradeD</v>
          </cell>
          <cell r="B484" t="str">
            <v>FEquipGrade</v>
          </cell>
          <cell r="C484" t="str">
            <v>D</v>
          </cell>
          <cell r="D484">
            <v>0</v>
          </cell>
        </row>
        <row r="485">
          <cell r="A485" t="str">
            <v>FEquipGradeC</v>
          </cell>
          <cell r="B485" t="str">
            <v>FEquipGrade</v>
          </cell>
          <cell r="C485" t="str">
            <v>C</v>
          </cell>
          <cell r="D485">
            <v>1</v>
          </cell>
        </row>
        <row r="486">
          <cell r="A486" t="str">
            <v>FEquipGradeB</v>
          </cell>
          <cell r="B486" t="str">
            <v>FEquipGrade</v>
          </cell>
          <cell r="C486" t="str">
            <v>B</v>
          </cell>
          <cell r="D486">
            <v>2</v>
          </cell>
        </row>
        <row r="487">
          <cell r="A487" t="str">
            <v>FEquipGradeA</v>
          </cell>
          <cell r="B487" t="str">
            <v>FEquipGrade</v>
          </cell>
          <cell r="C487" t="str">
            <v>A</v>
          </cell>
          <cell r="D487">
            <v>3</v>
          </cell>
        </row>
        <row r="488">
          <cell r="A488" t="str">
            <v>FEquipGradeS</v>
          </cell>
          <cell r="B488" t="str">
            <v>FEquipGrade</v>
          </cell>
          <cell r="C488" t="str">
            <v>S</v>
          </cell>
          <cell r="D488">
            <v>4</v>
          </cell>
        </row>
        <row r="489">
          <cell r="A489" t="str">
            <v>battleAttackTileType포격</v>
          </cell>
          <cell r="B489" t="str">
            <v>battleAttackTileType</v>
          </cell>
          <cell r="C489" t="str">
            <v>포격</v>
          </cell>
          <cell r="D489">
            <v>1</v>
          </cell>
        </row>
        <row r="490">
          <cell r="A490" t="str">
            <v>battleAttackTileType백병</v>
          </cell>
          <cell r="B490" t="str">
            <v>battleAttackTileType</v>
          </cell>
          <cell r="C490" t="str">
            <v>백병</v>
          </cell>
          <cell r="D490">
            <v>2</v>
          </cell>
        </row>
        <row r="491">
          <cell r="A491" t="str">
            <v>battleAttackTileType충파</v>
          </cell>
          <cell r="B491" t="str">
            <v>battleAttackTileType</v>
          </cell>
          <cell r="C491" t="str">
            <v>충파</v>
          </cell>
          <cell r="D491">
            <v>3</v>
          </cell>
        </row>
        <row r="492">
          <cell r="A492" t="str">
            <v>PassiveType없음</v>
          </cell>
          <cell r="B492" t="str">
            <v>PassiveType</v>
          </cell>
          <cell r="C492" t="str">
            <v>없음</v>
          </cell>
          <cell r="D492">
            <v>0</v>
          </cell>
        </row>
        <row r="493">
          <cell r="A493" t="str">
            <v>PassiveType포격</v>
          </cell>
          <cell r="B493" t="str">
            <v>PassiveType</v>
          </cell>
          <cell r="C493" t="str">
            <v>포격</v>
          </cell>
          <cell r="D493">
            <v>1</v>
          </cell>
        </row>
        <row r="494">
          <cell r="A494" t="str">
            <v>PassiveType백병</v>
          </cell>
          <cell r="B494" t="str">
            <v>PassiveType</v>
          </cell>
          <cell r="C494" t="str">
            <v>백병</v>
          </cell>
          <cell r="D494">
            <v>2</v>
          </cell>
        </row>
        <row r="495">
          <cell r="A495" t="str">
            <v>PassiveType충파</v>
          </cell>
          <cell r="B495" t="str">
            <v>PassiveType</v>
          </cell>
          <cell r="C495" t="str">
            <v>충파</v>
          </cell>
          <cell r="D495">
            <v>3</v>
          </cell>
        </row>
        <row r="496">
          <cell r="A496" t="str">
            <v>PassiveType수리</v>
          </cell>
          <cell r="B496" t="str">
            <v>PassiveType</v>
          </cell>
          <cell r="C496" t="str">
            <v>수리</v>
          </cell>
          <cell r="D496">
            <v>4</v>
          </cell>
        </row>
        <row r="497">
          <cell r="A497" t="str">
            <v>PassiveType의술</v>
          </cell>
          <cell r="B497" t="str">
            <v>PassiveType</v>
          </cell>
          <cell r="C497" t="str">
            <v>의술</v>
          </cell>
          <cell r="D497">
            <v>5</v>
          </cell>
        </row>
        <row r="498">
          <cell r="A498" t="str">
            <v>PassiveType보조</v>
          </cell>
          <cell r="B498" t="str">
            <v>PassiveType</v>
          </cell>
          <cell r="C498" t="str">
            <v>보조</v>
          </cell>
          <cell r="D498">
            <v>6</v>
          </cell>
        </row>
        <row r="499">
          <cell r="A499" t="str">
            <v>PassiveType지원</v>
          </cell>
          <cell r="B499" t="str">
            <v>PassiveType</v>
          </cell>
          <cell r="C499" t="str">
            <v>지원</v>
          </cell>
          <cell r="D499" t="str">
            <v>-</v>
          </cell>
        </row>
        <row r="500">
          <cell r="A500" t="str">
            <v>PassiveType발견</v>
          </cell>
          <cell r="B500" t="str">
            <v>PassiveType</v>
          </cell>
          <cell r="C500" t="str">
            <v>발견</v>
          </cell>
          <cell r="D500">
            <v>7</v>
          </cell>
        </row>
        <row r="501">
          <cell r="A501" t="str">
            <v>PassiveType항해</v>
          </cell>
          <cell r="B501" t="str">
            <v>PassiveType</v>
          </cell>
          <cell r="C501" t="str">
            <v>항해</v>
          </cell>
          <cell r="D501">
            <v>8</v>
          </cell>
        </row>
        <row r="502">
          <cell r="A502" t="str">
            <v>PassiveType재해 예방</v>
          </cell>
          <cell r="B502" t="str">
            <v>PassiveType</v>
          </cell>
          <cell r="C502" t="str">
            <v>재해 예방</v>
          </cell>
          <cell r="D502">
            <v>9</v>
          </cell>
        </row>
        <row r="503">
          <cell r="A503" t="str">
            <v>PassiveType재해 해소</v>
          </cell>
          <cell r="B503" t="str">
            <v>PassiveType</v>
          </cell>
          <cell r="C503" t="str">
            <v>재해 해소</v>
          </cell>
          <cell r="D503">
            <v>10</v>
          </cell>
        </row>
        <row r="504">
          <cell r="A504" t="str">
            <v>PassiveType구매</v>
          </cell>
          <cell r="B504" t="str">
            <v>PassiveType</v>
          </cell>
          <cell r="C504" t="str">
            <v>구매</v>
          </cell>
          <cell r="D504">
            <v>11</v>
          </cell>
        </row>
        <row r="505">
          <cell r="A505" t="str">
            <v>PassiveType판매</v>
          </cell>
          <cell r="B505" t="str">
            <v>PassiveType</v>
          </cell>
          <cell r="C505" t="str">
            <v>판매</v>
          </cell>
          <cell r="D505">
            <v>12</v>
          </cell>
        </row>
        <row r="506">
          <cell r="A506" t="str">
            <v>PassiveType협상</v>
          </cell>
          <cell r="B506" t="str">
            <v>PassiveType</v>
          </cell>
          <cell r="C506" t="str">
            <v>협상</v>
          </cell>
          <cell r="D506">
            <v>13</v>
          </cell>
        </row>
        <row r="507">
          <cell r="A507" t="str">
            <v>PassiveType물물 교환</v>
          </cell>
          <cell r="B507" t="str">
            <v>PassiveType</v>
          </cell>
          <cell r="C507" t="str">
            <v>물물 교환</v>
          </cell>
          <cell r="D507">
            <v>14</v>
          </cell>
        </row>
        <row r="508">
          <cell r="A508" t="str">
            <v>PassiveType함성</v>
          </cell>
          <cell r="B508" t="str">
            <v>PassiveType</v>
          </cell>
          <cell r="C508" t="str">
            <v>함성</v>
          </cell>
          <cell r="D508">
            <v>15</v>
          </cell>
        </row>
        <row r="509">
          <cell r="A509" t="str">
            <v>PassiveType첩보</v>
          </cell>
          <cell r="B509" t="str">
            <v>PassiveType</v>
          </cell>
          <cell r="C509" t="str">
            <v>첩보</v>
          </cell>
          <cell r="D509">
            <v>16</v>
          </cell>
        </row>
        <row r="510">
          <cell r="A510" t="str">
            <v>PassiveType공격</v>
          </cell>
          <cell r="B510" t="str">
            <v>PassiveType</v>
          </cell>
          <cell r="C510" t="str">
            <v>공격</v>
          </cell>
          <cell r="D510">
            <v>17</v>
          </cell>
        </row>
        <row r="511">
          <cell r="A511" t="str">
            <v>BattleSkillType포격</v>
          </cell>
          <cell r="B511" t="str">
            <v>BattleSkillType</v>
          </cell>
          <cell r="C511" t="str">
            <v>포격</v>
          </cell>
          <cell r="D511">
            <v>1</v>
          </cell>
        </row>
        <row r="512">
          <cell r="A512" t="str">
            <v>BattleSkillType백병</v>
          </cell>
          <cell r="B512" t="str">
            <v>BattleSkillType</v>
          </cell>
          <cell r="C512" t="str">
            <v>백병</v>
          </cell>
          <cell r="D512">
            <v>2</v>
          </cell>
        </row>
        <row r="513">
          <cell r="A513" t="str">
            <v>BattleSkillType충파</v>
          </cell>
          <cell r="B513" t="str">
            <v>BattleSkillType</v>
          </cell>
          <cell r="C513" t="str">
            <v>충파</v>
          </cell>
          <cell r="D513">
            <v>3</v>
          </cell>
        </row>
        <row r="514">
          <cell r="A514" t="str">
            <v>BattleSkillType수리</v>
          </cell>
          <cell r="B514" t="str">
            <v>BattleSkillType</v>
          </cell>
          <cell r="C514" t="str">
            <v>수리</v>
          </cell>
          <cell r="D514">
            <v>4</v>
          </cell>
        </row>
        <row r="515">
          <cell r="A515" t="str">
            <v>BattleSkillType의술</v>
          </cell>
          <cell r="B515" t="str">
            <v>BattleSkillType</v>
          </cell>
          <cell r="C515" t="str">
            <v>의술</v>
          </cell>
          <cell r="D515">
            <v>5</v>
          </cell>
        </row>
        <row r="516">
          <cell r="A516" t="str">
            <v>BattleSkillType함성</v>
          </cell>
          <cell r="B516" t="str">
            <v>BattleSkillType</v>
          </cell>
          <cell r="C516" t="str">
            <v>함성</v>
          </cell>
          <cell r="D516">
            <v>6</v>
          </cell>
        </row>
        <row r="517">
          <cell r="A517" t="str">
            <v>BattleSkillType첩보</v>
          </cell>
          <cell r="B517" t="str">
            <v>BattleSkillType</v>
          </cell>
          <cell r="C517" t="str">
            <v>첩보</v>
          </cell>
          <cell r="D517">
            <v>7</v>
          </cell>
        </row>
        <row r="518">
          <cell r="A518" t="str">
            <v>BattleSkillType결투</v>
          </cell>
          <cell r="B518" t="str">
            <v>BattleSkillType</v>
          </cell>
          <cell r="C518" t="str">
            <v>결투</v>
          </cell>
          <cell r="D518">
            <v>8</v>
          </cell>
        </row>
        <row r="519">
          <cell r="A519" t="str">
            <v>BattleSkillCostType물</v>
          </cell>
          <cell r="B519" t="str">
            <v>BattleSkillCostType</v>
          </cell>
          <cell r="C519" t="str">
            <v>물</v>
          </cell>
          <cell r="D519">
            <v>1</v>
          </cell>
        </row>
        <row r="520">
          <cell r="A520" t="str">
            <v>BattleSkillCostType식량</v>
          </cell>
          <cell r="B520" t="str">
            <v>BattleSkillCostType</v>
          </cell>
          <cell r="C520" t="str">
            <v>식량</v>
          </cell>
          <cell r="D520">
            <v>2</v>
          </cell>
        </row>
        <row r="521">
          <cell r="A521" t="str">
            <v>BattleSkillCostType자재</v>
          </cell>
          <cell r="B521" t="str">
            <v>BattleSkillCostType</v>
          </cell>
          <cell r="C521" t="str">
            <v>자재</v>
          </cell>
          <cell r="D521">
            <v>3</v>
          </cell>
        </row>
        <row r="522">
          <cell r="A522" t="str">
            <v>BattleSkillCostType포탄</v>
          </cell>
          <cell r="B522" t="str">
            <v>BattleSkillCostType</v>
          </cell>
          <cell r="C522" t="str">
            <v>포탄</v>
          </cell>
          <cell r="D522">
            <v>4</v>
          </cell>
        </row>
        <row r="523">
          <cell r="A523" t="str">
            <v>BattleSkillCostType사기</v>
          </cell>
          <cell r="B523" t="str">
            <v>BattleSkillCostType</v>
          </cell>
          <cell r="C523" t="str">
            <v>사기</v>
          </cell>
          <cell r="D523">
            <v>5</v>
          </cell>
        </row>
        <row r="524">
          <cell r="A524" t="str">
            <v>BattleSkillCostType기동력</v>
          </cell>
          <cell r="B524" t="str">
            <v>BattleSkillCostType</v>
          </cell>
          <cell r="C524" t="str">
            <v>기동력</v>
          </cell>
          <cell r="D524">
            <v>6</v>
          </cell>
        </row>
        <row r="525">
          <cell r="A525" t="str">
            <v>BattleSkillTargetType아군</v>
          </cell>
          <cell r="B525" t="str">
            <v>BattleSkillTargetType</v>
          </cell>
          <cell r="C525" t="str">
            <v>아군</v>
          </cell>
          <cell r="D525">
            <v>1</v>
          </cell>
        </row>
        <row r="526">
          <cell r="A526" t="str">
            <v>BattleSkillTargetType적군</v>
          </cell>
          <cell r="B526" t="str">
            <v>BattleSkillTargetType</v>
          </cell>
          <cell r="C526" t="str">
            <v>적군</v>
          </cell>
          <cell r="D526">
            <v>2</v>
          </cell>
        </row>
        <row r="527">
          <cell r="A527" t="str">
            <v>BattleSkillTargetType아군 전체</v>
          </cell>
          <cell r="B527" t="str">
            <v>BattleSkillTargetType</v>
          </cell>
          <cell r="C527" t="str">
            <v>아군 전체</v>
          </cell>
          <cell r="D527">
            <v>3</v>
          </cell>
        </row>
        <row r="528">
          <cell r="A528" t="str">
            <v>BattleSkillTargetType적군 전체</v>
          </cell>
          <cell r="B528" t="str">
            <v>BattleSkillTargetType</v>
          </cell>
          <cell r="C528" t="str">
            <v>적군 전체</v>
          </cell>
          <cell r="D528">
            <v>4</v>
          </cell>
        </row>
        <row r="529">
          <cell r="A529" t="str">
            <v>BattleSkillTargetType전체</v>
          </cell>
          <cell r="B529" t="str">
            <v>BattleSkillTargetType</v>
          </cell>
          <cell r="C529" t="str">
            <v>전체</v>
          </cell>
          <cell r="D529">
            <v>5</v>
          </cell>
        </row>
        <row r="530">
          <cell r="A530" t="str">
            <v>BattleSkillAccuType상대</v>
          </cell>
          <cell r="B530" t="str">
            <v>BattleSkillAccuType</v>
          </cell>
          <cell r="C530" t="str">
            <v>상대</v>
          </cell>
          <cell r="D530">
            <v>1</v>
          </cell>
        </row>
        <row r="531">
          <cell r="A531" t="str">
            <v>BattleSkillAccuType절대</v>
          </cell>
          <cell r="B531" t="str">
            <v>BattleSkillAccuType</v>
          </cell>
          <cell r="C531" t="str">
            <v>절대</v>
          </cell>
          <cell r="D531">
            <v>2</v>
          </cell>
        </row>
        <row r="532">
          <cell r="A532" t="str">
            <v>BattleBuffType그룹 관리 안함</v>
          </cell>
          <cell r="B532" t="str">
            <v>BattleBuffType</v>
          </cell>
          <cell r="C532" t="str">
            <v>그룹 관리 안함</v>
          </cell>
          <cell r="D532">
            <v>0</v>
          </cell>
        </row>
        <row r="533">
          <cell r="A533" t="str">
            <v>BattleBuffType포격 상태이상</v>
          </cell>
          <cell r="B533" t="str">
            <v>BattleBuffType</v>
          </cell>
          <cell r="C533" t="str">
            <v>포격 상태이상</v>
          </cell>
          <cell r="D533">
            <v>1</v>
          </cell>
        </row>
        <row r="534">
          <cell r="A534" t="str">
            <v>BattleBuffType선원 상태이상</v>
          </cell>
          <cell r="B534" t="str">
            <v>BattleBuffType</v>
          </cell>
          <cell r="C534" t="str">
            <v>선원 상태이상</v>
          </cell>
          <cell r="D534">
            <v>2</v>
          </cell>
        </row>
        <row r="535">
          <cell r="A535" t="str">
            <v>BattleBuffType선박 상태이상</v>
          </cell>
          <cell r="B535" t="str">
            <v>BattleBuffType</v>
          </cell>
          <cell r="C535" t="str">
            <v>선박 상태이상</v>
          </cell>
          <cell r="D535">
            <v>3</v>
          </cell>
        </row>
        <row r="536">
          <cell r="A536" t="str">
            <v>BattleBuffType기동 상태이상</v>
          </cell>
          <cell r="B536" t="str">
            <v>BattleBuffType</v>
          </cell>
          <cell r="C536" t="str">
            <v>기동 상태이상</v>
          </cell>
          <cell r="D536">
            <v>4</v>
          </cell>
        </row>
        <row r="537">
          <cell r="A537" t="str">
            <v>BattleBuffCancelType별도관리(날씨등)</v>
          </cell>
          <cell r="B537" t="str">
            <v>BattleBuffCancelType</v>
          </cell>
          <cell r="C537" t="str">
            <v>별도관리(날씨등)</v>
          </cell>
          <cell r="D537">
            <v>0</v>
          </cell>
        </row>
        <row r="538">
          <cell r="A538" t="str">
            <v>BattleBuffCancelType유지-&gt;무조건 해제</v>
          </cell>
          <cell r="B538" t="str">
            <v>BattleBuffCancelType</v>
          </cell>
          <cell r="C538" t="str">
            <v>유지-&gt;무조건 해제</v>
          </cell>
          <cell r="D538">
            <v>1</v>
          </cell>
        </row>
        <row r="539">
          <cell r="A539" t="str">
            <v>BattleBuffCancelType유지-&gt;확률 해제</v>
          </cell>
          <cell r="B539" t="str">
            <v>BattleBuffCancelType</v>
          </cell>
          <cell r="C539" t="str">
            <v>유지-&gt;확률 해제</v>
          </cell>
          <cell r="D539">
            <v>2</v>
          </cell>
        </row>
        <row r="540">
          <cell r="A540" t="str">
            <v>BattleBuffCancelType확률 해제-&gt;무조건 해제</v>
          </cell>
          <cell r="B540" t="str">
            <v>BattleBuffCancelType</v>
          </cell>
          <cell r="C540" t="str">
            <v>확률 해제-&gt;무조건 해제</v>
          </cell>
          <cell r="D540">
            <v>3</v>
          </cell>
        </row>
        <row r="541">
          <cell r="A541" t="str">
            <v>BattleSkillDivideDamage개별 광역 피해</v>
          </cell>
          <cell r="B541" t="str">
            <v>BattleSkillDivideDamage</v>
          </cell>
          <cell r="C541" t="str">
            <v>개별 광역 피해</v>
          </cell>
          <cell r="D541">
            <v>0</v>
          </cell>
        </row>
        <row r="542">
          <cell r="A542" t="str">
            <v>BattleSkillDivideDamage분할 광역 피해</v>
          </cell>
          <cell r="B542" t="str">
            <v>BattleSkillDivideDamage</v>
          </cell>
          <cell r="C542" t="str">
            <v>분할 광역 피해</v>
          </cell>
          <cell r="D542">
            <v>1</v>
          </cell>
        </row>
        <row r="543">
          <cell r="A543" t="str">
            <v>BattleAoeRangeType타겟 기준</v>
          </cell>
          <cell r="B543" t="str">
            <v>BattleAoeRangeType</v>
          </cell>
          <cell r="C543" t="str">
            <v>타겟 기준</v>
          </cell>
          <cell r="D543">
            <v>0</v>
          </cell>
        </row>
        <row r="544">
          <cell r="A544" t="str">
            <v>BattleAoeRangeType시전자 기준</v>
          </cell>
          <cell r="B544" t="str">
            <v>BattleAoeRangeType</v>
          </cell>
          <cell r="C544" t="str">
            <v>시전자 기준</v>
          </cell>
          <cell r="D544">
            <v>1</v>
          </cell>
        </row>
        <row r="545">
          <cell r="A545" t="str">
            <v>aiConditionType사용 안함</v>
          </cell>
          <cell r="B545" t="str">
            <v>aiConditionType</v>
          </cell>
          <cell r="C545" t="str">
            <v>사용 안함</v>
          </cell>
          <cell r="D545" t="str">
            <v>-</v>
          </cell>
        </row>
        <row r="546">
          <cell r="A546" t="str">
            <v>aiConditionType적군 우세</v>
          </cell>
          <cell r="B546" t="str">
            <v>aiConditionType</v>
          </cell>
          <cell r="C546" t="str">
            <v>적군 우세</v>
          </cell>
          <cell r="D546">
            <v>1</v>
          </cell>
        </row>
        <row r="547">
          <cell r="A547" t="str">
            <v>aiConditionType아군 우세</v>
          </cell>
          <cell r="B547" t="str">
            <v>aiConditionType</v>
          </cell>
          <cell r="C547" t="str">
            <v>아군 우세</v>
          </cell>
          <cell r="D547">
            <v>2</v>
          </cell>
        </row>
        <row r="548">
          <cell r="A548" t="str">
            <v>aiConditionType사기 수치</v>
          </cell>
          <cell r="B548" t="str">
            <v>aiConditionType</v>
          </cell>
          <cell r="C548" t="str">
            <v>사기 수치</v>
          </cell>
          <cell r="D548">
            <v>3</v>
          </cell>
        </row>
        <row r="549">
          <cell r="A549" t="str">
            <v>aiConditionType제독 사망</v>
          </cell>
          <cell r="B549" t="str">
            <v>aiConditionType</v>
          </cell>
          <cell r="C549" t="str">
            <v>제독 사망</v>
          </cell>
          <cell r="D549">
            <v>4</v>
          </cell>
        </row>
        <row r="550">
          <cell r="A550" t="str">
            <v>aiConditionType자신 HP</v>
          </cell>
          <cell r="B550" t="str">
            <v>aiConditionType</v>
          </cell>
          <cell r="C550" t="str">
            <v>자신 HP</v>
          </cell>
          <cell r="D550">
            <v>5</v>
          </cell>
        </row>
        <row r="551">
          <cell r="A551" t="str">
            <v>aiConditionType아군 기함 HP</v>
          </cell>
          <cell r="B551" t="str">
            <v>aiConditionType</v>
          </cell>
          <cell r="C551" t="str">
            <v>아군 기함 HP</v>
          </cell>
          <cell r="D551">
            <v>6</v>
          </cell>
        </row>
        <row r="552">
          <cell r="A552" t="str">
            <v>aiConditionType아군 HP</v>
          </cell>
          <cell r="B552" t="str">
            <v>aiConditionType</v>
          </cell>
          <cell r="C552" t="str">
            <v>아군 HP</v>
          </cell>
          <cell r="D552">
            <v>7</v>
          </cell>
        </row>
        <row r="553">
          <cell r="A553" t="str">
            <v>aiConditionType적군 기함HP</v>
          </cell>
          <cell r="B553" t="str">
            <v>aiConditionType</v>
          </cell>
          <cell r="C553" t="str">
            <v>적군 기함HP</v>
          </cell>
          <cell r="D553">
            <v>8</v>
          </cell>
        </row>
        <row r="554">
          <cell r="A554" t="str">
            <v>aiConditionType적군 HP</v>
          </cell>
          <cell r="B554" t="str">
            <v>aiConditionType</v>
          </cell>
          <cell r="C554" t="str">
            <v>적군 HP</v>
          </cell>
          <cell r="D554">
            <v>9</v>
          </cell>
        </row>
        <row r="555">
          <cell r="A555" t="str">
            <v>aiConditionType전투 속성</v>
          </cell>
          <cell r="B555" t="str">
            <v>aiConditionType</v>
          </cell>
          <cell r="C555" t="str">
            <v>전투 속성</v>
          </cell>
          <cell r="D555">
            <v>10</v>
          </cell>
        </row>
        <row r="556">
          <cell r="A556" t="str">
            <v>aiConditionType아군 특정 항해사 생존</v>
          </cell>
          <cell r="B556" t="str">
            <v>aiConditionType</v>
          </cell>
          <cell r="C556" t="str">
            <v>아군 특정 항해사 생존</v>
          </cell>
          <cell r="D556">
            <v>11</v>
          </cell>
        </row>
        <row r="557">
          <cell r="A557" t="str">
            <v>aiConditionType적군 특정 항해사 생존</v>
          </cell>
          <cell r="B557" t="str">
            <v>aiConditionType</v>
          </cell>
          <cell r="C557" t="str">
            <v>적군 특정 항해사 생존</v>
          </cell>
          <cell r="D557">
            <v>12</v>
          </cell>
        </row>
        <row r="558">
          <cell r="A558" t="str">
            <v>aiConditionType아군 특정 선박 생존</v>
          </cell>
          <cell r="B558" t="str">
            <v>aiConditionType</v>
          </cell>
          <cell r="C558" t="str">
            <v>아군 특정 선박 생존</v>
          </cell>
          <cell r="D558">
            <v>13</v>
          </cell>
        </row>
        <row r="559">
          <cell r="A559" t="str">
            <v>aiConditionType적군 특정 선박 생존</v>
          </cell>
          <cell r="B559" t="str">
            <v>aiConditionType</v>
          </cell>
          <cell r="C559" t="str">
            <v>적군 특정 선박 생존</v>
          </cell>
          <cell r="D559">
            <v>14</v>
          </cell>
        </row>
        <row r="560">
          <cell r="A560" t="str">
            <v>aiConditionType등장 후 n 턴 동안</v>
          </cell>
          <cell r="B560" t="str">
            <v>aiConditionType</v>
          </cell>
          <cell r="C560" t="str">
            <v>등장 후 n 턴 동안</v>
          </cell>
          <cell r="D560">
            <v>15</v>
          </cell>
        </row>
        <row r="561">
          <cell r="A561" t="str">
            <v>aiConditionType난입 후 n 턴 동안</v>
          </cell>
          <cell r="B561" t="str">
            <v>aiConditionType</v>
          </cell>
          <cell r="C561" t="str">
            <v>난입 후 n 턴 동안</v>
          </cell>
          <cell r="D561">
            <v>16</v>
          </cell>
        </row>
        <row r="562">
          <cell r="A562" t="str">
            <v>aiConditionType가장 가까운 적으로부터 n 타일</v>
          </cell>
          <cell r="B562" t="str">
            <v>aiConditionType</v>
          </cell>
          <cell r="C562" t="str">
            <v>가장 가까운 적으로부터 n 타일</v>
          </cell>
          <cell r="D562">
            <v>17</v>
          </cell>
        </row>
        <row r="563">
          <cell r="A563" t="str">
            <v>aiConditionTypebattleSkill 사용 가능</v>
          </cell>
          <cell r="B563" t="str">
            <v>aiConditionType</v>
          </cell>
          <cell r="C563" t="str">
            <v>battleSkill 사용 가능</v>
          </cell>
          <cell r="D563">
            <v>18</v>
          </cell>
        </row>
        <row r="564">
          <cell r="A564" t="str">
            <v>aiTargetType지정 대상 사용</v>
          </cell>
          <cell r="B564" t="str">
            <v>aiTargetType</v>
          </cell>
          <cell r="C564" t="str">
            <v>지정 대상 사용</v>
          </cell>
          <cell r="D564">
            <v>0</v>
          </cell>
        </row>
        <row r="565">
          <cell r="A565" t="str">
            <v>aiTargetType대상 필터 사용</v>
          </cell>
          <cell r="B565" t="str">
            <v>aiTargetType</v>
          </cell>
          <cell r="C565" t="str">
            <v>대상 필터 사용</v>
          </cell>
          <cell r="D565">
            <v>1</v>
          </cell>
        </row>
        <row r="566">
          <cell r="A566" t="str">
            <v>aiTargetType대상 타일 사용</v>
          </cell>
          <cell r="B566" t="str">
            <v>aiTargetType</v>
          </cell>
          <cell r="C566" t="str">
            <v>대상 타일 사용</v>
          </cell>
          <cell r="D566">
            <v>2</v>
          </cell>
        </row>
        <row r="567">
          <cell r="A567" t="str">
            <v>aiAssignTarget지정 하지 않음</v>
          </cell>
          <cell r="B567" t="str">
            <v>aiAssignTarget</v>
          </cell>
          <cell r="C567" t="str">
            <v>지정 하지 않음</v>
          </cell>
          <cell r="D567">
            <v>0</v>
          </cell>
        </row>
        <row r="568">
          <cell r="A568" t="str">
            <v>aiAssignTarget가까운 아군 대상</v>
          </cell>
          <cell r="B568" t="str">
            <v>aiAssignTarget</v>
          </cell>
          <cell r="C568" t="str">
            <v>가까운 아군 대상</v>
          </cell>
          <cell r="D568">
            <v>1</v>
          </cell>
        </row>
        <row r="569">
          <cell r="A569" t="str">
            <v>aiAssignTarget먼 아군 대상</v>
          </cell>
          <cell r="B569" t="str">
            <v>aiAssignTarget</v>
          </cell>
          <cell r="C569" t="str">
            <v>먼 아군 대상</v>
          </cell>
          <cell r="D569">
            <v>2</v>
          </cell>
        </row>
        <row r="570">
          <cell r="A570" t="str">
            <v>aiAssignTarget아군 기함 대상</v>
          </cell>
          <cell r="B570" t="str">
            <v>aiAssignTarget</v>
          </cell>
          <cell r="C570" t="str">
            <v>아군 기함 대상</v>
          </cell>
          <cell r="D570">
            <v>3</v>
          </cell>
        </row>
        <row r="571">
          <cell r="A571" t="str">
            <v>aiAssignTarget가까운 적 대상</v>
          </cell>
          <cell r="B571" t="str">
            <v>aiAssignTarget</v>
          </cell>
          <cell r="C571" t="str">
            <v>가까운 적 대상</v>
          </cell>
          <cell r="D571">
            <v>4</v>
          </cell>
        </row>
        <row r="572">
          <cell r="A572" t="str">
            <v>aiAssignTarget먼 적 대상</v>
          </cell>
          <cell r="B572" t="str">
            <v>aiAssignTarget</v>
          </cell>
          <cell r="C572" t="str">
            <v>먼 적 대상</v>
          </cell>
          <cell r="D572">
            <v>5</v>
          </cell>
        </row>
        <row r="573">
          <cell r="A573" t="str">
            <v>aiAssignTarget적 기함 대상</v>
          </cell>
          <cell r="B573" t="str">
            <v>aiAssignTarget</v>
          </cell>
          <cell r="C573" t="str">
            <v>적 기함 대상</v>
          </cell>
          <cell r="D573">
            <v>6</v>
          </cell>
        </row>
        <row r="574">
          <cell r="A574" t="str">
            <v>aiPattern기본 방식</v>
          </cell>
          <cell r="B574" t="str">
            <v>aiPattern</v>
          </cell>
          <cell r="C574" t="str">
            <v>기본 방식</v>
          </cell>
          <cell r="D574">
            <v>0</v>
          </cell>
        </row>
        <row r="575">
          <cell r="A575" t="str">
            <v>aiPattern이동 우선</v>
          </cell>
          <cell r="B575" t="str">
            <v>aiPattern</v>
          </cell>
          <cell r="C575" t="str">
            <v>이동 우선</v>
          </cell>
          <cell r="D575">
            <v>1</v>
          </cell>
        </row>
        <row r="576">
          <cell r="A576" t="str">
            <v>aiPattern이동하며 액션</v>
          </cell>
          <cell r="B576" t="str">
            <v>aiPattern</v>
          </cell>
          <cell r="C576" t="str">
            <v>이동하며 액션</v>
          </cell>
          <cell r="D576">
            <v>2</v>
          </cell>
        </row>
        <row r="577">
          <cell r="A577" t="str">
            <v>aiPattern제자리 사수</v>
          </cell>
          <cell r="B577" t="str">
            <v>aiPattern</v>
          </cell>
          <cell r="C577" t="str">
            <v>제자리 사수</v>
          </cell>
          <cell r="D577">
            <v>3</v>
          </cell>
        </row>
        <row r="578">
          <cell r="A578" t="str">
            <v>CompanyNameType없음</v>
          </cell>
          <cell r="B578" t="str">
            <v>CompanyNameType</v>
          </cell>
          <cell r="C578" t="str">
            <v>없음</v>
          </cell>
          <cell r="D578">
            <v>0</v>
          </cell>
        </row>
        <row r="579">
          <cell r="A579" t="str">
            <v>CompanyNameType접두</v>
          </cell>
          <cell r="B579" t="str">
            <v>CompanyNameType</v>
          </cell>
          <cell r="C579" t="str">
            <v>접두</v>
          </cell>
          <cell r="D579">
            <v>1</v>
          </cell>
        </row>
        <row r="580">
          <cell r="A580" t="str">
            <v>CompanyNameType본문</v>
          </cell>
          <cell r="B580" t="str">
            <v>CompanyNameType</v>
          </cell>
          <cell r="C580" t="str">
            <v>본문</v>
          </cell>
          <cell r="D580">
            <v>2</v>
          </cell>
        </row>
        <row r="581">
          <cell r="A581" t="str">
            <v>CompanyNameType접미</v>
          </cell>
          <cell r="B581" t="str">
            <v>CompanyNameType</v>
          </cell>
          <cell r="C581" t="str">
            <v>접미</v>
          </cell>
          <cell r="D581">
            <v>3</v>
          </cell>
        </row>
        <row r="582">
          <cell r="A582" t="str">
            <v>CharacterNameType서양(띄움)</v>
          </cell>
          <cell r="B582" t="str">
            <v>CharacterNameType</v>
          </cell>
          <cell r="C582" t="str">
            <v>서양(띄움)</v>
          </cell>
          <cell r="D582">
            <v>1</v>
          </cell>
        </row>
        <row r="583">
          <cell r="A583" t="str">
            <v>CharacterNameType동양(띄움)</v>
          </cell>
          <cell r="B583" t="str">
            <v>CharacterNameType</v>
          </cell>
          <cell r="C583" t="str">
            <v>동양(띄움)</v>
          </cell>
          <cell r="D583">
            <v>2</v>
          </cell>
        </row>
        <row r="584">
          <cell r="A584" t="str">
            <v>CharacterNameType동양(붙임)</v>
          </cell>
          <cell r="B584" t="str">
            <v>CharacterNameType</v>
          </cell>
          <cell r="C584" t="str">
            <v>동양(붙임)</v>
          </cell>
          <cell r="D584">
            <v>3</v>
          </cell>
        </row>
        <row r="585">
          <cell r="A585" t="str">
            <v>characterSailorType전용 외형</v>
          </cell>
          <cell r="B585" t="str">
            <v>characterSailorType</v>
          </cell>
          <cell r="C585" t="str">
            <v>전용 외형</v>
          </cell>
          <cell r="D585">
            <v>0</v>
          </cell>
        </row>
        <row r="586">
          <cell r="A586" t="str">
            <v>characterSailorType선원 공용 외형</v>
          </cell>
          <cell r="B586" t="str">
            <v>characterSailorType</v>
          </cell>
          <cell r="C586" t="str">
            <v>선원 공용 외형</v>
          </cell>
          <cell r="D586">
            <v>1</v>
          </cell>
        </row>
        <row r="587">
          <cell r="A587" t="str">
            <v>discoveryGroup없음</v>
          </cell>
          <cell r="B587" t="str">
            <v>discoveryGroup</v>
          </cell>
          <cell r="C587" t="str">
            <v>없음</v>
          </cell>
          <cell r="D587">
            <v>0</v>
          </cell>
        </row>
        <row r="588">
          <cell r="A588" t="str">
            <v>discoveryGroup자연</v>
          </cell>
          <cell r="B588" t="str">
            <v>discoveryGroup</v>
          </cell>
          <cell r="C588" t="str">
            <v>자연</v>
          </cell>
          <cell r="D588">
            <v>1</v>
          </cell>
        </row>
        <row r="589">
          <cell r="A589" t="str">
            <v>discoveryGroup동물</v>
          </cell>
          <cell r="B589" t="str">
            <v>discoveryGroup</v>
          </cell>
          <cell r="C589" t="str">
            <v>동물</v>
          </cell>
          <cell r="D589">
            <v>2</v>
          </cell>
        </row>
        <row r="590">
          <cell r="A590" t="str">
            <v>discoveryGroup식물</v>
          </cell>
          <cell r="B590" t="str">
            <v>discoveryGroup</v>
          </cell>
          <cell r="C590" t="str">
            <v>식물</v>
          </cell>
          <cell r="D590">
            <v>3</v>
          </cell>
        </row>
        <row r="591">
          <cell r="A591" t="str">
            <v>discoveryGroup건축</v>
          </cell>
          <cell r="B591" t="str">
            <v>discoveryGroup</v>
          </cell>
          <cell r="C591" t="str">
            <v>건축</v>
          </cell>
          <cell r="D591">
            <v>4</v>
          </cell>
        </row>
        <row r="592">
          <cell r="A592" t="str">
            <v>discoveryGroup유물</v>
          </cell>
          <cell r="B592" t="str">
            <v>discoveryGroup</v>
          </cell>
          <cell r="C592" t="str">
            <v>유물</v>
          </cell>
          <cell r="D592">
            <v>5</v>
          </cell>
        </row>
        <row r="593">
          <cell r="A593" t="str">
            <v>discoveryGroup보물</v>
          </cell>
          <cell r="B593" t="str">
            <v>discoveryGroup</v>
          </cell>
          <cell r="C593" t="str">
            <v>보물</v>
          </cell>
          <cell r="D593">
            <v>6</v>
          </cell>
        </row>
        <row r="594">
          <cell r="A594" t="str">
            <v>discoveryType없음</v>
          </cell>
          <cell r="B594" t="str">
            <v>discoveryType</v>
          </cell>
          <cell r="C594" t="str">
            <v>없음</v>
          </cell>
          <cell r="D594">
            <v>0</v>
          </cell>
        </row>
        <row r="595">
          <cell r="A595" t="str">
            <v>discoveryType지리</v>
          </cell>
          <cell r="B595" t="str">
            <v>discoveryType</v>
          </cell>
          <cell r="C595" t="str">
            <v>지리</v>
          </cell>
          <cell r="D595">
            <v>1</v>
          </cell>
        </row>
        <row r="596">
          <cell r="A596" t="str">
            <v>discoveryType천문</v>
          </cell>
          <cell r="B596" t="str">
            <v>discoveryType</v>
          </cell>
          <cell r="C596" t="str">
            <v>천문</v>
          </cell>
          <cell r="D596">
            <v>2</v>
          </cell>
        </row>
        <row r="597">
          <cell r="A597" t="str">
            <v>discoveryType기상 현상</v>
          </cell>
          <cell r="B597" t="str">
            <v>discoveryType</v>
          </cell>
          <cell r="C597" t="str">
            <v>기상 현상</v>
          </cell>
          <cell r="D597">
            <v>3</v>
          </cell>
        </row>
        <row r="598">
          <cell r="A598" t="str">
            <v>discoveryType화석</v>
          </cell>
          <cell r="B598" t="str">
            <v>discoveryType</v>
          </cell>
          <cell r="C598" t="str">
            <v>화석</v>
          </cell>
          <cell r="D598">
            <v>4</v>
          </cell>
        </row>
        <row r="599">
          <cell r="A599" t="str">
            <v>discoveryType포유류</v>
          </cell>
          <cell r="B599" t="str">
            <v>discoveryType</v>
          </cell>
          <cell r="C599" t="str">
            <v>포유류</v>
          </cell>
          <cell r="D599">
            <v>5</v>
          </cell>
        </row>
        <row r="600">
          <cell r="A600" t="str">
            <v>discoveryType조류</v>
          </cell>
          <cell r="B600" t="str">
            <v>discoveryType</v>
          </cell>
          <cell r="C600" t="str">
            <v>조류</v>
          </cell>
          <cell r="D600">
            <v>6</v>
          </cell>
        </row>
        <row r="601">
          <cell r="A601" t="str">
            <v>discoveryType파충류</v>
          </cell>
          <cell r="B601" t="str">
            <v>discoveryType</v>
          </cell>
          <cell r="C601" t="str">
            <v>파충류</v>
          </cell>
          <cell r="D601">
            <v>7</v>
          </cell>
        </row>
        <row r="602">
          <cell r="A602" t="str">
            <v>discoveryType어류</v>
          </cell>
          <cell r="B602" t="str">
            <v>discoveryType</v>
          </cell>
          <cell r="C602" t="str">
            <v>어류</v>
          </cell>
          <cell r="D602">
            <v>8</v>
          </cell>
        </row>
        <row r="603">
          <cell r="A603" t="str">
            <v>discoveryType무척추동물</v>
          </cell>
          <cell r="B603" t="str">
            <v>discoveryType</v>
          </cell>
          <cell r="C603" t="str">
            <v>무척추동물</v>
          </cell>
          <cell r="D603">
            <v>9</v>
          </cell>
        </row>
        <row r="604">
          <cell r="A604" t="str">
            <v>discoveryType단자엽</v>
          </cell>
          <cell r="B604" t="str">
            <v>discoveryType</v>
          </cell>
          <cell r="C604" t="str">
            <v>단자엽</v>
          </cell>
          <cell r="D604">
            <v>10</v>
          </cell>
        </row>
        <row r="605">
          <cell r="A605" t="str">
            <v>discoveryType쌍자엽</v>
          </cell>
          <cell r="B605" t="str">
            <v>discoveryType</v>
          </cell>
          <cell r="C605" t="str">
            <v>쌍자엽</v>
          </cell>
          <cell r="D605">
            <v>11</v>
          </cell>
        </row>
        <row r="606">
          <cell r="A606" t="str">
            <v>discoveryType사적</v>
          </cell>
          <cell r="B606" t="str">
            <v>discoveryType</v>
          </cell>
          <cell r="C606" t="str">
            <v>사적</v>
          </cell>
          <cell r="D606">
            <v>12</v>
          </cell>
        </row>
        <row r="607">
          <cell r="A607" t="str">
            <v>discoveryType항구</v>
          </cell>
          <cell r="B607" t="str">
            <v>discoveryType</v>
          </cell>
          <cell r="C607" t="str">
            <v>항구</v>
          </cell>
          <cell r="D607">
            <v>13</v>
          </cell>
        </row>
        <row r="608">
          <cell r="A608" t="str">
            <v>discoveryType종교 건축물</v>
          </cell>
          <cell r="B608" t="str">
            <v>discoveryType</v>
          </cell>
          <cell r="C608" t="str">
            <v>종교 건축물</v>
          </cell>
          <cell r="D608">
            <v>14</v>
          </cell>
        </row>
        <row r="609">
          <cell r="A609" t="str">
            <v>discoveryType역사유물</v>
          </cell>
          <cell r="B609" t="str">
            <v>discoveryType</v>
          </cell>
          <cell r="C609" t="str">
            <v>역사유물</v>
          </cell>
          <cell r="D609">
            <v>15</v>
          </cell>
        </row>
        <row r="610">
          <cell r="A610" t="str">
            <v>discoveryType종교유물</v>
          </cell>
          <cell r="B610" t="str">
            <v>discoveryType</v>
          </cell>
          <cell r="C610" t="str">
            <v>종교유물</v>
          </cell>
          <cell r="D610">
            <v>16</v>
          </cell>
        </row>
        <row r="611">
          <cell r="A611" t="str">
            <v>discoveryType미술품</v>
          </cell>
          <cell r="B611" t="str">
            <v>discoveryType</v>
          </cell>
          <cell r="C611" t="str">
            <v>미술품</v>
          </cell>
          <cell r="D611">
            <v>17</v>
          </cell>
        </row>
        <row r="612">
          <cell r="A612" t="str">
            <v>discoveryType보물</v>
          </cell>
          <cell r="B612" t="str">
            <v>discoveryType</v>
          </cell>
          <cell r="C612" t="str">
            <v>보물</v>
          </cell>
          <cell r="D612">
            <v>18</v>
          </cell>
        </row>
        <row r="613">
          <cell r="A613" t="str">
            <v>discoveryType부락</v>
          </cell>
          <cell r="B613" t="str">
            <v>discoveryType</v>
          </cell>
          <cell r="C613" t="str">
            <v>부락</v>
          </cell>
          <cell r="D613">
            <v>19</v>
          </cell>
        </row>
        <row r="614">
          <cell r="A614" t="str">
            <v>NameParticle-</v>
          </cell>
          <cell r="B614" t="str">
            <v>NameParticle</v>
          </cell>
          <cell r="C614" t="str">
            <v>-</v>
          </cell>
          <cell r="D614" t="str">
            <v>-</v>
          </cell>
        </row>
        <row r="615">
          <cell r="A615" t="str">
            <v>NameParticle다(da)/다</v>
          </cell>
          <cell r="B615" t="str">
            <v>NameParticle</v>
          </cell>
          <cell r="C615" t="str">
            <v>다(da)/다</v>
          </cell>
          <cell r="D615" t="str">
            <v>다</v>
          </cell>
        </row>
        <row r="616">
          <cell r="A616" t="str">
            <v>NameParticle더(de)/더</v>
          </cell>
          <cell r="B616" t="str">
            <v>NameParticle</v>
          </cell>
          <cell r="C616" t="str">
            <v>더(de)/더</v>
          </cell>
          <cell r="D616" t="str">
            <v>더</v>
          </cell>
        </row>
        <row r="617">
          <cell r="A617" t="str">
            <v>NameParticle데(de)/데</v>
          </cell>
          <cell r="B617" t="str">
            <v>NameParticle</v>
          </cell>
          <cell r="C617" t="str">
            <v>데(de)/데</v>
          </cell>
          <cell r="D617" t="str">
            <v>데</v>
          </cell>
        </row>
        <row r="618">
          <cell r="A618" t="str">
            <v>NameParticle델(del)/델</v>
          </cell>
          <cell r="B618" t="str">
            <v>NameParticle</v>
          </cell>
          <cell r="C618" t="str">
            <v>델(del)/델</v>
          </cell>
          <cell r="D618" t="str">
            <v>델</v>
          </cell>
        </row>
        <row r="619">
          <cell r="A619" t="str">
            <v>NameParticle드(de)/드</v>
          </cell>
          <cell r="B619" t="str">
            <v>NameParticle</v>
          </cell>
          <cell r="C619" t="str">
            <v>드(de)/드</v>
          </cell>
          <cell r="D619" t="str">
            <v>드</v>
          </cell>
        </row>
        <row r="620">
          <cell r="A620" t="str">
            <v>NameParticle디(di)/디</v>
          </cell>
          <cell r="B620" t="str">
            <v>NameParticle</v>
          </cell>
          <cell r="C620" t="str">
            <v>디(di)/디</v>
          </cell>
          <cell r="D620" t="str">
            <v>디</v>
          </cell>
        </row>
        <row r="621">
          <cell r="A621" t="str">
            <v>NameParticle르(le)/르</v>
          </cell>
          <cell r="B621" t="str">
            <v>NameParticle</v>
          </cell>
          <cell r="C621" t="str">
            <v>르(le)/르</v>
          </cell>
          <cell r="D621" t="str">
            <v>르</v>
          </cell>
        </row>
        <row r="622">
          <cell r="A622" t="str">
            <v>NameParticle반(van)/반</v>
          </cell>
          <cell r="B622" t="str">
            <v>NameParticle</v>
          </cell>
          <cell r="C622" t="str">
            <v>반(van)/반</v>
          </cell>
          <cell r="D622" t="str">
            <v>반</v>
          </cell>
        </row>
        <row r="623">
          <cell r="A623" t="str">
            <v>NameParticle본(von)/본</v>
          </cell>
          <cell r="B623" t="str">
            <v>NameParticle</v>
          </cell>
          <cell r="C623" t="str">
            <v>본(von)/본</v>
          </cell>
          <cell r="D623" t="str">
            <v>본</v>
          </cell>
        </row>
        <row r="624">
          <cell r="A624" t="str">
            <v>NameParticle에(e)/에</v>
          </cell>
          <cell r="B624" t="str">
            <v>NameParticle</v>
          </cell>
          <cell r="C624" t="str">
            <v>에(e)/에</v>
          </cell>
          <cell r="D624" t="str">
            <v>에</v>
          </cell>
        </row>
        <row r="625">
          <cell r="A625" t="str">
            <v>NameParticle판(van)/판</v>
          </cell>
          <cell r="B625" t="str">
            <v>NameParticle</v>
          </cell>
          <cell r="C625" t="str">
            <v>판(van)/판</v>
          </cell>
          <cell r="D625" t="str">
            <v>판</v>
          </cell>
        </row>
        <row r="626">
          <cell r="A626" t="str">
            <v>NameParticle폰(von)/폰</v>
          </cell>
          <cell r="B626" t="str">
            <v>NameParticle</v>
          </cell>
          <cell r="C626" t="str">
            <v>폰(von)/폰</v>
          </cell>
          <cell r="D626" t="str">
            <v>폰</v>
          </cell>
        </row>
        <row r="627">
          <cell r="A627" t="str">
            <v>BattleUnitTriggerTiming항시적용(체크안함)</v>
          </cell>
          <cell r="B627" t="str">
            <v>BattleUnitTriggerTiming</v>
          </cell>
          <cell r="C627" t="str">
            <v>항시적용(체크안함)</v>
          </cell>
          <cell r="D627">
            <v>0</v>
          </cell>
        </row>
        <row r="628">
          <cell r="A628" t="str">
            <v>BattleUnitTriggerTiming페이즈 시작 전</v>
          </cell>
          <cell r="B628" t="str">
            <v>BattleUnitTriggerTiming</v>
          </cell>
          <cell r="C628" t="str">
            <v>페이즈 시작 전</v>
          </cell>
          <cell r="D628">
            <v>1</v>
          </cell>
        </row>
        <row r="629">
          <cell r="A629" t="str">
            <v>BattleUnitTriggerTiming이동 전</v>
          </cell>
          <cell r="B629" t="str">
            <v>BattleUnitTriggerTiming</v>
          </cell>
          <cell r="C629" t="str">
            <v>이동 전</v>
          </cell>
          <cell r="D629">
            <v>2</v>
          </cell>
        </row>
        <row r="630">
          <cell r="A630" t="str">
            <v>BattleUnitTriggerTiming행동 전</v>
          </cell>
          <cell r="B630" t="str">
            <v>BattleUnitTriggerTiming</v>
          </cell>
          <cell r="C630" t="str">
            <v>행동 전</v>
          </cell>
          <cell r="D630">
            <v>3</v>
          </cell>
        </row>
        <row r="631">
          <cell r="A631" t="str">
            <v>BattleUnitTriggerTiming협공 공격 전</v>
          </cell>
          <cell r="B631" t="str">
            <v>BattleUnitTriggerTiming</v>
          </cell>
          <cell r="C631" t="str">
            <v>협공 공격 전</v>
          </cell>
          <cell r="D631">
            <v>4</v>
          </cell>
        </row>
        <row r="632">
          <cell r="A632" t="str">
            <v>BattleUnitTriggerTiming피격 전</v>
          </cell>
          <cell r="B632" t="str">
            <v>BattleUnitTriggerTiming</v>
          </cell>
          <cell r="C632" t="str">
            <v>피격 전</v>
          </cell>
          <cell r="D632">
            <v>5</v>
          </cell>
        </row>
        <row r="633">
          <cell r="A633" t="str">
            <v>BattleUnitTriggerTiming사망 전</v>
          </cell>
          <cell r="B633" t="str">
            <v>BattleUnitTriggerTiming</v>
          </cell>
          <cell r="C633" t="str">
            <v>사망 전</v>
          </cell>
          <cell r="D633">
            <v>6</v>
          </cell>
        </row>
        <row r="634">
          <cell r="A634" t="str">
            <v>BattleUnitTriggerTiming페이즈 종료 전</v>
          </cell>
          <cell r="B634" t="str">
            <v>BattleUnitTriggerTiming</v>
          </cell>
          <cell r="C634" t="str">
            <v>페이즈 종료 전</v>
          </cell>
          <cell r="D634">
            <v>7</v>
          </cell>
        </row>
        <row r="635">
          <cell r="A635" t="str">
            <v>BattleUnitTriggerConditionType조건 없음</v>
          </cell>
          <cell r="B635" t="str">
            <v>BattleUnitTriggerConditionType</v>
          </cell>
          <cell r="C635" t="str">
            <v>조건 없음</v>
          </cell>
          <cell r="D635">
            <v>0</v>
          </cell>
        </row>
        <row r="636">
          <cell r="A636" t="str">
            <v>BattleUnitTriggerConditionType특정 액션</v>
          </cell>
          <cell r="B636" t="str">
            <v>BattleUnitTriggerConditionType</v>
          </cell>
          <cell r="C636" t="str">
            <v>특정 액션</v>
          </cell>
          <cell r="D636">
            <v>1</v>
          </cell>
        </row>
        <row r="637">
          <cell r="A637" t="str">
            <v>BattleUnitTriggerConditionType주변 타일 특정 개체 n개</v>
          </cell>
          <cell r="B637" t="str">
            <v>BattleUnitTriggerConditionType</v>
          </cell>
          <cell r="C637" t="str">
            <v>주변 타일 특정 개체 n개</v>
          </cell>
          <cell r="D637">
            <v>2</v>
          </cell>
        </row>
        <row r="638">
          <cell r="A638" t="str">
            <v>BattleUnitTriggerConditionType특정 타일에 위치할 경우</v>
          </cell>
          <cell r="B638" t="str">
            <v>BattleUnitTriggerConditionType</v>
          </cell>
          <cell r="C638" t="str">
            <v>특정 타일에 위치할 경우</v>
          </cell>
          <cell r="D638">
            <v>3</v>
          </cell>
        </row>
        <row r="639">
          <cell r="A639" t="str">
            <v>BattleUnitTriggerConditionType상태 관련</v>
          </cell>
          <cell r="B639" t="str">
            <v>BattleUnitTriggerConditionType</v>
          </cell>
          <cell r="C639" t="str">
            <v>상태 관련</v>
          </cell>
          <cell r="D639">
            <v>4</v>
          </cell>
        </row>
        <row r="640">
          <cell r="A640" t="str">
            <v>BattleUnitTriggerConditionTypeHP관련</v>
          </cell>
          <cell r="B640" t="str">
            <v>BattleUnitTriggerConditionType</v>
          </cell>
          <cell r="C640" t="str">
            <v>HP관련</v>
          </cell>
          <cell r="D640">
            <v>5</v>
          </cell>
        </row>
        <row r="641">
          <cell r="A641" t="str">
            <v>BattleUnitTriggerConditionType자원관련</v>
          </cell>
          <cell r="B641" t="str">
            <v>BattleUnitTriggerConditionType</v>
          </cell>
          <cell r="C641" t="str">
            <v>자원관련</v>
          </cell>
          <cell r="D641">
            <v>6</v>
          </cell>
        </row>
        <row r="642">
          <cell r="A642" t="str">
            <v>BattleUnitTriggerConditionType오브젝트 피격</v>
          </cell>
          <cell r="B642" t="str">
            <v>BattleUnitTriggerConditionType</v>
          </cell>
          <cell r="C642" t="str">
            <v>오브젝트 피격</v>
          </cell>
          <cell r="D642">
            <v>7</v>
          </cell>
        </row>
        <row r="643">
          <cell r="A643" t="str">
            <v>BattleUnitTriggerConditionType이동 칸 수 체크</v>
          </cell>
          <cell r="B643" t="str">
            <v>BattleUnitTriggerConditionType</v>
          </cell>
          <cell r="C643" t="str">
            <v>이동 칸 수 체크</v>
          </cell>
          <cell r="D643">
            <v>14</v>
          </cell>
        </row>
        <row r="644">
          <cell r="A644" t="str">
            <v>BattleUnitTriggerConditionType적 사망</v>
          </cell>
          <cell r="B644" t="str">
            <v>BattleUnitTriggerConditionType</v>
          </cell>
          <cell r="C644" t="str">
            <v>적 사망</v>
          </cell>
          <cell r="D644">
            <v>15</v>
          </cell>
        </row>
        <row r="645">
          <cell r="A645" t="str">
            <v>BattleUnitTriggerTargetType스킬 대상</v>
          </cell>
          <cell r="B645" t="str">
            <v>BattleUnitTriggerTargetType</v>
          </cell>
          <cell r="C645" t="str">
            <v>스킬 대상</v>
          </cell>
          <cell r="D645">
            <v>0</v>
          </cell>
        </row>
        <row r="646">
          <cell r="A646" t="str">
            <v>BattleUnitTriggerTargetType아군 기함</v>
          </cell>
          <cell r="B646" t="str">
            <v>BattleUnitTriggerTargetType</v>
          </cell>
          <cell r="C646" t="str">
            <v>아군 기함</v>
          </cell>
          <cell r="D646">
            <v>1</v>
          </cell>
        </row>
        <row r="647">
          <cell r="A647" t="str">
            <v>BattleUnitTriggerTargetType적 기함</v>
          </cell>
          <cell r="B647" t="str">
            <v>BattleUnitTriggerTargetType</v>
          </cell>
          <cell r="C647" t="str">
            <v>적 기함</v>
          </cell>
          <cell r="D647">
            <v>2</v>
          </cell>
        </row>
        <row r="648">
          <cell r="A648" t="str">
            <v>BattleUnitTriggerPositiveType부정</v>
          </cell>
          <cell r="B648" t="str">
            <v>BattleUnitTriggerPositiveType</v>
          </cell>
          <cell r="C648" t="str">
            <v>부정</v>
          </cell>
          <cell r="D648">
            <v>0</v>
          </cell>
        </row>
        <row r="649">
          <cell r="A649" t="str">
            <v>BattleUnitTriggerPositiveType긍정</v>
          </cell>
          <cell r="B649" t="str">
            <v>BattleUnitTriggerPositiveType</v>
          </cell>
          <cell r="C649" t="str">
            <v>긍정</v>
          </cell>
          <cell r="D649">
            <v>1</v>
          </cell>
        </row>
        <row r="650">
          <cell r="A650" t="str">
            <v>BattlePassiveEffectType턴 시작 적용</v>
          </cell>
          <cell r="B650" t="str">
            <v>BattlePassiveEffectType</v>
          </cell>
          <cell r="C650" t="str">
            <v>턴 시작 적용</v>
          </cell>
          <cell r="D650">
            <v>1</v>
          </cell>
        </row>
        <row r="651">
          <cell r="A651" t="str">
            <v>BattlePassiveEffectType자원 증/감</v>
          </cell>
          <cell r="B651" t="str">
            <v>BattlePassiveEffectType</v>
          </cell>
          <cell r="C651" t="str">
            <v>자원 증/감</v>
          </cell>
          <cell r="D651">
            <v>2</v>
          </cell>
        </row>
        <row r="652">
          <cell r="A652" t="str">
            <v>BattlePassiveEffectType상태 변경</v>
          </cell>
          <cell r="B652" t="str">
            <v>BattlePassiveEffectType</v>
          </cell>
          <cell r="C652" t="str">
            <v>상태 변경</v>
          </cell>
          <cell r="D652">
            <v>3</v>
          </cell>
        </row>
        <row r="653">
          <cell r="A653" t="str">
            <v>BattlePassiveEffectType사거리 증/감</v>
          </cell>
          <cell r="B653" t="str">
            <v>BattlePassiveEffectType</v>
          </cell>
          <cell r="C653" t="str">
            <v>사거리 증/감</v>
          </cell>
          <cell r="D653">
            <v>4</v>
          </cell>
        </row>
        <row r="654">
          <cell r="A654" t="str">
            <v>BattlePassiveEffectType이펙트 무시</v>
          </cell>
          <cell r="B654" t="str">
            <v>BattlePassiveEffectType</v>
          </cell>
          <cell r="C654" t="str">
            <v>이펙트 무시</v>
          </cell>
          <cell r="D654">
            <v>7</v>
          </cell>
        </row>
        <row r="655">
          <cell r="A655" t="str">
            <v>BattlePassiveEffectType기타</v>
          </cell>
          <cell r="B655" t="str">
            <v>BattlePassiveEffectType</v>
          </cell>
          <cell r="C655" t="str">
            <v>기타</v>
          </cell>
          <cell r="D655">
            <v>100</v>
          </cell>
        </row>
        <row r="656">
          <cell r="A656" t="str">
            <v>BattleBuffStackCancelType별도관리(날씨등)</v>
          </cell>
          <cell r="B656" t="str">
            <v>BattleBuffStackCancelType</v>
          </cell>
          <cell r="C656" t="str">
            <v>별도관리(날씨등)</v>
          </cell>
          <cell r="D656">
            <v>0</v>
          </cell>
        </row>
        <row r="657">
          <cell r="A657" t="str">
            <v>BattleBuffStackCancelType모두 해제</v>
          </cell>
          <cell r="B657" t="str">
            <v>BattleBuffStackCancelType</v>
          </cell>
          <cell r="C657" t="str">
            <v>모두 해제</v>
          </cell>
          <cell r="D657">
            <v>1</v>
          </cell>
        </row>
        <row r="658">
          <cell r="A658" t="str">
            <v>BattleBuffStackCancelType1개 해제</v>
          </cell>
          <cell r="B658" t="str">
            <v>BattleBuffStackCancelType</v>
          </cell>
          <cell r="C658" t="str">
            <v>1개 해제</v>
          </cell>
          <cell r="D658">
            <v>2</v>
          </cell>
        </row>
        <row r="659">
          <cell r="A659" t="str">
            <v>BattleBuffStackCancelType1개 해제&amp;지속 턴 리셋</v>
          </cell>
          <cell r="B659" t="str">
            <v>BattleBuffStackCancelType</v>
          </cell>
          <cell r="C659" t="str">
            <v>1개 해제&amp;지속 턴 리셋</v>
          </cell>
          <cell r="D659">
            <v>3</v>
          </cell>
        </row>
        <row r="660">
          <cell r="A660" t="str">
            <v>BattleActiveEffectReuseType재 발동 불가</v>
          </cell>
          <cell r="B660" t="str">
            <v>BattleActiveEffectReuseType</v>
          </cell>
          <cell r="C660" t="str">
            <v>재 발동 불가</v>
          </cell>
          <cell r="D660">
            <v>0</v>
          </cell>
        </row>
        <row r="661">
          <cell r="A661" t="str">
            <v>BattleActiveEffectReuseType재 발동 가능</v>
          </cell>
          <cell r="B661" t="str">
            <v>BattleActiveEffectReuseType</v>
          </cell>
          <cell r="C661" t="str">
            <v>재 발동 가능</v>
          </cell>
          <cell r="D661">
            <v>1</v>
          </cell>
        </row>
        <row r="662">
          <cell r="A662" t="str">
            <v>BattleActiveEffectTargetType타겟 없음</v>
          </cell>
          <cell r="B662" t="str">
            <v>BattleActiveEffectTargetType</v>
          </cell>
          <cell r="C662" t="str">
            <v>타겟 없음</v>
          </cell>
          <cell r="D662">
            <v>0</v>
          </cell>
        </row>
        <row r="663">
          <cell r="A663" t="str">
            <v>BattleActiveEffectTargetType유닛 타겟 필요</v>
          </cell>
          <cell r="B663" t="str">
            <v>BattleActiveEffectTargetType</v>
          </cell>
          <cell r="C663" t="str">
            <v>유닛 타겟 필요</v>
          </cell>
          <cell r="D663">
            <v>1</v>
          </cell>
        </row>
        <row r="664">
          <cell r="A664" t="str">
            <v>BattleActiveEffectTargetType빈 타일 타겟 필요</v>
          </cell>
          <cell r="B664" t="str">
            <v>BattleActiveEffectTargetType</v>
          </cell>
          <cell r="C664" t="str">
            <v>빈 타일 타겟 필요</v>
          </cell>
          <cell r="D664">
            <v>2</v>
          </cell>
        </row>
        <row r="665">
          <cell r="A665" t="str">
            <v>RangeOverrideType사용</v>
          </cell>
          <cell r="B665" t="str">
            <v>RangeOverrideType</v>
          </cell>
          <cell r="C665" t="str">
            <v>사용</v>
          </cell>
          <cell r="D665">
            <v>0</v>
          </cell>
        </row>
        <row r="666">
          <cell r="A666" t="str">
            <v>RangeOverrideType미사용</v>
          </cell>
          <cell r="B666" t="str">
            <v>RangeOverrideType</v>
          </cell>
          <cell r="C666" t="str">
            <v>미사용</v>
          </cell>
          <cell r="D666">
            <v>1</v>
          </cell>
        </row>
        <row r="667">
          <cell r="A667" t="str">
            <v>TriggerType터치</v>
          </cell>
          <cell r="B667" t="str">
            <v>TriggerType</v>
          </cell>
          <cell r="C667" t="str">
            <v>터치</v>
          </cell>
          <cell r="D667">
            <v>0</v>
          </cell>
        </row>
        <row r="668">
          <cell r="A668" t="str">
            <v>TriggerType범위</v>
          </cell>
          <cell r="B668" t="str">
            <v>TriggerType</v>
          </cell>
          <cell r="C668" t="str">
            <v>범위</v>
          </cell>
          <cell r="D668">
            <v>1</v>
          </cell>
        </row>
        <row r="669">
          <cell r="A669" t="str">
            <v>TriggerType탐색</v>
          </cell>
          <cell r="B669" t="str">
            <v>TriggerType</v>
          </cell>
          <cell r="C669" t="str">
            <v>탐색</v>
          </cell>
          <cell r="D669">
            <v>2</v>
          </cell>
        </row>
        <row r="670">
          <cell r="A670" t="str">
            <v>RequiredConditionType없음</v>
          </cell>
          <cell r="B670" t="str">
            <v>RequiredConditionType</v>
          </cell>
          <cell r="C670" t="str">
            <v>없음</v>
          </cell>
          <cell r="D670">
            <v>0</v>
          </cell>
        </row>
        <row r="671">
          <cell r="A671" t="str">
            <v>RequiredConditionType선단 LV</v>
          </cell>
          <cell r="B671" t="str">
            <v>RequiredConditionType</v>
          </cell>
          <cell r="C671" t="str">
            <v>선단 LV</v>
          </cell>
          <cell r="D671">
            <v>1</v>
          </cell>
        </row>
        <row r="672">
          <cell r="A672" t="str">
            <v>RequiredConditionType스킬</v>
          </cell>
          <cell r="B672" t="str">
            <v>RequiredConditionType</v>
          </cell>
          <cell r="C672" t="str">
            <v>스킬</v>
          </cell>
          <cell r="D672">
            <v>2</v>
          </cell>
        </row>
        <row r="673">
          <cell r="A673" t="str">
            <v>RequiredConditionType아이템</v>
          </cell>
          <cell r="B673" t="str">
            <v>RequiredConditionType</v>
          </cell>
          <cell r="C673" t="str">
            <v>아이템</v>
          </cell>
          <cell r="D673">
            <v>3</v>
          </cell>
        </row>
        <row r="674">
          <cell r="A674" t="str">
            <v>RequiredConditionType특정 범위 내 유저 수</v>
          </cell>
          <cell r="B674" t="str">
            <v>RequiredConditionType</v>
          </cell>
          <cell r="C674" t="str">
            <v>특정 범위 내 유저 수</v>
          </cell>
          <cell r="D674">
            <v>4</v>
          </cell>
        </row>
        <row r="675">
          <cell r="A675" t="str">
            <v>DoodadEffectType즉시 효과 발동</v>
          </cell>
          <cell r="B675" t="str">
            <v>DoodadEffectType</v>
          </cell>
          <cell r="C675" t="str">
            <v>즉시 효과 발동</v>
          </cell>
          <cell r="D675">
            <v>0</v>
          </cell>
        </row>
        <row r="676">
          <cell r="A676" t="str">
            <v>DoodadEffectType일정 시간 동안 효과 발동</v>
          </cell>
          <cell r="B676" t="str">
            <v>DoodadEffectType</v>
          </cell>
          <cell r="C676" t="str">
            <v>일정 시간 동안 효과 발동</v>
          </cell>
          <cell r="D676">
            <v>1</v>
          </cell>
        </row>
        <row r="677">
          <cell r="A677" t="str">
            <v>DoodadEffectType일정 시간 경과 후 효과 발동</v>
          </cell>
          <cell r="B677" t="str">
            <v>DoodadEffectType</v>
          </cell>
          <cell r="C677" t="str">
            <v>일정 시간 경과 후 효과 발동</v>
          </cell>
          <cell r="D677">
            <v>2</v>
          </cell>
        </row>
        <row r="678">
          <cell r="A678" t="str">
            <v>DoodadEffectType특정 조건 만족 시 효과 발동</v>
          </cell>
          <cell r="B678" t="str">
            <v>DoodadEffectType</v>
          </cell>
          <cell r="C678" t="str">
            <v>특정 조건 만족 시 효과 발동</v>
          </cell>
          <cell r="D678">
            <v>3</v>
          </cell>
        </row>
        <row r="679">
          <cell r="A679" t="str">
            <v>EventDependencyType없음</v>
          </cell>
          <cell r="B679" t="str">
            <v>EventDependencyType</v>
          </cell>
          <cell r="C679" t="str">
            <v>없음</v>
          </cell>
          <cell r="D679">
            <v>0</v>
          </cell>
        </row>
        <row r="680">
          <cell r="A680" t="str">
            <v>EventDependencyType월드 버프</v>
          </cell>
          <cell r="B680" t="str">
            <v>EventDependencyType</v>
          </cell>
          <cell r="C680" t="str">
            <v>월드 버프</v>
          </cell>
          <cell r="D680">
            <v>1</v>
          </cell>
        </row>
        <row r="681">
          <cell r="A681" t="str">
            <v>EventDependencyType해상 재해</v>
          </cell>
          <cell r="B681" t="str">
            <v>EventDependencyType</v>
          </cell>
          <cell r="C681" t="str">
            <v>해상 재해</v>
          </cell>
          <cell r="D681">
            <v>2</v>
          </cell>
        </row>
        <row r="682">
          <cell r="A682" t="str">
            <v>EventDependencyType퀘스트</v>
          </cell>
          <cell r="B682" t="str">
            <v>EventDependencyType</v>
          </cell>
          <cell r="C682" t="str">
            <v>퀘스트</v>
          </cell>
          <cell r="D682">
            <v>3</v>
          </cell>
        </row>
        <row r="683">
          <cell r="A683" t="str">
            <v>EventDependencyType퀘스트 인젝션</v>
          </cell>
          <cell r="B683" t="str">
            <v>EventDependencyType</v>
          </cell>
          <cell r="C683" t="str">
            <v>퀘스트 인젝션</v>
          </cell>
          <cell r="D683">
            <v>4</v>
          </cell>
        </row>
        <row r="684">
          <cell r="A684" t="str">
            <v>EventDependencyType발견물 발견</v>
          </cell>
          <cell r="B684" t="str">
            <v>EventDependencyType</v>
          </cell>
          <cell r="C684" t="str">
            <v>발견물 발견</v>
          </cell>
          <cell r="D684">
            <v>5</v>
          </cell>
        </row>
        <row r="685">
          <cell r="A685" t="str">
            <v>spawnScope없음</v>
          </cell>
          <cell r="B685" t="str">
            <v>spawnScope</v>
          </cell>
          <cell r="C685" t="str">
            <v>없음</v>
          </cell>
          <cell r="D685">
            <v>0</v>
          </cell>
        </row>
        <row r="686">
          <cell r="A686" t="str">
            <v>spawnScope로컬 랜덤</v>
          </cell>
          <cell r="B686" t="str">
            <v>spawnScope</v>
          </cell>
          <cell r="C686" t="str">
            <v>로컬 랜덤</v>
          </cell>
          <cell r="D686">
            <v>1</v>
          </cell>
        </row>
        <row r="687">
          <cell r="A687" t="str">
            <v>spawnScope로컬 고정</v>
          </cell>
          <cell r="B687" t="str">
            <v>spawnScope</v>
          </cell>
          <cell r="C687" t="str">
            <v>로컬 고정</v>
          </cell>
          <cell r="D687">
            <v>2</v>
          </cell>
        </row>
        <row r="688">
          <cell r="A688" t="str">
            <v>spawnScope에어리어</v>
          </cell>
          <cell r="B688" t="str">
            <v>spawnScope</v>
          </cell>
          <cell r="C688" t="str">
            <v>에어리어</v>
          </cell>
          <cell r="D688">
            <v>3</v>
          </cell>
        </row>
        <row r="689">
          <cell r="A689" t="str">
            <v>ActiveDestroyType즉시</v>
          </cell>
          <cell r="B689" t="str">
            <v>ActiveDestroyType</v>
          </cell>
          <cell r="C689" t="str">
            <v>즉시</v>
          </cell>
          <cell r="D689">
            <v>0</v>
          </cell>
        </row>
        <row r="690">
          <cell r="A690" t="str">
            <v>ActiveDestroyType영구</v>
          </cell>
          <cell r="B690" t="str">
            <v>ActiveDestroyType</v>
          </cell>
          <cell r="C690" t="str">
            <v>영구</v>
          </cell>
          <cell r="D690">
            <v>1</v>
          </cell>
        </row>
        <row r="691">
          <cell r="A691" t="str">
            <v>PassiveDestroyTypeOn</v>
          </cell>
          <cell r="B691" t="str">
            <v>PassiveDestroyType</v>
          </cell>
          <cell r="C691" t="str">
            <v>On</v>
          </cell>
          <cell r="D691">
            <v>0</v>
          </cell>
        </row>
        <row r="692">
          <cell r="A692" t="str">
            <v>PassiveDestroyTypeOff</v>
          </cell>
          <cell r="B692" t="str">
            <v>PassiveDestroyType</v>
          </cell>
          <cell r="C692" t="str">
            <v>Off</v>
          </cell>
          <cell r="D692">
            <v>1</v>
          </cell>
        </row>
        <row r="693">
          <cell r="A693" t="str">
            <v>SeaType평수</v>
          </cell>
          <cell r="B693" t="str">
            <v>SeaType</v>
          </cell>
          <cell r="C693" t="str">
            <v>평수</v>
          </cell>
          <cell r="D693">
            <v>0</v>
          </cell>
        </row>
        <row r="694">
          <cell r="A694" t="str">
            <v>SeaType연해</v>
          </cell>
          <cell r="B694" t="str">
            <v>SeaType</v>
          </cell>
          <cell r="C694" t="str">
            <v>연해</v>
          </cell>
          <cell r="D694">
            <v>1</v>
          </cell>
        </row>
        <row r="695">
          <cell r="A695" t="str">
            <v>SeaType근해</v>
          </cell>
          <cell r="B695" t="str">
            <v>SeaType</v>
          </cell>
          <cell r="C695" t="str">
            <v>근해</v>
          </cell>
          <cell r="D695">
            <v>2</v>
          </cell>
        </row>
        <row r="696">
          <cell r="A696" t="str">
            <v>SeaType원양</v>
          </cell>
          <cell r="B696" t="str">
            <v>SeaType</v>
          </cell>
          <cell r="C696" t="str">
            <v>원양</v>
          </cell>
          <cell r="D696">
            <v>3</v>
          </cell>
        </row>
        <row r="697">
          <cell r="A697" t="str">
            <v>SeaType해적</v>
          </cell>
          <cell r="B697" t="str">
            <v>SeaType</v>
          </cell>
          <cell r="C697" t="str">
            <v>해적</v>
          </cell>
          <cell r="D697">
            <v>4</v>
          </cell>
        </row>
        <row r="698">
          <cell r="A698" t="str">
            <v>SeaType독도</v>
          </cell>
          <cell r="B698" t="str">
            <v>SeaType</v>
          </cell>
          <cell r="C698" t="str">
            <v>독도</v>
          </cell>
          <cell r="D698">
            <v>5</v>
          </cell>
        </row>
        <row r="699">
          <cell r="A699" t="str">
            <v>SeaType강</v>
          </cell>
          <cell r="B699" t="str">
            <v>SeaType</v>
          </cell>
          <cell r="C699" t="str">
            <v>강</v>
          </cell>
          <cell r="D699">
            <v>6</v>
          </cell>
        </row>
        <row r="700">
          <cell r="A700" t="str">
            <v>SeaType북극</v>
          </cell>
          <cell r="B700" t="str">
            <v>SeaType</v>
          </cell>
          <cell r="C700" t="str">
            <v>북극</v>
          </cell>
          <cell r="D700">
            <v>7</v>
          </cell>
        </row>
        <row r="701">
          <cell r="A701" t="str">
            <v>SeaType남극</v>
          </cell>
          <cell r="B701" t="str">
            <v>SeaType</v>
          </cell>
          <cell r="C701" t="str">
            <v>남극</v>
          </cell>
          <cell r="D701">
            <v>8</v>
          </cell>
        </row>
        <row r="702">
          <cell r="A702" t="str">
            <v>regionDisputeType점유불가</v>
          </cell>
          <cell r="B702" t="str">
            <v>regionDisputeType</v>
          </cell>
          <cell r="C702" t="str">
            <v>점유불가</v>
          </cell>
          <cell r="D702">
            <v>0</v>
          </cell>
        </row>
        <row r="703">
          <cell r="A703" t="str">
            <v>regionDisputeType고착해역</v>
          </cell>
          <cell r="B703" t="str">
            <v>regionDisputeType</v>
          </cell>
          <cell r="C703" t="str">
            <v>고착해역</v>
          </cell>
          <cell r="D703">
            <v>1</v>
          </cell>
        </row>
        <row r="704">
          <cell r="A704" t="str">
            <v>regionDisputeType분쟁해역</v>
          </cell>
          <cell r="B704" t="str">
            <v>regionDisputeType</v>
          </cell>
          <cell r="C704" t="str">
            <v>분쟁해역</v>
          </cell>
          <cell r="D704">
            <v>2</v>
          </cell>
        </row>
        <row r="705">
          <cell r="A705" t="str">
            <v>DurationType유한</v>
          </cell>
          <cell r="B705" t="str">
            <v>DurationType</v>
          </cell>
          <cell r="C705" t="str">
            <v>유한</v>
          </cell>
          <cell r="D705">
            <v>0</v>
          </cell>
        </row>
        <row r="706">
          <cell r="A706" t="str">
            <v>DurationType무한</v>
          </cell>
          <cell r="B706" t="str">
            <v>DurationType</v>
          </cell>
          <cell r="C706" t="str">
            <v>무한</v>
          </cell>
          <cell r="D706">
            <v>1</v>
          </cell>
        </row>
        <row r="707">
          <cell r="A707" t="str">
            <v>interactionTypeOn</v>
          </cell>
          <cell r="B707" t="str">
            <v>interactionType</v>
          </cell>
          <cell r="C707" t="str">
            <v>On</v>
          </cell>
          <cell r="D707">
            <v>0</v>
          </cell>
        </row>
        <row r="708">
          <cell r="A708" t="str">
            <v>interactionTypeOff</v>
          </cell>
          <cell r="B708" t="str">
            <v>interactionType</v>
          </cell>
          <cell r="C708" t="str">
            <v>Off</v>
          </cell>
          <cell r="D708">
            <v>1</v>
          </cell>
        </row>
        <row r="709">
          <cell r="A709" t="str">
            <v>oceanNpcType로컬NPC</v>
          </cell>
          <cell r="B709" t="str">
            <v>oceanNpcType</v>
          </cell>
          <cell r="C709" t="str">
            <v>로컬NPC</v>
          </cell>
          <cell r="D709">
            <v>0</v>
          </cell>
        </row>
        <row r="710">
          <cell r="A710" t="str">
            <v>oceanNpcTypeUserNPC</v>
          </cell>
          <cell r="B710" t="str">
            <v>oceanNpcType</v>
          </cell>
          <cell r="C710" t="str">
            <v>UserNPC</v>
          </cell>
          <cell r="D710">
            <v>1</v>
          </cell>
        </row>
        <row r="711">
          <cell r="A711" t="str">
            <v>oceanNpcType엘리트</v>
          </cell>
          <cell r="B711" t="str">
            <v>oceanNpcType</v>
          </cell>
          <cell r="C711" t="str">
            <v>엘리트</v>
          </cell>
          <cell r="D711">
            <v>2</v>
          </cell>
        </row>
        <row r="712">
          <cell r="A712" t="str">
            <v>oceanNpcType퀘스트</v>
          </cell>
          <cell r="B712" t="str">
            <v>oceanNpcType</v>
          </cell>
          <cell r="C712" t="str">
            <v>퀘스트</v>
          </cell>
          <cell r="D712">
            <v>3</v>
          </cell>
        </row>
        <row r="713">
          <cell r="A713" t="str">
            <v>minimapOceanNpcType해적</v>
          </cell>
          <cell r="B713" t="str">
            <v>minimapOceanNpcType</v>
          </cell>
          <cell r="C713" t="str">
            <v>해적</v>
          </cell>
          <cell r="D713">
            <v>0</v>
          </cell>
        </row>
        <row r="714">
          <cell r="A714" t="str">
            <v>minimapOceanNpcTypeNPC</v>
          </cell>
          <cell r="B714" t="str">
            <v>minimapOceanNpcType</v>
          </cell>
          <cell r="C714" t="str">
            <v>NPC</v>
          </cell>
          <cell r="D714">
            <v>1</v>
          </cell>
        </row>
        <row r="715">
          <cell r="A715" t="str">
            <v>minimapOceanNpcType유저</v>
          </cell>
          <cell r="B715" t="str">
            <v>minimapOceanNpcType</v>
          </cell>
          <cell r="C715" t="str">
            <v>유저</v>
          </cell>
          <cell r="D715">
            <v>2</v>
          </cell>
        </row>
        <row r="716">
          <cell r="A716" t="str">
            <v>EventActiveType없음</v>
          </cell>
          <cell r="B716" t="str">
            <v>EventActiveType</v>
          </cell>
          <cell r="C716" t="str">
            <v>없음</v>
          </cell>
          <cell r="D716">
            <v>0</v>
          </cell>
        </row>
        <row r="717">
          <cell r="A717" t="str">
            <v>EventActiveType근접</v>
          </cell>
          <cell r="B717" t="str">
            <v>EventActiveType</v>
          </cell>
          <cell r="C717" t="str">
            <v>근접</v>
          </cell>
          <cell r="D717">
            <v>1</v>
          </cell>
        </row>
        <row r="718">
          <cell r="A718" t="str">
            <v>EventActiveType교섭</v>
          </cell>
          <cell r="B718" t="str">
            <v>EventActiveType</v>
          </cell>
          <cell r="C718" t="str">
            <v>교섭</v>
          </cell>
          <cell r="D718">
            <v>2</v>
          </cell>
        </row>
        <row r="719">
          <cell r="A719" t="str">
            <v>EventActiveType침몰</v>
          </cell>
          <cell r="B719" t="str">
            <v>EventActiveType</v>
          </cell>
          <cell r="C719" t="str">
            <v>침몰</v>
          </cell>
          <cell r="D719">
            <v>3</v>
          </cell>
        </row>
        <row r="720">
          <cell r="A720" t="str">
            <v>ShipCultureType없음</v>
          </cell>
          <cell r="B720" t="str">
            <v>ShipCultureType</v>
          </cell>
          <cell r="C720" t="str">
            <v>없음</v>
          </cell>
          <cell r="D720">
            <v>0</v>
          </cell>
        </row>
        <row r="721">
          <cell r="A721" t="str">
            <v>ShipCultureType서양</v>
          </cell>
          <cell r="B721" t="str">
            <v>ShipCultureType</v>
          </cell>
          <cell r="C721" t="str">
            <v>서양</v>
          </cell>
          <cell r="D721">
            <v>1</v>
          </cell>
        </row>
        <row r="722">
          <cell r="A722" t="str">
            <v>ShipCultureType동양</v>
          </cell>
          <cell r="B722" t="str">
            <v>ShipCultureType</v>
          </cell>
          <cell r="C722" t="str">
            <v>동양</v>
          </cell>
          <cell r="D722">
            <v>2</v>
          </cell>
        </row>
        <row r="723">
          <cell r="A723" t="str">
            <v>MaterialItemType필수</v>
          </cell>
          <cell r="B723" t="str">
            <v>MaterialItemType</v>
          </cell>
          <cell r="C723" t="str">
            <v>필수</v>
          </cell>
          <cell r="D723">
            <v>0</v>
          </cell>
        </row>
        <row r="724">
          <cell r="A724" t="str">
            <v>MaterialItemType선택</v>
          </cell>
          <cell r="B724" t="str">
            <v>MaterialItemType</v>
          </cell>
          <cell r="C724" t="str">
            <v>선택</v>
          </cell>
          <cell r="D724">
            <v>1</v>
          </cell>
        </row>
        <row r="725">
          <cell r="A725" t="str">
            <v>materialType재질</v>
          </cell>
          <cell r="B725" t="str">
            <v>materialType</v>
          </cell>
          <cell r="C725" t="str">
            <v>재질</v>
          </cell>
          <cell r="D725">
            <v>0</v>
          </cell>
        </row>
        <row r="726">
          <cell r="A726" t="str">
            <v>materialType마스트</v>
          </cell>
          <cell r="B726" t="str">
            <v>materialType</v>
          </cell>
          <cell r="C726" t="str">
            <v>마스트</v>
          </cell>
          <cell r="D726">
            <v>1</v>
          </cell>
        </row>
        <row r="727">
          <cell r="A727" t="str">
            <v>materialType로프</v>
          </cell>
          <cell r="B727" t="str">
            <v>materialType</v>
          </cell>
          <cell r="C727" t="str">
            <v>로프</v>
          </cell>
          <cell r="D727">
            <v>2</v>
          </cell>
        </row>
        <row r="728">
          <cell r="A728" t="str">
            <v>materialType포격 위력</v>
          </cell>
          <cell r="B728" t="str">
            <v>materialType</v>
          </cell>
          <cell r="C728" t="str">
            <v>포격 위력</v>
          </cell>
          <cell r="D728">
            <v>3</v>
          </cell>
        </row>
        <row r="729">
          <cell r="A729" t="str">
            <v>materialType특수</v>
          </cell>
          <cell r="B729" t="str">
            <v>materialType</v>
          </cell>
          <cell r="C729" t="str">
            <v>특수</v>
          </cell>
          <cell r="D729">
            <v>4</v>
          </cell>
        </row>
        <row r="730">
          <cell r="A730" t="str">
            <v>oceanNpcNationType동적 국가</v>
          </cell>
          <cell r="B730" t="str">
            <v>oceanNpcNationType</v>
          </cell>
          <cell r="C730" t="str">
            <v>동적 국가</v>
          </cell>
          <cell r="D730">
            <v>0</v>
          </cell>
        </row>
        <row r="731">
          <cell r="A731" t="str">
            <v>oceanNpcNationType고정 국가</v>
          </cell>
          <cell r="B731" t="str">
            <v>oceanNpcNationType</v>
          </cell>
          <cell r="C731" t="str">
            <v>고정 국가</v>
          </cell>
          <cell r="D731">
            <v>1</v>
          </cell>
        </row>
        <row r="732">
          <cell r="A732" t="str">
            <v>oceanNpcOccupyType점령 국가</v>
          </cell>
          <cell r="B732" t="str">
            <v>oceanNpcOccupyType</v>
          </cell>
          <cell r="C732" t="str">
            <v>점령 국가</v>
          </cell>
          <cell r="D732">
            <v>0</v>
          </cell>
        </row>
        <row r="733">
          <cell r="A733" t="str">
            <v>oceanNpcOccupyType비점령 국가</v>
          </cell>
          <cell r="B733" t="str">
            <v>oceanNpcOccupyType</v>
          </cell>
          <cell r="C733" t="str">
            <v>비점령 국가</v>
          </cell>
          <cell r="D733">
            <v>1</v>
          </cell>
        </row>
        <row r="734">
          <cell r="A734" t="str">
            <v>oceanNpcOccupyType해적</v>
          </cell>
          <cell r="B734" t="str">
            <v>oceanNpcOccupyType</v>
          </cell>
          <cell r="C734" t="str">
            <v>해적</v>
          </cell>
          <cell r="D734">
            <v>2</v>
          </cell>
        </row>
        <row r="735">
          <cell r="A735" t="str">
            <v>itemGradeNone</v>
          </cell>
          <cell r="B735" t="str">
            <v>itemGrade</v>
          </cell>
          <cell r="C735" t="str">
            <v>None</v>
          </cell>
          <cell r="D735">
            <v>0</v>
          </cell>
        </row>
        <row r="736">
          <cell r="A736" t="str">
            <v>itemGradeD</v>
          </cell>
          <cell r="B736" t="str">
            <v>itemGrade</v>
          </cell>
          <cell r="C736" t="str">
            <v>D</v>
          </cell>
          <cell r="D736">
            <v>1</v>
          </cell>
        </row>
        <row r="737">
          <cell r="A737" t="str">
            <v>itemGradeC</v>
          </cell>
          <cell r="B737" t="str">
            <v>itemGrade</v>
          </cell>
          <cell r="C737" t="str">
            <v>C</v>
          </cell>
          <cell r="D737">
            <v>2</v>
          </cell>
        </row>
        <row r="738">
          <cell r="A738" t="str">
            <v>itemGradeB</v>
          </cell>
          <cell r="B738" t="str">
            <v>itemGrade</v>
          </cell>
          <cell r="C738" t="str">
            <v>B</v>
          </cell>
          <cell r="D738">
            <v>3</v>
          </cell>
        </row>
        <row r="739">
          <cell r="A739" t="str">
            <v>itemGradeA</v>
          </cell>
          <cell r="B739" t="str">
            <v>itemGrade</v>
          </cell>
          <cell r="C739" t="str">
            <v>A</v>
          </cell>
          <cell r="D739">
            <v>4</v>
          </cell>
        </row>
        <row r="740">
          <cell r="A740" t="str">
            <v>itemGradeS</v>
          </cell>
          <cell r="B740" t="str">
            <v>itemGrade</v>
          </cell>
          <cell r="C740" t="str">
            <v>S</v>
          </cell>
          <cell r="D740">
            <v>5</v>
          </cell>
        </row>
        <row r="741">
          <cell r="A741" t="str">
            <v>ShipGradeD</v>
          </cell>
          <cell r="B741" t="str">
            <v>ShipGrade</v>
          </cell>
          <cell r="C741" t="str">
            <v>D</v>
          </cell>
          <cell r="D741">
            <v>1</v>
          </cell>
        </row>
        <row r="742">
          <cell r="A742" t="str">
            <v>ShipGradeC</v>
          </cell>
          <cell r="B742" t="str">
            <v>ShipGrade</v>
          </cell>
          <cell r="C742" t="str">
            <v>C</v>
          </cell>
          <cell r="D742">
            <v>2</v>
          </cell>
        </row>
        <row r="743">
          <cell r="A743" t="str">
            <v>ShipGradeB</v>
          </cell>
          <cell r="B743" t="str">
            <v>ShipGrade</v>
          </cell>
          <cell r="C743" t="str">
            <v>B</v>
          </cell>
          <cell r="D743">
            <v>3</v>
          </cell>
        </row>
        <row r="744">
          <cell r="A744" t="str">
            <v>ShipGradeA</v>
          </cell>
          <cell r="B744" t="str">
            <v>ShipGrade</v>
          </cell>
          <cell r="C744" t="str">
            <v>A</v>
          </cell>
          <cell r="D744">
            <v>4</v>
          </cell>
        </row>
        <row r="745">
          <cell r="A745" t="str">
            <v>ShipGradeS</v>
          </cell>
          <cell r="B745" t="str">
            <v>ShipGrade</v>
          </cell>
          <cell r="C745" t="str">
            <v>S</v>
          </cell>
          <cell r="D745">
            <v>5</v>
          </cell>
        </row>
        <row r="746">
          <cell r="A746" t="str">
            <v>ShipEquipGradeD</v>
          </cell>
          <cell r="B746" t="str">
            <v>ShipEquipGrade</v>
          </cell>
          <cell r="C746" t="str">
            <v>D</v>
          </cell>
          <cell r="D746">
            <v>0</v>
          </cell>
        </row>
        <row r="747">
          <cell r="A747" t="str">
            <v>ShipEquipGradeC</v>
          </cell>
          <cell r="B747" t="str">
            <v>ShipEquipGrade</v>
          </cell>
          <cell r="C747" t="str">
            <v>C</v>
          </cell>
          <cell r="D747">
            <v>1</v>
          </cell>
        </row>
        <row r="748">
          <cell r="A748" t="str">
            <v>ShipEquipGradeB</v>
          </cell>
          <cell r="B748" t="str">
            <v>ShipEquipGrade</v>
          </cell>
          <cell r="C748" t="str">
            <v>B</v>
          </cell>
          <cell r="D748">
            <v>2</v>
          </cell>
        </row>
        <row r="749">
          <cell r="A749" t="str">
            <v>ShipEquipGradeA</v>
          </cell>
          <cell r="B749" t="str">
            <v>ShipEquipGrade</v>
          </cell>
          <cell r="C749" t="str">
            <v>A</v>
          </cell>
          <cell r="D749">
            <v>3</v>
          </cell>
        </row>
        <row r="750">
          <cell r="A750" t="str">
            <v>ShipEquipGradeS</v>
          </cell>
          <cell r="B750" t="str">
            <v>ShipEquipGrade</v>
          </cell>
          <cell r="C750" t="str">
            <v>S</v>
          </cell>
          <cell r="D750">
            <v>4</v>
          </cell>
        </row>
        <row r="751">
          <cell r="A751" t="str">
            <v>autoFleetTypeOn</v>
          </cell>
          <cell r="B751" t="str">
            <v>autoFleetType</v>
          </cell>
          <cell r="C751" t="str">
            <v>On</v>
          </cell>
          <cell r="D751">
            <v>0</v>
          </cell>
        </row>
        <row r="752">
          <cell r="A752" t="str">
            <v>autoFleetTypeOff</v>
          </cell>
          <cell r="B752" t="str">
            <v>autoFleetType</v>
          </cell>
          <cell r="C752" t="str">
            <v>Off</v>
          </cell>
          <cell r="D752">
            <v>1</v>
          </cell>
        </row>
        <row r="753">
          <cell r="A753" t="str">
            <v>AutoMateLvOn</v>
          </cell>
          <cell r="B753" t="str">
            <v>AutoMateLv</v>
          </cell>
          <cell r="C753" t="str">
            <v>On</v>
          </cell>
          <cell r="D753">
            <v>0</v>
          </cell>
        </row>
        <row r="754">
          <cell r="A754" t="str">
            <v>AutoMateLvOff</v>
          </cell>
          <cell r="B754" t="str">
            <v>AutoMateLv</v>
          </cell>
          <cell r="C754" t="str">
            <v>Off</v>
          </cell>
          <cell r="D754">
            <v>1</v>
          </cell>
        </row>
        <row r="755">
          <cell r="A755" t="str">
            <v>AutoMateOn</v>
          </cell>
          <cell r="B755" t="str">
            <v>AutoMate</v>
          </cell>
          <cell r="C755" t="str">
            <v>On</v>
          </cell>
          <cell r="D755">
            <v>0</v>
          </cell>
        </row>
        <row r="756">
          <cell r="A756" t="str">
            <v>AutoMateOff</v>
          </cell>
          <cell r="B756" t="str">
            <v>AutoMate</v>
          </cell>
          <cell r="C756" t="str">
            <v>Off</v>
          </cell>
          <cell r="D756">
            <v>1</v>
          </cell>
        </row>
        <row r="757">
          <cell r="A757" t="str">
            <v>RadiusType없음</v>
          </cell>
          <cell r="B757" t="str">
            <v>RadiusType</v>
          </cell>
          <cell r="C757" t="str">
            <v>없음</v>
          </cell>
          <cell r="D757">
            <v>0</v>
          </cell>
        </row>
        <row r="758">
          <cell r="A758" t="str">
            <v>RadiusType원형</v>
          </cell>
          <cell r="B758" t="str">
            <v>RadiusType</v>
          </cell>
          <cell r="C758" t="str">
            <v>원형</v>
          </cell>
          <cell r="D758">
            <v>1</v>
          </cell>
        </row>
        <row r="759">
          <cell r="A759" t="str">
            <v>RadiusType정사각형</v>
          </cell>
          <cell r="B759" t="str">
            <v>RadiusType</v>
          </cell>
          <cell r="C759" t="str">
            <v>정사각형</v>
          </cell>
          <cell r="D759">
            <v>2</v>
          </cell>
        </row>
        <row r="760">
          <cell r="A760" t="str">
            <v>RadiusType리전</v>
          </cell>
          <cell r="B760" t="str">
            <v>RadiusType</v>
          </cell>
          <cell r="C760" t="str">
            <v>리전</v>
          </cell>
          <cell r="D760">
            <v>3</v>
          </cell>
        </row>
        <row r="761">
          <cell r="A761" t="str">
            <v>protectionOccurCondition없음</v>
          </cell>
          <cell r="B761" t="str">
            <v>protectionOccurCondition</v>
          </cell>
          <cell r="C761" t="str">
            <v>없음</v>
          </cell>
          <cell r="D761">
            <v>0</v>
          </cell>
        </row>
        <row r="762">
          <cell r="A762" t="str">
            <v>protectionOccurCondition파도 높이</v>
          </cell>
          <cell r="B762" t="str">
            <v>protectionOccurCondition</v>
          </cell>
          <cell r="C762" t="str">
            <v>파도 높이</v>
          </cell>
          <cell r="D762">
            <v>1</v>
          </cell>
        </row>
        <row r="763">
          <cell r="A763" t="str">
            <v>protectionOccurCondition날씨</v>
          </cell>
          <cell r="B763" t="str">
            <v>protectionOccurCondition</v>
          </cell>
          <cell r="C763" t="str">
            <v>날씨</v>
          </cell>
          <cell r="D763">
            <v>2</v>
          </cell>
        </row>
        <row r="764">
          <cell r="A764" t="str">
            <v>protectionOccurCondition바람 속도</v>
          </cell>
          <cell r="B764" t="str">
            <v>protectionOccurCondition</v>
          </cell>
          <cell r="C764" t="str">
            <v>바람 속도</v>
          </cell>
          <cell r="D764">
            <v>3</v>
          </cell>
        </row>
        <row r="765">
          <cell r="A765" t="str">
            <v>protectionOccurCondition특정 위치</v>
          </cell>
          <cell r="B765" t="str">
            <v>protectionOccurCondition</v>
          </cell>
          <cell r="C765" t="str">
            <v>특정 위치</v>
          </cell>
          <cell r="D765">
            <v>4</v>
          </cell>
        </row>
        <row r="766">
          <cell r="A766" t="str">
            <v>oceanDisasterOccurCondition없음</v>
          </cell>
          <cell r="B766" t="str">
            <v>oceanDisasterOccurCondition</v>
          </cell>
          <cell r="C766" t="str">
            <v>없음</v>
          </cell>
          <cell r="D766">
            <v>0</v>
          </cell>
        </row>
        <row r="767">
          <cell r="A767" t="str">
            <v>oceanDisasterOccurCondition기함 내구도</v>
          </cell>
          <cell r="B767" t="str">
            <v>oceanDisasterOccurCondition</v>
          </cell>
          <cell r="C767" t="str">
            <v>기함 내구도</v>
          </cell>
          <cell r="D767">
            <v>1</v>
          </cell>
        </row>
        <row r="768">
          <cell r="A768" t="str">
            <v>oceanDisasterOccurCondition기함 선원 수</v>
          </cell>
          <cell r="B768" t="str">
            <v>oceanDisasterOccurCondition</v>
          </cell>
          <cell r="C768" t="str">
            <v>기함 선원 수</v>
          </cell>
          <cell r="D768">
            <v>2</v>
          </cell>
        </row>
        <row r="769">
          <cell r="A769" t="str">
            <v>oceanDisasterOccurCondition파생 재해</v>
          </cell>
          <cell r="B769" t="str">
            <v>oceanDisasterOccurCondition</v>
          </cell>
          <cell r="C769" t="str">
            <v>파생 재해</v>
          </cell>
          <cell r="D769">
            <v>3</v>
          </cell>
        </row>
        <row r="770">
          <cell r="A770" t="str">
            <v>oceanDisasterOccurCondition파도 높이</v>
          </cell>
          <cell r="B770" t="str">
            <v>oceanDisasterOccurCondition</v>
          </cell>
          <cell r="C770" t="str">
            <v>파도 높이</v>
          </cell>
          <cell r="D770">
            <v>4</v>
          </cell>
        </row>
        <row r="771">
          <cell r="A771" t="str">
            <v>oceanDisasterOccurCondition날씨</v>
          </cell>
          <cell r="B771" t="str">
            <v>oceanDisasterOccurCondition</v>
          </cell>
          <cell r="C771" t="str">
            <v>날씨</v>
          </cell>
          <cell r="D771">
            <v>5</v>
          </cell>
        </row>
        <row r="772">
          <cell r="A772" t="str">
            <v>oceanDisasterOccurCondition바람 속도</v>
          </cell>
          <cell r="B772" t="str">
            <v>oceanDisasterOccurCondition</v>
          </cell>
          <cell r="C772" t="str">
            <v>바람 속도</v>
          </cell>
          <cell r="D772">
            <v>6</v>
          </cell>
        </row>
        <row r="773">
          <cell r="A773" t="str">
            <v>oceanDisasterOccurCondition특정 위치</v>
          </cell>
          <cell r="B773" t="str">
            <v>oceanDisasterOccurCondition</v>
          </cell>
          <cell r="C773" t="str">
            <v>특정 위치</v>
          </cell>
          <cell r="D773">
            <v>7</v>
          </cell>
        </row>
        <row r="774">
          <cell r="A774" t="str">
            <v>oceanDisasterOccurCondition물</v>
          </cell>
          <cell r="B774" t="str">
            <v>oceanDisasterOccurCondition</v>
          </cell>
          <cell r="C774" t="str">
            <v>물</v>
          </cell>
          <cell r="D774">
            <v>8</v>
          </cell>
        </row>
        <row r="775">
          <cell r="A775" t="str">
            <v>oceanDisasterOccurCondition식량</v>
          </cell>
          <cell r="B775" t="str">
            <v>oceanDisasterOccurCondition</v>
          </cell>
          <cell r="C775" t="str">
            <v>식량</v>
          </cell>
          <cell r="D775">
            <v>9</v>
          </cell>
        </row>
        <row r="776">
          <cell r="A776" t="str">
            <v>oceanDoodadOccurType없음</v>
          </cell>
          <cell r="B776" t="str">
            <v>oceanDoodadOccurType</v>
          </cell>
          <cell r="C776" t="str">
            <v>없음</v>
          </cell>
          <cell r="D776">
            <v>0</v>
          </cell>
        </row>
        <row r="777">
          <cell r="A777" t="str">
            <v>oceanDoodadOccurType기함 내구도</v>
          </cell>
          <cell r="B777" t="str">
            <v>oceanDoodadOccurType</v>
          </cell>
          <cell r="C777" t="str">
            <v>기함 내구도</v>
          </cell>
          <cell r="D777">
            <v>1</v>
          </cell>
        </row>
        <row r="778">
          <cell r="A778" t="str">
            <v>oceanDoodadOccurType기함 선원 수</v>
          </cell>
          <cell r="B778" t="str">
            <v>oceanDoodadOccurType</v>
          </cell>
          <cell r="C778" t="str">
            <v>기함 선원 수</v>
          </cell>
          <cell r="D778">
            <v>2</v>
          </cell>
        </row>
        <row r="779">
          <cell r="A779" t="str">
            <v>oceanDoodadOccurType기함 선원 수</v>
          </cell>
          <cell r="B779" t="str">
            <v>oceanDoodadOccurType</v>
          </cell>
          <cell r="C779" t="str">
            <v>기함 선원 수</v>
          </cell>
          <cell r="D779">
            <v>3</v>
          </cell>
        </row>
        <row r="780">
          <cell r="A780" t="str">
            <v>oceanDoodadOccurType날씨</v>
          </cell>
          <cell r="B780" t="str">
            <v>oceanDoodadOccurType</v>
          </cell>
          <cell r="C780" t="str">
            <v>날씨</v>
          </cell>
          <cell r="D780">
            <v>4</v>
          </cell>
        </row>
        <row r="781">
          <cell r="A781" t="str">
            <v>oceanDoodadOccurType바람 속도</v>
          </cell>
          <cell r="B781" t="str">
            <v>oceanDoodadOccurType</v>
          </cell>
          <cell r="C781" t="str">
            <v>바람 속도</v>
          </cell>
          <cell r="D781">
            <v>5</v>
          </cell>
        </row>
        <row r="782">
          <cell r="A782" t="str">
            <v>oceanDoodadOccurType리전</v>
          </cell>
          <cell r="B782" t="str">
            <v>oceanDoodadOccurType</v>
          </cell>
          <cell r="C782" t="str">
            <v>리전</v>
          </cell>
          <cell r="D782">
            <v>6</v>
          </cell>
        </row>
        <row r="783">
          <cell r="A783" t="str">
            <v>oceanDoodadOccurType물</v>
          </cell>
          <cell r="B783" t="str">
            <v>oceanDoodadOccurType</v>
          </cell>
          <cell r="C783" t="str">
            <v>물</v>
          </cell>
          <cell r="D783">
            <v>7</v>
          </cell>
        </row>
        <row r="784">
          <cell r="A784" t="str">
            <v>oceanDoodadOccurType식량</v>
          </cell>
          <cell r="B784" t="str">
            <v>oceanDoodadOccurType</v>
          </cell>
          <cell r="C784" t="str">
            <v>식량</v>
          </cell>
          <cell r="D784">
            <v>8</v>
          </cell>
        </row>
        <row r="785">
          <cell r="A785" t="str">
            <v>WorldSkillType없음</v>
          </cell>
          <cell r="B785" t="str">
            <v>WorldSkillType</v>
          </cell>
          <cell r="C785" t="str">
            <v>없음</v>
          </cell>
          <cell r="D785">
            <v>0</v>
          </cell>
        </row>
        <row r="786">
          <cell r="A786" t="str">
            <v>WorldSkillType항해</v>
          </cell>
          <cell r="B786" t="str">
            <v>WorldSkillType</v>
          </cell>
          <cell r="C786" t="str">
            <v>항해</v>
          </cell>
          <cell r="D786">
            <v>1</v>
          </cell>
        </row>
        <row r="787">
          <cell r="A787" t="str">
            <v>WorldSkillType상태이상</v>
          </cell>
          <cell r="B787" t="str">
            <v>WorldSkillType</v>
          </cell>
          <cell r="C787" t="str">
            <v>상태이상</v>
          </cell>
          <cell r="D787">
            <v>2</v>
          </cell>
        </row>
        <row r="788">
          <cell r="A788" t="str">
            <v>WorldSkillType탐험</v>
          </cell>
          <cell r="B788" t="str">
            <v>WorldSkillType</v>
          </cell>
          <cell r="C788" t="str">
            <v>탐험</v>
          </cell>
          <cell r="D788">
            <v>3</v>
          </cell>
        </row>
        <row r="789">
          <cell r="A789" t="str">
            <v>WorldSkilllCostType없음</v>
          </cell>
          <cell r="B789" t="str">
            <v>WorldSkilllCostType</v>
          </cell>
          <cell r="C789" t="str">
            <v>없음</v>
          </cell>
          <cell r="D789">
            <v>0</v>
          </cell>
        </row>
        <row r="790">
          <cell r="A790" t="str">
            <v>WorldSkilllCostType행동력</v>
          </cell>
          <cell r="B790" t="str">
            <v>WorldSkilllCostType</v>
          </cell>
          <cell r="C790" t="str">
            <v>행동력</v>
          </cell>
          <cell r="D790">
            <v>1</v>
          </cell>
        </row>
        <row r="791">
          <cell r="A791" t="str">
            <v>WorldSkilllCostType자재</v>
          </cell>
          <cell r="B791" t="str">
            <v>WorldSkilllCostType</v>
          </cell>
          <cell r="C791" t="str">
            <v>자재</v>
          </cell>
          <cell r="D791">
            <v>2</v>
          </cell>
        </row>
        <row r="792">
          <cell r="A792" t="str">
            <v>WorldSkilllCostType물</v>
          </cell>
          <cell r="B792" t="str">
            <v>WorldSkilllCostType</v>
          </cell>
          <cell r="C792" t="str">
            <v>물</v>
          </cell>
          <cell r="D792">
            <v>3</v>
          </cell>
        </row>
        <row r="793">
          <cell r="A793" t="str">
            <v>WorldSkilllTargetType없음</v>
          </cell>
          <cell r="B793" t="str">
            <v>WorldSkilllTargetType</v>
          </cell>
          <cell r="C793" t="str">
            <v>없음</v>
          </cell>
          <cell r="D793">
            <v>0</v>
          </cell>
        </row>
        <row r="794">
          <cell r="A794" t="str">
            <v>WorldSkilllTargetType선박 (자신)</v>
          </cell>
          <cell r="B794" t="str">
            <v>WorldSkilllTargetType</v>
          </cell>
          <cell r="C794" t="str">
            <v>선박 (자신)</v>
          </cell>
          <cell r="D794">
            <v>1</v>
          </cell>
        </row>
        <row r="795">
          <cell r="A795" t="str">
            <v>WorldSkilllTargetType선박 (대상)</v>
          </cell>
          <cell r="B795" t="str">
            <v>WorldSkilllTargetType</v>
          </cell>
          <cell r="C795" t="str">
            <v>선박 (대상)</v>
          </cell>
          <cell r="D795">
            <v>2</v>
          </cell>
        </row>
        <row r="796">
          <cell r="A796" t="str">
            <v>WorldSkilllTargetType함대</v>
          </cell>
          <cell r="B796" t="str">
            <v>WorldSkilllTargetType</v>
          </cell>
          <cell r="C796" t="str">
            <v>함대</v>
          </cell>
          <cell r="D796">
            <v>3</v>
          </cell>
        </row>
        <row r="797">
          <cell r="A797" t="str">
            <v>WorldSkilllTargetType선단</v>
          </cell>
          <cell r="B797" t="str">
            <v>WorldSkilllTargetType</v>
          </cell>
          <cell r="C797" t="str">
            <v>선단</v>
          </cell>
          <cell r="D797">
            <v>4</v>
          </cell>
        </row>
        <row r="798">
          <cell r="A798" t="str">
            <v>WorldSkilllAccuType상대</v>
          </cell>
          <cell r="B798" t="str">
            <v>WorldSkilllAccuType</v>
          </cell>
          <cell r="C798" t="str">
            <v>상대</v>
          </cell>
          <cell r="D798">
            <v>1</v>
          </cell>
        </row>
        <row r="799">
          <cell r="A799" t="str">
            <v>WorldSkilllAccuType절대</v>
          </cell>
          <cell r="B799" t="str">
            <v>WorldSkilllAccuType</v>
          </cell>
          <cell r="C799" t="str">
            <v>절대</v>
          </cell>
          <cell r="D799">
            <v>2</v>
          </cell>
        </row>
        <row r="800">
          <cell r="A800" t="str">
            <v>personalityType적극0</v>
          </cell>
          <cell r="B800" t="str">
            <v>personalityType</v>
          </cell>
          <cell r="C800" t="str">
            <v>적극0</v>
          </cell>
          <cell r="D800">
            <v>1</v>
          </cell>
        </row>
        <row r="801">
          <cell r="A801" t="str">
            <v>personalityType강대0</v>
          </cell>
          <cell r="B801" t="str">
            <v>personalityType</v>
          </cell>
          <cell r="C801" t="str">
            <v>강대0</v>
          </cell>
          <cell r="D801">
            <v>2</v>
          </cell>
        </row>
        <row r="802">
          <cell r="A802" t="str">
            <v>personalityType소심0</v>
          </cell>
          <cell r="B802" t="str">
            <v>personalityType</v>
          </cell>
          <cell r="C802" t="str">
            <v>소심0</v>
          </cell>
          <cell r="D802">
            <v>3</v>
          </cell>
        </row>
        <row r="803">
          <cell r="A803" t="str">
            <v>personalityType신중0</v>
          </cell>
          <cell r="B803" t="str">
            <v>personalityType</v>
          </cell>
          <cell r="C803" t="str">
            <v>신중0</v>
          </cell>
          <cell r="D803">
            <v>4</v>
          </cell>
        </row>
        <row r="804">
          <cell r="A804" t="str">
            <v>personalityType괴팍0</v>
          </cell>
          <cell r="B804" t="str">
            <v>personalityType</v>
          </cell>
          <cell r="C804" t="str">
            <v>괴팍0</v>
          </cell>
          <cell r="D804">
            <v>5</v>
          </cell>
        </row>
        <row r="805">
          <cell r="A805" t="str">
            <v>personalityType적극1</v>
          </cell>
          <cell r="B805" t="str">
            <v>personalityType</v>
          </cell>
          <cell r="C805" t="str">
            <v>적극1</v>
          </cell>
          <cell r="D805">
            <v>6</v>
          </cell>
        </row>
        <row r="806">
          <cell r="A806" t="str">
            <v>personalityType강대1</v>
          </cell>
          <cell r="B806" t="str">
            <v>personalityType</v>
          </cell>
          <cell r="C806" t="str">
            <v>강대1</v>
          </cell>
          <cell r="D806">
            <v>7</v>
          </cell>
        </row>
        <row r="807">
          <cell r="A807" t="str">
            <v>personalityType소심1</v>
          </cell>
          <cell r="B807" t="str">
            <v>personalityType</v>
          </cell>
          <cell r="C807" t="str">
            <v>소심1</v>
          </cell>
          <cell r="D807">
            <v>8</v>
          </cell>
        </row>
        <row r="808">
          <cell r="A808" t="str">
            <v>personalityType신중1</v>
          </cell>
          <cell r="B808" t="str">
            <v>personalityType</v>
          </cell>
          <cell r="C808" t="str">
            <v>신중1</v>
          </cell>
          <cell r="D808">
            <v>9</v>
          </cell>
        </row>
        <row r="809">
          <cell r="A809" t="str">
            <v>personalityType괴팍1</v>
          </cell>
          <cell r="B809" t="str">
            <v>personalityType</v>
          </cell>
          <cell r="C809" t="str">
            <v>괴팍1</v>
          </cell>
          <cell r="D809">
            <v>10</v>
          </cell>
        </row>
        <row r="810">
          <cell r="A810" t="str">
            <v>personalityType적극2</v>
          </cell>
          <cell r="B810" t="str">
            <v>personalityType</v>
          </cell>
          <cell r="C810" t="str">
            <v>적극2</v>
          </cell>
          <cell r="D810">
            <v>11</v>
          </cell>
        </row>
        <row r="811">
          <cell r="A811" t="str">
            <v>personalityType적극0 엘리트</v>
          </cell>
          <cell r="B811" t="str">
            <v>personalityType</v>
          </cell>
          <cell r="C811" t="str">
            <v>적극0 엘리트</v>
          </cell>
          <cell r="D811">
            <v>101</v>
          </cell>
        </row>
        <row r="812">
          <cell r="A812" t="str">
            <v>personalityType강대0 엘리트</v>
          </cell>
          <cell r="B812" t="str">
            <v>personalityType</v>
          </cell>
          <cell r="C812" t="str">
            <v>강대0 엘리트</v>
          </cell>
          <cell r="D812">
            <v>102</v>
          </cell>
        </row>
        <row r="813">
          <cell r="A813" t="str">
            <v>personalityType소심0 엘리트</v>
          </cell>
          <cell r="B813" t="str">
            <v>personalityType</v>
          </cell>
          <cell r="C813" t="str">
            <v>소심0 엘리트</v>
          </cell>
          <cell r="D813">
            <v>103</v>
          </cell>
        </row>
        <row r="814">
          <cell r="A814" t="str">
            <v>personalityType신중0 엘리트</v>
          </cell>
          <cell r="B814" t="str">
            <v>personalityType</v>
          </cell>
          <cell r="C814" t="str">
            <v>신중0 엘리트</v>
          </cell>
          <cell r="D814">
            <v>104</v>
          </cell>
        </row>
        <row r="815">
          <cell r="A815" t="str">
            <v>personalityType괴팍0 엘리트</v>
          </cell>
          <cell r="B815" t="str">
            <v>personalityType</v>
          </cell>
          <cell r="C815" t="str">
            <v>괴팍0 엘리트</v>
          </cell>
          <cell r="D815">
            <v>105</v>
          </cell>
        </row>
        <row r="816">
          <cell r="A816" t="str">
            <v>personalityType적극1 엘리트</v>
          </cell>
          <cell r="B816" t="str">
            <v>personalityType</v>
          </cell>
          <cell r="C816" t="str">
            <v>적극1 엘리트</v>
          </cell>
          <cell r="D816">
            <v>106</v>
          </cell>
        </row>
        <row r="817">
          <cell r="A817" t="str">
            <v>personalityType강대1 엘리트</v>
          </cell>
          <cell r="B817" t="str">
            <v>personalityType</v>
          </cell>
          <cell r="C817" t="str">
            <v>강대1 엘리트</v>
          </cell>
          <cell r="D817">
            <v>107</v>
          </cell>
        </row>
        <row r="818">
          <cell r="A818" t="str">
            <v>personalityType소심1 엘리트</v>
          </cell>
          <cell r="B818" t="str">
            <v>personalityType</v>
          </cell>
          <cell r="C818" t="str">
            <v>소심1 엘리트</v>
          </cell>
          <cell r="D818">
            <v>108</v>
          </cell>
        </row>
        <row r="819">
          <cell r="A819" t="str">
            <v>personalityType신중1 엘리트</v>
          </cell>
          <cell r="B819" t="str">
            <v>personalityType</v>
          </cell>
          <cell r="C819" t="str">
            <v>신중1 엘리트</v>
          </cell>
          <cell r="D819">
            <v>109</v>
          </cell>
        </row>
        <row r="820">
          <cell r="A820" t="str">
            <v>personalityType괴팍1 엘리트</v>
          </cell>
          <cell r="B820" t="str">
            <v>personalityType</v>
          </cell>
          <cell r="C820" t="str">
            <v>괴팍1 엘리트</v>
          </cell>
          <cell r="D820">
            <v>110</v>
          </cell>
        </row>
        <row r="821">
          <cell r="A821" t="str">
            <v>personalityType적극2 엘리트</v>
          </cell>
          <cell r="B821" t="str">
            <v>personalityType</v>
          </cell>
          <cell r="C821" t="str">
            <v>적극2 엘리트</v>
          </cell>
          <cell r="D821">
            <v>111</v>
          </cell>
        </row>
        <row r="822">
          <cell r="A822" t="str">
            <v>personalityType토벌_에드워드티치</v>
          </cell>
          <cell r="B822" t="str">
            <v>personalityType</v>
          </cell>
          <cell r="C822" t="str">
            <v>토벌_에드워드티치</v>
          </cell>
          <cell r="D822">
            <v>201</v>
          </cell>
        </row>
        <row r="823">
          <cell r="A823" t="str">
            <v>fleetTriggerType가호</v>
          </cell>
          <cell r="B823" t="str">
            <v>fleetTriggerType</v>
          </cell>
          <cell r="C823" t="str">
            <v>가호</v>
          </cell>
          <cell r="D823">
            <v>1</v>
          </cell>
        </row>
        <row r="824">
          <cell r="A824" t="str">
            <v>fleetTriggerType날씨</v>
          </cell>
          <cell r="B824" t="str">
            <v>fleetTriggerType</v>
          </cell>
          <cell r="C824" t="str">
            <v>날씨</v>
          </cell>
          <cell r="D824">
            <v>2</v>
          </cell>
        </row>
        <row r="825">
          <cell r="A825" t="str">
            <v>shipTriggerType재해</v>
          </cell>
          <cell r="B825" t="str">
            <v>shipTriggerType</v>
          </cell>
          <cell r="C825" t="str">
            <v>재해</v>
          </cell>
          <cell r="D825">
            <v>1</v>
          </cell>
        </row>
        <row r="826">
          <cell r="A826" t="str">
            <v>shipTriggerType선박 상태이상</v>
          </cell>
          <cell r="B826" t="str">
            <v>shipTriggerType</v>
          </cell>
          <cell r="C826" t="str">
            <v>선박 상태이상</v>
          </cell>
          <cell r="D826">
            <v>2</v>
          </cell>
        </row>
        <row r="827">
          <cell r="A827" t="str">
            <v>useTriggerFleetTiming항해 중</v>
          </cell>
          <cell r="B827" t="str">
            <v>useTriggerFleetTiming</v>
          </cell>
          <cell r="C827" t="str">
            <v>항해 중</v>
          </cell>
          <cell r="D827">
            <v>1</v>
          </cell>
        </row>
        <row r="828">
          <cell r="A828" t="str">
            <v>useTriggerFleetTiming항해 불능</v>
          </cell>
          <cell r="B828" t="str">
            <v>useTriggerFleetTiming</v>
          </cell>
          <cell r="C828" t="str">
            <v>항해 불능</v>
          </cell>
          <cell r="D828">
            <v>2</v>
          </cell>
        </row>
        <row r="829">
          <cell r="A829" t="str">
            <v>useTriggerShipTiming항해 중</v>
          </cell>
          <cell r="B829" t="str">
            <v>useTriggerShipTiming</v>
          </cell>
          <cell r="C829" t="str">
            <v>항해 중</v>
          </cell>
          <cell r="D829">
            <v>1</v>
          </cell>
        </row>
        <row r="830">
          <cell r="A830" t="str">
            <v>useTriggerShipTiming침몰</v>
          </cell>
          <cell r="B830" t="str">
            <v>useTriggerShipTiming</v>
          </cell>
          <cell r="C830" t="str">
            <v>침몰</v>
          </cell>
          <cell r="D830">
            <v>2</v>
          </cell>
        </row>
        <row r="831">
          <cell r="A831" t="str">
            <v>EncounterSpeakerType공격자 제독</v>
          </cell>
          <cell r="B831" t="str">
            <v>EncounterSpeakerType</v>
          </cell>
          <cell r="C831" t="str">
            <v>공격자 제독</v>
          </cell>
          <cell r="D831">
            <v>1</v>
          </cell>
        </row>
        <row r="832">
          <cell r="A832" t="str">
            <v>EncounterSpeakerType방어자 제독</v>
          </cell>
          <cell r="B832" t="str">
            <v>EncounterSpeakerType</v>
          </cell>
          <cell r="C832" t="str">
            <v>방어자 제독</v>
          </cell>
          <cell r="D832">
            <v>2</v>
          </cell>
        </row>
        <row r="833">
          <cell r="A833" t="str">
            <v>EncounterSpeakerType공격자 부관</v>
          </cell>
          <cell r="B833" t="str">
            <v>EncounterSpeakerType</v>
          </cell>
          <cell r="C833" t="str">
            <v>공격자 부관</v>
          </cell>
          <cell r="D833">
            <v>3</v>
          </cell>
        </row>
        <row r="834">
          <cell r="A834" t="str">
            <v>EncounterSpeakerType방어자 부관</v>
          </cell>
          <cell r="B834" t="str">
            <v>EncounterSpeakerType</v>
          </cell>
          <cell r="C834" t="str">
            <v>방어자 부관</v>
          </cell>
          <cell r="D834">
            <v>4</v>
          </cell>
        </row>
        <row r="835">
          <cell r="A835" t="str">
            <v>EncounterFlowType시작(공)</v>
          </cell>
          <cell r="B835" t="str">
            <v>EncounterFlowType</v>
          </cell>
          <cell r="C835" t="str">
            <v>시작(공)</v>
          </cell>
          <cell r="D835">
            <v>1</v>
          </cell>
        </row>
        <row r="836">
          <cell r="A836" t="str">
            <v>EncounterFlowType시작(방)</v>
          </cell>
          <cell r="B836" t="str">
            <v>EncounterFlowType</v>
          </cell>
          <cell r="C836" t="str">
            <v>시작(방)</v>
          </cell>
          <cell r="D836">
            <v>2</v>
          </cell>
        </row>
        <row r="837">
          <cell r="A837" t="str">
            <v>EncounterFlowType시작(부)</v>
          </cell>
          <cell r="B837" t="str">
            <v>EncounterFlowType</v>
          </cell>
          <cell r="C837" t="str">
            <v>시작(부)</v>
          </cell>
          <cell r="D837">
            <v>3</v>
          </cell>
        </row>
        <row r="838">
          <cell r="A838" t="str">
            <v>EncounterFlowType교전 선택</v>
          </cell>
          <cell r="B838" t="str">
            <v>EncounterFlowType</v>
          </cell>
          <cell r="C838" t="str">
            <v>교전 선택</v>
          </cell>
          <cell r="D838">
            <v>4</v>
          </cell>
        </row>
        <row r="839">
          <cell r="A839" t="str">
            <v>EncounterFlowType도망 선택(확률 높음)</v>
          </cell>
          <cell r="B839" t="str">
            <v>EncounterFlowType</v>
          </cell>
          <cell r="C839" t="str">
            <v>도망 선택(확률 높음)</v>
          </cell>
          <cell r="D839">
            <v>5</v>
          </cell>
        </row>
        <row r="840">
          <cell r="A840" t="str">
            <v>EncounterFlowType도망 선택(확률 중간)</v>
          </cell>
          <cell r="B840" t="str">
            <v>EncounterFlowType</v>
          </cell>
          <cell r="C840" t="str">
            <v>도망 선택(확률 중간)</v>
          </cell>
          <cell r="D840">
            <v>6</v>
          </cell>
        </row>
        <row r="841">
          <cell r="A841" t="str">
            <v>EncounterFlowType도망 선택(확률 낮음)</v>
          </cell>
          <cell r="B841" t="str">
            <v>EncounterFlowType</v>
          </cell>
          <cell r="C841" t="str">
            <v>도망 선택(확률 낮음)</v>
          </cell>
          <cell r="D841">
            <v>7</v>
          </cell>
        </row>
        <row r="842">
          <cell r="A842" t="str">
            <v>EncounterFlowType항복 선택</v>
          </cell>
          <cell r="B842" t="str">
            <v>EncounterFlowType</v>
          </cell>
          <cell r="C842" t="str">
            <v>항복 선택</v>
          </cell>
          <cell r="D842">
            <v>8</v>
          </cell>
        </row>
        <row r="843">
          <cell r="A843" t="str">
            <v>EncounterFlowType교섭 선택(확률 높음)</v>
          </cell>
          <cell r="B843" t="str">
            <v>EncounterFlowType</v>
          </cell>
          <cell r="C843" t="str">
            <v>교섭 선택(확률 높음)</v>
          </cell>
          <cell r="D843">
            <v>9</v>
          </cell>
        </row>
        <row r="844">
          <cell r="A844" t="str">
            <v>EncounterFlowType교섭 선택(확률 중간)</v>
          </cell>
          <cell r="B844" t="str">
            <v>EncounterFlowType</v>
          </cell>
          <cell r="C844" t="str">
            <v>교섭 선택(확률 중간)</v>
          </cell>
          <cell r="D844">
            <v>10</v>
          </cell>
        </row>
        <row r="845">
          <cell r="A845" t="str">
            <v>EncounterFlowType교섭 선택(확률 낮음)</v>
          </cell>
          <cell r="B845" t="str">
            <v>EncounterFlowType</v>
          </cell>
          <cell r="C845" t="str">
            <v>교섭 선택(확률 낮음)</v>
          </cell>
          <cell r="D845">
            <v>11</v>
          </cell>
        </row>
        <row r="846">
          <cell r="A846" t="str">
            <v>EncounterFlowType교전 시도</v>
          </cell>
          <cell r="B846" t="str">
            <v>EncounterFlowType</v>
          </cell>
          <cell r="C846" t="str">
            <v>교전 시도</v>
          </cell>
          <cell r="D846">
            <v>12</v>
          </cell>
        </row>
        <row r="847">
          <cell r="A847" t="str">
            <v>EncounterFlowType도망 시도</v>
          </cell>
          <cell r="B847" t="str">
            <v>EncounterFlowType</v>
          </cell>
          <cell r="C847" t="str">
            <v>도망 시도</v>
          </cell>
          <cell r="D847">
            <v>13</v>
          </cell>
        </row>
        <row r="848">
          <cell r="A848" t="str">
            <v>EncounterFlowType항복 시도</v>
          </cell>
          <cell r="B848" t="str">
            <v>EncounterFlowType</v>
          </cell>
          <cell r="C848" t="str">
            <v>항복 시도</v>
          </cell>
          <cell r="D848">
            <v>14</v>
          </cell>
        </row>
        <row r="849">
          <cell r="A849" t="str">
            <v>EncounterFlowType교섭 시도</v>
          </cell>
          <cell r="B849" t="str">
            <v>EncounterFlowType</v>
          </cell>
          <cell r="C849" t="str">
            <v>교섭 시도</v>
          </cell>
          <cell r="D849">
            <v>15</v>
          </cell>
        </row>
        <row r="850">
          <cell r="A850" t="str">
            <v>EncounterFlowType교전 발생</v>
          </cell>
          <cell r="B850" t="str">
            <v>EncounterFlowType</v>
          </cell>
          <cell r="C850" t="str">
            <v>교전 발생</v>
          </cell>
          <cell r="D850">
            <v>16</v>
          </cell>
        </row>
        <row r="851">
          <cell r="A851" t="str">
            <v>EncounterFlowType도망 성공</v>
          </cell>
          <cell r="B851" t="str">
            <v>EncounterFlowType</v>
          </cell>
          <cell r="C851" t="str">
            <v>도망 성공</v>
          </cell>
          <cell r="D851">
            <v>17</v>
          </cell>
        </row>
        <row r="852">
          <cell r="A852" t="str">
            <v>EncounterFlowType도망 실패</v>
          </cell>
          <cell r="B852" t="str">
            <v>EncounterFlowType</v>
          </cell>
          <cell r="C852" t="str">
            <v>도망 실패</v>
          </cell>
          <cell r="D852">
            <v>18</v>
          </cell>
        </row>
        <row r="853">
          <cell r="A853" t="str">
            <v>EncounterFlowType추격 안함</v>
          </cell>
          <cell r="B853" t="str">
            <v>EncounterFlowType</v>
          </cell>
          <cell r="C853" t="str">
            <v>추격 안함</v>
          </cell>
          <cell r="D853">
            <v>19</v>
          </cell>
        </row>
        <row r="854">
          <cell r="A854" t="str">
            <v>EncounterFlowType항복 수락</v>
          </cell>
          <cell r="B854" t="str">
            <v>EncounterFlowType</v>
          </cell>
          <cell r="C854" t="str">
            <v>항복 수락</v>
          </cell>
          <cell r="D854">
            <v>20</v>
          </cell>
        </row>
        <row r="855">
          <cell r="A855" t="str">
            <v>EncounterFlowType항복 거절</v>
          </cell>
          <cell r="B855" t="str">
            <v>EncounterFlowType</v>
          </cell>
          <cell r="C855" t="str">
            <v>항복 거절</v>
          </cell>
          <cell r="D855">
            <v>21</v>
          </cell>
        </row>
        <row r="856">
          <cell r="A856" t="str">
            <v>EncounterFlowType교섭 수락</v>
          </cell>
          <cell r="B856" t="str">
            <v>EncounterFlowType</v>
          </cell>
          <cell r="C856" t="str">
            <v>교섭 수락</v>
          </cell>
          <cell r="D856">
            <v>22</v>
          </cell>
        </row>
        <row r="857">
          <cell r="A857" t="str">
            <v>EncounterFlowType교섭 거절</v>
          </cell>
          <cell r="B857" t="str">
            <v>EncounterFlowType</v>
          </cell>
          <cell r="C857" t="str">
            <v>교섭 거절</v>
          </cell>
          <cell r="D857">
            <v>23</v>
          </cell>
        </row>
        <row r="858">
          <cell r="A858" t="str">
            <v>partsType평사포</v>
          </cell>
          <cell r="B858" t="str">
            <v>partsType</v>
          </cell>
          <cell r="C858" t="str">
            <v>평사포</v>
          </cell>
          <cell r="D858">
            <v>1</v>
          </cell>
        </row>
        <row r="859">
          <cell r="A859" t="str">
            <v>partsType곡사포</v>
          </cell>
          <cell r="B859" t="str">
            <v>partsType</v>
          </cell>
          <cell r="C859" t="str">
            <v>곡사포</v>
          </cell>
          <cell r="D859">
            <v>2</v>
          </cell>
        </row>
        <row r="860">
          <cell r="A860" t="str">
            <v>partsType박격포</v>
          </cell>
          <cell r="B860" t="str">
            <v>partsType</v>
          </cell>
          <cell r="C860" t="str">
            <v>박격포</v>
          </cell>
          <cell r="D860">
            <v>3</v>
          </cell>
        </row>
        <row r="861">
          <cell r="A861" t="str">
            <v>itemType소모</v>
          </cell>
          <cell r="B861" t="str">
            <v>itemType</v>
          </cell>
          <cell r="C861" t="str">
            <v>소모</v>
          </cell>
          <cell r="D861">
            <v>1</v>
          </cell>
        </row>
        <row r="862">
          <cell r="A862" t="str">
            <v>itemType재료</v>
          </cell>
          <cell r="B862" t="str">
            <v>itemType</v>
          </cell>
          <cell r="C862" t="str">
            <v>재료</v>
          </cell>
          <cell r="D862">
            <v>2</v>
          </cell>
        </row>
        <row r="863">
          <cell r="A863" t="str">
            <v>itemType도면</v>
          </cell>
          <cell r="B863" t="str">
            <v>itemType</v>
          </cell>
          <cell r="C863" t="str">
            <v>도면</v>
          </cell>
          <cell r="D863">
            <v>3</v>
          </cell>
        </row>
        <row r="864">
          <cell r="A864" t="str">
            <v>itemType계약서</v>
          </cell>
          <cell r="B864" t="str">
            <v>itemType</v>
          </cell>
          <cell r="C864" t="str">
            <v>계약서</v>
          </cell>
          <cell r="D864">
            <v>4</v>
          </cell>
        </row>
        <row r="865">
          <cell r="A865" t="str">
            <v>itemType자원</v>
          </cell>
          <cell r="B865" t="str">
            <v>itemType</v>
          </cell>
          <cell r="C865" t="str">
            <v>자원</v>
          </cell>
          <cell r="D865">
            <v>5</v>
          </cell>
        </row>
        <row r="866">
          <cell r="A866" t="str">
            <v>itemType기타</v>
          </cell>
          <cell r="B866" t="str">
            <v>itemType</v>
          </cell>
          <cell r="C866" t="str">
            <v>기타</v>
          </cell>
          <cell r="D866">
            <v>6</v>
          </cell>
        </row>
        <row r="867">
          <cell r="A867" t="str">
            <v>itemType의뢰서</v>
          </cell>
          <cell r="B867" t="str">
            <v>itemType</v>
          </cell>
          <cell r="C867" t="str">
            <v>의뢰서</v>
          </cell>
          <cell r="D867">
            <v>7</v>
          </cell>
        </row>
        <row r="868">
          <cell r="A868" t="str">
            <v>itemType낚싯대</v>
          </cell>
          <cell r="B868" t="str">
            <v>itemType</v>
          </cell>
          <cell r="C868" t="str">
            <v>낚싯대</v>
          </cell>
          <cell r="D868">
            <v>8</v>
          </cell>
        </row>
        <row r="869">
          <cell r="A869" t="str">
            <v>itemType떡밥</v>
          </cell>
          <cell r="B869" t="str">
            <v>itemType</v>
          </cell>
          <cell r="C869" t="str">
            <v>떡밥</v>
          </cell>
          <cell r="D869">
            <v>9</v>
          </cell>
        </row>
        <row r="870">
          <cell r="A870" t="str">
            <v>itemType색소</v>
          </cell>
          <cell r="B870" t="str">
            <v>itemType</v>
          </cell>
          <cell r="C870" t="str">
            <v>색소</v>
          </cell>
          <cell r="D870">
            <v>10</v>
          </cell>
        </row>
        <row r="871">
          <cell r="A871" t="str">
            <v>itemType도안</v>
          </cell>
          <cell r="B871" t="str">
            <v>itemType</v>
          </cell>
          <cell r="C871" t="str">
            <v>도안</v>
          </cell>
          <cell r="D871">
            <v>11</v>
          </cell>
        </row>
        <row r="872">
          <cell r="A872" t="str">
            <v>itemType원단</v>
          </cell>
          <cell r="B872" t="str">
            <v>itemType</v>
          </cell>
          <cell r="C872" t="str">
            <v>원단</v>
          </cell>
          <cell r="D872">
            <v>12</v>
          </cell>
        </row>
        <row r="873">
          <cell r="A873" t="str">
            <v>itemType염료</v>
          </cell>
          <cell r="B873" t="str">
            <v>itemType</v>
          </cell>
          <cell r="C873" t="str">
            <v>염료</v>
          </cell>
          <cell r="D873">
            <v>13</v>
          </cell>
        </row>
        <row r="874">
          <cell r="A874" t="str">
            <v>itemType퀘스트</v>
          </cell>
          <cell r="B874" t="str">
            <v>itemType</v>
          </cell>
          <cell r="C874" t="str">
            <v>퀘스트</v>
          </cell>
          <cell r="D874">
            <v>14</v>
          </cell>
        </row>
        <row r="875">
          <cell r="A875" t="str">
            <v>itemType탐색</v>
          </cell>
          <cell r="B875" t="str">
            <v>itemType</v>
          </cell>
          <cell r="C875" t="str">
            <v>탐색</v>
          </cell>
          <cell r="D875">
            <v>15</v>
          </cell>
        </row>
        <row r="876">
          <cell r="A876" t="str">
            <v>itemType육지 탐험</v>
          </cell>
          <cell r="B876" t="str">
            <v>itemType</v>
          </cell>
          <cell r="C876" t="str">
            <v>육지 탐험</v>
          </cell>
          <cell r="D876">
            <v>16</v>
          </cell>
        </row>
        <row r="877">
          <cell r="A877" t="str">
            <v>itemType모험 도구</v>
          </cell>
          <cell r="B877" t="str">
            <v>itemType</v>
          </cell>
          <cell r="C877" t="str">
            <v>모험 도구</v>
          </cell>
          <cell r="D877">
            <v>17</v>
          </cell>
        </row>
        <row r="878">
          <cell r="A878" t="str">
            <v>itemType대표 아이콘</v>
          </cell>
          <cell r="B878" t="str">
            <v>itemType</v>
          </cell>
          <cell r="C878" t="str">
            <v>대표 아이콘</v>
          </cell>
          <cell r="D878">
            <v>18</v>
          </cell>
        </row>
        <row r="879">
          <cell r="A879" t="str">
            <v>itemType승급 도구</v>
          </cell>
          <cell r="B879" t="str">
            <v>itemType</v>
          </cell>
          <cell r="C879" t="str">
            <v>승급 도구</v>
          </cell>
          <cell r="D879">
            <v>19</v>
          </cell>
        </row>
        <row r="880">
          <cell r="A880" t="str">
            <v>itemType임명장</v>
          </cell>
          <cell r="B880" t="str">
            <v>itemType</v>
          </cell>
          <cell r="C880" t="str">
            <v>임명장</v>
          </cell>
          <cell r="D880">
            <v>20</v>
          </cell>
        </row>
        <row r="881">
          <cell r="A881" t="str">
            <v>itemType교본</v>
          </cell>
          <cell r="B881" t="str">
            <v>itemType</v>
          </cell>
          <cell r="C881" t="str">
            <v>교본</v>
          </cell>
          <cell r="D881">
            <v>21</v>
          </cell>
        </row>
        <row r="882">
          <cell r="A882" t="str">
            <v>itemType건조 재료</v>
          </cell>
          <cell r="B882" t="str">
            <v>itemType</v>
          </cell>
          <cell r="C882" t="str">
            <v>건조 재료</v>
          </cell>
          <cell r="D882">
            <v>22</v>
          </cell>
        </row>
        <row r="883">
          <cell r="A883" t="str">
            <v>pieceType없음</v>
          </cell>
          <cell r="B883" t="str">
            <v>pieceType</v>
          </cell>
          <cell r="C883" t="str">
            <v>없음</v>
          </cell>
          <cell r="D883">
            <v>0</v>
          </cell>
        </row>
        <row r="884">
          <cell r="A884" t="str">
            <v>pieceType계약서</v>
          </cell>
          <cell r="B884" t="str">
            <v>pieceType</v>
          </cell>
          <cell r="C884" t="str">
            <v>계약서</v>
          </cell>
          <cell r="D884">
            <v>1</v>
          </cell>
        </row>
        <row r="885">
          <cell r="A885" t="str">
            <v>pieceType도면</v>
          </cell>
          <cell r="B885" t="str">
            <v>pieceType</v>
          </cell>
          <cell r="C885" t="str">
            <v>도면</v>
          </cell>
          <cell r="D885">
            <v>2</v>
          </cell>
        </row>
        <row r="886">
          <cell r="A886" t="str">
            <v>swapType없음</v>
          </cell>
          <cell r="B886" t="str">
            <v>swapType</v>
          </cell>
          <cell r="C886" t="str">
            <v>없음</v>
          </cell>
          <cell r="D886">
            <v>0</v>
          </cell>
        </row>
        <row r="887">
          <cell r="A887" t="str">
            <v>swapType다면계약</v>
          </cell>
          <cell r="B887" t="str">
            <v>swapType</v>
          </cell>
          <cell r="C887" t="str">
            <v>다면계약</v>
          </cell>
          <cell r="D887">
            <v>1</v>
          </cell>
        </row>
        <row r="888">
          <cell r="A888" t="str">
            <v>swapType고급계약</v>
          </cell>
          <cell r="B888" t="str">
            <v>swapType</v>
          </cell>
          <cell r="C888" t="str">
            <v>고급계약</v>
          </cell>
          <cell r="D888">
            <v>2</v>
          </cell>
        </row>
        <row r="889">
          <cell r="A889" t="str">
            <v>itemFilterType소모</v>
          </cell>
          <cell r="B889" t="str">
            <v>itemFilterType</v>
          </cell>
          <cell r="C889" t="str">
            <v>소모</v>
          </cell>
          <cell r="D889">
            <v>1</v>
          </cell>
        </row>
        <row r="890">
          <cell r="A890" t="str">
            <v>itemFilterType재료</v>
          </cell>
          <cell r="B890" t="str">
            <v>itemFilterType</v>
          </cell>
          <cell r="C890" t="str">
            <v>재료</v>
          </cell>
          <cell r="D890">
            <v>2</v>
          </cell>
        </row>
        <row r="891">
          <cell r="A891" t="str">
            <v>itemFilterType도면</v>
          </cell>
          <cell r="B891" t="str">
            <v>itemFilterType</v>
          </cell>
          <cell r="C891" t="str">
            <v>도면</v>
          </cell>
          <cell r="D891">
            <v>3</v>
          </cell>
        </row>
        <row r="892">
          <cell r="A892" t="str">
            <v>itemFilterType계약서</v>
          </cell>
          <cell r="B892" t="str">
            <v>itemFilterType</v>
          </cell>
          <cell r="C892" t="str">
            <v>계약서</v>
          </cell>
          <cell r="D892">
            <v>4</v>
          </cell>
        </row>
        <row r="893">
          <cell r="A893" t="str">
            <v>itemFilterType자원</v>
          </cell>
          <cell r="B893" t="str">
            <v>itemFilterType</v>
          </cell>
          <cell r="C893" t="str">
            <v>자원</v>
          </cell>
          <cell r="D893">
            <v>5</v>
          </cell>
        </row>
        <row r="894">
          <cell r="A894" t="str">
            <v>itemFilterType기타</v>
          </cell>
          <cell r="B894" t="str">
            <v>itemFilterType</v>
          </cell>
          <cell r="C894" t="str">
            <v>기타</v>
          </cell>
          <cell r="D894">
            <v>6</v>
          </cell>
        </row>
        <row r="895">
          <cell r="A895" t="str">
            <v>itemFilterType모험 도구</v>
          </cell>
          <cell r="B895" t="str">
            <v>itemFilterType</v>
          </cell>
          <cell r="C895" t="str">
            <v>모험 도구</v>
          </cell>
          <cell r="D895">
            <v>7</v>
          </cell>
        </row>
        <row r="896">
          <cell r="A896" t="str">
            <v>mateSearchingRule선장 제외 랜덤</v>
          </cell>
          <cell r="B896" t="str">
            <v>mateSearchingRule</v>
          </cell>
          <cell r="C896" t="str">
            <v>선장 제외 랜덤</v>
          </cell>
          <cell r="D896">
            <v>1</v>
          </cell>
        </row>
        <row r="897">
          <cell r="A897" t="str">
            <v>mateSearchingRule전체 랜덤</v>
          </cell>
          <cell r="B897" t="str">
            <v>mateSearchingRule</v>
          </cell>
          <cell r="C897" t="str">
            <v>전체 랜덤</v>
          </cell>
          <cell r="D897">
            <v>2</v>
          </cell>
        </row>
        <row r="898">
          <cell r="A898" t="str">
            <v>mateSearchingRule대사 패스</v>
          </cell>
          <cell r="B898" t="str">
            <v>mateSearchingRule</v>
          </cell>
          <cell r="C898" t="str">
            <v>대사 패스</v>
          </cell>
          <cell r="D898">
            <v>3</v>
          </cell>
        </row>
        <row r="899">
          <cell r="A899" t="str">
            <v>termsType누적</v>
          </cell>
          <cell r="B899" t="str">
            <v>termsType</v>
          </cell>
          <cell r="C899" t="str">
            <v>누적</v>
          </cell>
          <cell r="D899">
            <v>1</v>
          </cell>
        </row>
        <row r="900">
          <cell r="A900" t="str">
            <v>termsType현재 상태</v>
          </cell>
          <cell r="B900" t="str">
            <v>termsType</v>
          </cell>
          <cell r="C900" t="str">
            <v>현재 상태</v>
          </cell>
          <cell r="D900">
            <v>2</v>
          </cell>
        </row>
        <row r="901">
          <cell r="A901" t="str">
            <v>descFormatTypeCount</v>
          </cell>
          <cell r="B901" t="str">
            <v>descFormatType</v>
          </cell>
          <cell r="C901" t="str">
            <v>Count</v>
          </cell>
          <cell r="D901">
            <v>1</v>
          </cell>
        </row>
        <row r="902">
          <cell r="A902" t="str">
            <v>descFormatTypeCms</v>
          </cell>
          <cell r="B902" t="str">
            <v>descFormatType</v>
          </cell>
          <cell r="C902" t="str">
            <v>Cms</v>
          </cell>
          <cell r="D902">
            <v>2</v>
          </cell>
        </row>
        <row r="903">
          <cell r="A903" t="str">
            <v>descFormatTypeEnum</v>
          </cell>
          <cell r="B903" t="str">
            <v>descFormatType</v>
          </cell>
          <cell r="C903" t="str">
            <v>Enum</v>
          </cell>
          <cell r="D903">
            <v>3</v>
          </cell>
        </row>
        <row r="904">
          <cell r="A904" t="str">
            <v>descFormatTypeString</v>
          </cell>
          <cell r="B904" t="str">
            <v>descFormatType</v>
          </cell>
          <cell r="C904" t="str">
            <v>String</v>
          </cell>
          <cell r="D904">
            <v>4</v>
          </cell>
        </row>
        <row r="905">
          <cell r="A905" t="str">
            <v>timeUnitSecond</v>
          </cell>
          <cell r="B905" t="str">
            <v>timeUnit</v>
          </cell>
          <cell r="C905" t="str">
            <v>Second</v>
          </cell>
          <cell r="D905">
            <v>0</v>
          </cell>
        </row>
        <row r="906">
          <cell r="A906" t="str">
            <v>timeUnitMinute</v>
          </cell>
          <cell r="B906" t="str">
            <v>timeUnit</v>
          </cell>
          <cell r="C906" t="str">
            <v>Minute</v>
          </cell>
          <cell r="D906">
            <v>1</v>
          </cell>
        </row>
        <row r="907">
          <cell r="A907" t="str">
            <v>timeUnitTime</v>
          </cell>
          <cell r="B907" t="str">
            <v>timeUnit</v>
          </cell>
          <cell r="C907" t="str">
            <v>Time</v>
          </cell>
          <cell r="D907">
            <v>2</v>
          </cell>
        </row>
        <row r="908">
          <cell r="A908" t="str">
            <v>timeUnitDay</v>
          </cell>
          <cell r="B908" t="str">
            <v>timeUnit</v>
          </cell>
          <cell r="C908" t="str">
            <v>Day</v>
          </cell>
          <cell r="D908">
            <v>3</v>
          </cell>
        </row>
        <row r="909">
          <cell r="A909" t="str">
            <v>timeUnitWeek</v>
          </cell>
          <cell r="B909" t="str">
            <v>timeUnit</v>
          </cell>
          <cell r="C909" t="str">
            <v>Week</v>
          </cell>
          <cell r="D909">
            <v>4</v>
          </cell>
        </row>
        <row r="910">
          <cell r="A910" t="str">
            <v>timeUnitMonth</v>
          </cell>
          <cell r="B910" t="str">
            <v>timeUnit</v>
          </cell>
          <cell r="C910" t="str">
            <v>Month</v>
          </cell>
          <cell r="D910">
            <v>5</v>
          </cell>
        </row>
        <row r="911">
          <cell r="A911" t="str">
            <v>timeUnitYear</v>
          </cell>
          <cell r="B911" t="str">
            <v>timeUnit</v>
          </cell>
          <cell r="C911" t="str">
            <v>Year</v>
          </cell>
          <cell r="D911">
            <v>6</v>
          </cell>
        </row>
        <row r="912">
          <cell r="A912" t="str">
            <v>pieceGrade없음</v>
          </cell>
          <cell r="B912" t="str">
            <v>pieceGrade</v>
          </cell>
          <cell r="C912" t="str">
            <v>없음</v>
          </cell>
          <cell r="D912">
            <v>0</v>
          </cell>
        </row>
        <row r="913">
          <cell r="A913" t="str">
            <v>pieceGradeD</v>
          </cell>
          <cell r="B913" t="str">
            <v>pieceGrade</v>
          </cell>
          <cell r="C913" t="str">
            <v>D</v>
          </cell>
          <cell r="D913">
            <v>1</v>
          </cell>
        </row>
        <row r="914">
          <cell r="A914" t="str">
            <v>pieceGradeC</v>
          </cell>
          <cell r="B914" t="str">
            <v>pieceGrade</v>
          </cell>
          <cell r="C914" t="str">
            <v>C</v>
          </cell>
          <cell r="D914">
            <v>2</v>
          </cell>
        </row>
        <row r="915">
          <cell r="A915" t="str">
            <v>pieceGradeB</v>
          </cell>
          <cell r="B915" t="str">
            <v>pieceGrade</v>
          </cell>
          <cell r="C915" t="str">
            <v>B</v>
          </cell>
          <cell r="D915">
            <v>3</v>
          </cell>
        </row>
        <row r="916">
          <cell r="A916" t="str">
            <v>pieceGradeA</v>
          </cell>
          <cell r="B916" t="str">
            <v>pieceGrade</v>
          </cell>
          <cell r="C916" t="str">
            <v>A</v>
          </cell>
          <cell r="D916">
            <v>4</v>
          </cell>
        </row>
        <row r="917">
          <cell r="A917" t="str">
            <v>pieceGradeS</v>
          </cell>
          <cell r="B917" t="str">
            <v>pieceGrade</v>
          </cell>
          <cell r="C917" t="str">
            <v>S</v>
          </cell>
          <cell r="D917">
            <v>5</v>
          </cell>
        </row>
        <row r="918">
          <cell r="A918" t="str">
            <v>mateGrade없음</v>
          </cell>
          <cell r="B918" t="str">
            <v>mateGrade</v>
          </cell>
          <cell r="C918" t="str">
            <v>없음</v>
          </cell>
          <cell r="D918">
            <v>0</v>
          </cell>
        </row>
        <row r="919">
          <cell r="A919" t="str">
            <v>mateGradeC</v>
          </cell>
          <cell r="B919" t="str">
            <v>mateGrade</v>
          </cell>
          <cell r="C919" t="str">
            <v>C</v>
          </cell>
          <cell r="D919">
            <v>1</v>
          </cell>
        </row>
        <row r="920">
          <cell r="A920" t="str">
            <v>mateGradeB</v>
          </cell>
          <cell r="B920" t="str">
            <v>mateGrade</v>
          </cell>
          <cell r="C920" t="str">
            <v>B</v>
          </cell>
          <cell r="D920">
            <v>2</v>
          </cell>
        </row>
        <row r="921">
          <cell r="A921" t="str">
            <v>mateGradeA</v>
          </cell>
          <cell r="B921" t="str">
            <v>mateGrade</v>
          </cell>
          <cell r="C921" t="str">
            <v>A</v>
          </cell>
          <cell r="D921">
            <v>3</v>
          </cell>
        </row>
        <row r="922">
          <cell r="A922" t="str">
            <v>mateGradeS</v>
          </cell>
          <cell r="B922" t="str">
            <v>mateGrade</v>
          </cell>
          <cell r="C922" t="str">
            <v>S</v>
          </cell>
          <cell r="D922">
            <v>4</v>
          </cell>
        </row>
        <row r="923">
          <cell r="A923" t="str">
            <v>admiralGroup공통</v>
          </cell>
          <cell r="B923" t="str">
            <v>admiralGroup</v>
          </cell>
          <cell r="C923" t="str">
            <v>공통</v>
          </cell>
          <cell r="D923">
            <v>0</v>
          </cell>
        </row>
        <row r="924">
          <cell r="A924" t="str">
            <v>admiralGroup대항해시대2</v>
          </cell>
          <cell r="B924" t="str">
            <v>admiralGroup</v>
          </cell>
          <cell r="C924" t="str">
            <v>대항해시대2</v>
          </cell>
          <cell r="D924">
            <v>1</v>
          </cell>
        </row>
        <row r="925">
          <cell r="A925" t="str">
            <v>admiralGroup대항해시대2외전</v>
          </cell>
          <cell r="B925" t="str">
            <v>admiralGroup</v>
          </cell>
          <cell r="C925" t="str">
            <v>대항해시대2외전</v>
          </cell>
          <cell r="D925">
            <v>2</v>
          </cell>
        </row>
        <row r="926">
          <cell r="A926" t="str">
            <v>admiralGroup오리지널</v>
          </cell>
          <cell r="B926" t="str">
            <v>admiralGroup</v>
          </cell>
          <cell r="C926" t="str">
            <v>오리지널</v>
          </cell>
          <cell r="D926">
            <v>3</v>
          </cell>
        </row>
        <row r="927">
          <cell r="A927" t="str">
            <v>dialogueTypeCycle</v>
          </cell>
          <cell r="B927" t="str">
            <v>dialogueType</v>
          </cell>
          <cell r="C927" t="str">
            <v>Cycle</v>
          </cell>
          <cell r="D927">
            <v>1</v>
          </cell>
        </row>
        <row r="928">
          <cell r="A928" t="str">
            <v>dialogueTypeRandom</v>
          </cell>
          <cell r="B928" t="str">
            <v>dialogueType</v>
          </cell>
          <cell r="C928" t="str">
            <v>Random</v>
          </cell>
          <cell r="D928">
            <v>2</v>
          </cell>
        </row>
        <row r="929">
          <cell r="A929" t="str">
            <v>cameraTypeFree</v>
          </cell>
          <cell r="B929" t="str">
            <v>cameraType</v>
          </cell>
          <cell r="C929" t="str">
            <v>Free</v>
          </cell>
          <cell r="D929">
            <v>1</v>
          </cell>
        </row>
        <row r="930">
          <cell r="A930" t="str">
            <v>cameraTypeTracking</v>
          </cell>
          <cell r="B930" t="str">
            <v>cameraType</v>
          </cell>
          <cell r="C930" t="str">
            <v>Tracking</v>
          </cell>
          <cell r="D930">
            <v>2</v>
          </cell>
        </row>
        <row r="931">
          <cell r="A931" t="str">
            <v>cameraTypeNorth</v>
          </cell>
          <cell r="B931" t="str">
            <v>cameraType</v>
          </cell>
          <cell r="C931" t="str">
            <v>North</v>
          </cell>
          <cell r="D931">
            <v>3</v>
          </cell>
        </row>
        <row r="932">
          <cell r="A932" t="str">
            <v>cameraTypeSouth</v>
          </cell>
          <cell r="B932" t="str">
            <v>cameraType</v>
          </cell>
          <cell r="C932" t="str">
            <v>South</v>
          </cell>
          <cell r="D932">
            <v>4</v>
          </cell>
        </row>
        <row r="933">
          <cell r="A933" t="str">
            <v>cameraTypeWest</v>
          </cell>
          <cell r="B933" t="str">
            <v>cameraType</v>
          </cell>
          <cell r="C933" t="str">
            <v>West</v>
          </cell>
          <cell r="D933">
            <v>5</v>
          </cell>
        </row>
        <row r="934">
          <cell r="A934" t="str">
            <v>cameraTypeEast</v>
          </cell>
          <cell r="B934" t="str">
            <v>cameraType</v>
          </cell>
          <cell r="C934" t="str">
            <v>East</v>
          </cell>
          <cell r="D934">
            <v>6</v>
          </cell>
        </row>
        <row r="935">
          <cell r="A935" t="str">
            <v>royalTitleNameType포르투갈</v>
          </cell>
          <cell r="B935" t="str">
            <v>royalTitleNameType</v>
          </cell>
          <cell r="C935" t="str">
            <v>포르투갈</v>
          </cell>
          <cell r="D935">
            <v>0</v>
          </cell>
        </row>
        <row r="936">
          <cell r="A936" t="str">
            <v>royalTitleNameType에스파냐</v>
          </cell>
          <cell r="B936" t="str">
            <v>royalTitleNameType</v>
          </cell>
          <cell r="C936" t="str">
            <v>에스파냐</v>
          </cell>
          <cell r="D936">
            <v>1</v>
          </cell>
        </row>
        <row r="937">
          <cell r="A937" t="str">
            <v>royalTitleNameType잉글랜드</v>
          </cell>
          <cell r="B937" t="str">
            <v>royalTitleNameType</v>
          </cell>
          <cell r="C937" t="str">
            <v>잉글랜드</v>
          </cell>
          <cell r="D937">
            <v>2</v>
          </cell>
        </row>
        <row r="938">
          <cell r="A938" t="str">
            <v>royalTitleNameType네덜란드</v>
          </cell>
          <cell r="B938" t="str">
            <v>royalTitleNameType</v>
          </cell>
          <cell r="C938" t="str">
            <v>네덜란드</v>
          </cell>
          <cell r="D938">
            <v>3</v>
          </cell>
        </row>
        <row r="939">
          <cell r="A939" t="str">
            <v>royalTitleNameType프랑스</v>
          </cell>
          <cell r="B939" t="str">
            <v>royalTitleNameType</v>
          </cell>
          <cell r="C939" t="str">
            <v>프랑스</v>
          </cell>
          <cell r="D939">
            <v>4</v>
          </cell>
        </row>
        <row r="940">
          <cell r="A940" t="str">
            <v>royalTitleNameType이탈리아</v>
          </cell>
          <cell r="B940" t="str">
            <v>royalTitleNameType</v>
          </cell>
          <cell r="C940" t="str">
            <v>이탈리아</v>
          </cell>
          <cell r="D940">
            <v>5</v>
          </cell>
        </row>
        <row r="941">
          <cell r="A941" t="str">
            <v>royalTitleNameType오스만</v>
          </cell>
          <cell r="B941" t="str">
            <v>royalTitleNameType</v>
          </cell>
          <cell r="C941" t="str">
            <v>오스만</v>
          </cell>
          <cell r="D941">
            <v>6</v>
          </cell>
        </row>
        <row r="942">
          <cell r="A942" t="str">
            <v>royalTitleNameType일본</v>
          </cell>
          <cell r="B942" t="str">
            <v>royalTitleNameType</v>
          </cell>
          <cell r="C942" t="str">
            <v>일본</v>
          </cell>
          <cell r="D942">
            <v>7</v>
          </cell>
        </row>
        <row r="943">
          <cell r="A943" t="str">
            <v>royalTitleNameType한국</v>
          </cell>
          <cell r="B943" t="str">
            <v>royalTitleNameType</v>
          </cell>
          <cell r="C943" t="str">
            <v>한국</v>
          </cell>
          <cell r="D943">
            <v>8</v>
          </cell>
        </row>
        <row r="944">
          <cell r="A944" t="str">
            <v>royalTitleNameType중국</v>
          </cell>
          <cell r="B944" t="str">
            <v>royalTitleNameType</v>
          </cell>
          <cell r="C944" t="str">
            <v>중국</v>
          </cell>
          <cell r="D944">
            <v>9</v>
          </cell>
        </row>
        <row r="945">
          <cell r="A945" t="str">
            <v>disguiseType이슬람</v>
          </cell>
          <cell r="B945" t="str">
            <v>disguiseType</v>
          </cell>
          <cell r="C945" t="str">
            <v>이슬람</v>
          </cell>
          <cell r="D945">
            <v>1</v>
          </cell>
        </row>
        <row r="946">
          <cell r="A946" t="str">
            <v>disguiseType지중해</v>
          </cell>
          <cell r="B946" t="str">
            <v>disguiseType</v>
          </cell>
          <cell r="C946" t="str">
            <v>지중해</v>
          </cell>
          <cell r="D946">
            <v>2</v>
          </cell>
        </row>
        <row r="947">
          <cell r="A947" t="str">
            <v>disguiseType개척지</v>
          </cell>
          <cell r="B947" t="str">
            <v>disguiseType</v>
          </cell>
          <cell r="C947" t="str">
            <v>개척지</v>
          </cell>
          <cell r="D947">
            <v>3</v>
          </cell>
        </row>
        <row r="948">
          <cell r="A948" t="str">
            <v>disguiseType동남아</v>
          </cell>
          <cell r="B948" t="str">
            <v>disguiseType</v>
          </cell>
          <cell r="C948" t="str">
            <v>동남아</v>
          </cell>
          <cell r="D948">
            <v>4</v>
          </cell>
        </row>
        <row r="949">
          <cell r="A949" t="str">
            <v>disguiseType원주민</v>
          </cell>
          <cell r="B949" t="str">
            <v>disguiseType</v>
          </cell>
          <cell r="C949" t="str">
            <v>원주민</v>
          </cell>
          <cell r="D949">
            <v>5</v>
          </cell>
        </row>
        <row r="950">
          <cell r="A950" t="str">
            <v>disguiseType중국</v>
          </cell>
          <cell r="B950" t="str">
            <v>disguiseType</v>
          </cell>
          <cell r="C950" t="str">
            <v>중국</v>
          </cell>
          <cell r="D950">
            <v>6</v>
          </cell>
        </row>
        <row r="951">
          <cell r="A951" t="str">
            <v>disguiseType인도</v>
          </cell>
          <cell r="B951" t="str">
            <v>disguiseType</v>
          </cell>
          <cell r="C951" t="str">
            <v>인도</v>
          </cell>
          <cell r="D951">
            <v>7</v>
          </cell>
        </row>
        <row r="952">
          <cell r="A952" t="str">
            <v>disguiseType북해</v>
          </cell>
          <cell r="B952" t="str">
            <v>disguiseType</v>
          </cell>
          <cell r="C952" t="str">
            <v>북해</v>
          </cell>
          <cell r="D952">
            <v>8</v>
          </cell>
        </row>
        <row r="953">
          <cell r="A953" t="str">
            <v>disguiseType아메리카 원주민</v>
          </cell>
          <cell r="B953" t="str">
            <v>disguiseType</v>
          </cell>
          <cell r="C953" t="str">
            <v>아메리카 원주민</v>
          </cell>
          <cell r="D953">
            <v>9</v>
          </cell>
        </row>
        <row r="954">
          <cell r="A954" t="str">
            <v>disguiseType조선</v>
          </cell>
          <cell r="B954" t="str">
            <v>disguiseType</v>
          </cell>
          <cell r="C954" t="str">
            <v>조선</v>
          </cell>
          <cell r="D954">
            <v>10</v>
          </cell>
        </row>
        <row r="955">
          <cell r="A955" t="str">
            <v>disguiseType일본</v>
          </cell>
          <cell r="B955" t="str">
            <v>disguiseType</v>
          </cell>
          <cell r="C955" t="str">
            <v>일본</v>
          </cell>
          <cell r="D955">
            <v>11</v>
          </cell>
        </row>
        <row r="956">
          <cell r="A956" t="str">
            <v>religionType무교</v>
          </cell>
          <cell r="B956" t="str">
            <v>religionType</v>
          </cell>
          <cell r="C956" t="str">
            <v>무교</v>
          </cell>
          <cell r="D956">
            <v>0</v>
          </cell>
        </row>
        <row r="957">
          <cell r="A957" t="str">
            <v>religionType기독교</v>
          </cell>
          <cell r="B957" t="str">
            <v>religionType</v>
          </cell>
          <cell r="C957" t="str">
            <v>기독교</v>
          </cell>
          <cell r="D957">
            <v>1</v>
          </cell>
        </row>
        <row r="958">
          <cell r="A958" t="str">
            <v>religionType이슬람</v>
          </cell>
          <cell r="B958" t="str">
            <v>religionType</v>
          </cell>
          <cell r="C958" t="str">
            <v>이슬람</v>
          </cell>
          <cell r="D958">
            <v>2</v>
          </cell>
        </row>
        <row r="959">
          <cell r="A959" t="str">
            <v>religionType힌두교</v>
          </cell>
          <cell r="B959" t="str">
            <v>religionType</v>
          </cell>
          <cell r="C959" t="str">
            <v>힌두교</v>
          </cell>
          <cell r="D959">
            <v>3</v>
          </cell>
        </row>
        <row r="960">
          <cell r="A960" t="str">
            <v>religionType불교</v>
          </cell>
          <cell r="B960" t="str">
            <v>religionType</v>
          </cell>
          <cell r="C960" t="str">
            <v>불교</v>
          </cell>
          <cell r="D960">
            <v>4</v>
          </cell>
        </row>
        <row r="961">
          <cell r="A961" t="str">
            <v>religionBuffType기도</v>
          </cell>
          <cell r="B961" t="str">
            <v>religionBuffType</v>
          </cell>
          <cell r="C961" t="str">
            <v>기도</v>
          </cell>
          <cell r="D961">
            <v>1</v>
          </cell>
        </row>
        <row r="962">
          <cell r="A962" t="str">
            <v>religionBuffType기부</v>
          </cell>
          <cell r="B962" t="str">
            <v>religionBuffType</v>
          </cell>
          <cell r="C962" t="str">
            <v>기부</v>
          </cell>
          <cell r="D962">
            <v>2</v>
          </cell>
        </row>
        <row r="963">
          <cell r="A963" t="str">
            <v>mailType일반 우편</v>
          </cell>
          <cell r="B963" t="str">
            <v>mailType</v>
          </cell>
          <cell r="C963" t="str">
            <v>일반 우편</v>
          </cell>
          <cell r="D963">
            <v>0</v>
          </cell>
        </row>
        <row r="964">
          <cell r="A964" t="str">
            <v>mailType캐쉬 우편</v>
          </cell>
          <cell r="B964" t="str">
            <v>mailType</v>
          </cell>
          <cell r="C964" t="str">
            <v>캐쉬 우편</v>
          </cell>
          <cell r="D964">
            <v>1</v>
          </cell>
        </row>
        <row r="965">
          <cell r="A965" t="str">
            <v>mailType운영 우편</v>
          </cell>
          <cell r="B965" t="str">
            <v>mailType</v>
          </cell>
          <cell r="C965" t="str">
            <v>운영 우편</v>
          </cell>
          <cell r="D965">
            <v>2</v>
          </cell>
        </row>
        <row r="966">
          <cell r="A966" t="str">
            <v>mailType상회 우편</v>
          </cell>
          <cell r="B966" t="str">
            <v>mailType</v>
          </cell>
          <cell r="C966" t="str">
            <v>상회 우편</v>
          </cell>
          <cell r="D966">
            <v>3</v>
          </cell>
        </row>
        <row r="967">
          <cell r="A967" t="str">
            <v>mailNotiType일반 우편</v>
          </cell>
          <cell r="B967" t="str">
            <v>mailNotiType</v>
          </cell>
          <cell r="C967" t="str">
            <v>일반 우편</v>
          </cell>
          <cell r="D967">
            <v>0</v>
          </cell>
        </row>
        <row r="968">
          <cell r="A968" t="str">
            <v>mailNotiType중요 우편</v>
          </cell>
          <cell r="B968" t="str">
            <v>mailNotiType</v>
          </cell>
          <cell r="C968" t="str">
            <v>중요 우편</v>
          </cell>
          <cell r="D968">
            <v>1</v>
          </cell>
        </row>
        <row r="969">
          <cell r="A969" t="str">
            <v>WorldTargetType선단</v>
          </cell>
          <cell r="B969" t="str">
            <v>WorldTargetType</v>
          </cell>
          <cell r="C969" t="str">
            <v>선단</v>
          </cell>
          <cell r="D969">
            <v>1</v>
          </cell>
        </row>
        <row r="970">
          <cell r="A970" t="str">
            <v>WorldTargetType함대</v>
          </cell>
          <cell r="B970" t="str">
            <v>WorldTargetType</v>
          </cell>
          <cell r="C970" t="str">
            <v>함대</v>
          </cell>
          <cell r="D970">
            <v>2</v>
          </cell>
        </row>
        <row r="971">
          <cell r="A971" t="str">
            <v>WorldTargetType선박</v>
          </cell>
          <cell r="B971" t="str">
            <v>WorldTargetType</v>
          </cell>
          <cell r="C971" t="str">
            <v>선박</v>
          </cell>
          <cell r="D971">
            <v>3</v>
          </cell>
        </row>
        <row r="972">
          <cell r="A972" t="str">
            <v>WorldTargetType항해사</v>
          </cell>
          <cell r="B972" t="str">
            <v>WorldTargetType</v>
          </cell>
          <cell r="C972" t="str">
            <v>항해사</v>
          </cell>
          <cell r="D972">
            <v>4</v>
          </cell>
        </row>
        <row r="973">
          <cell r="A973" t="str">
            <v>shopType장비</v>
          </cell>
          <cell r="B973" t="str">
            <v>shopType</v>
          </cell>
          <cell r="C973" t="str">
            <v>장비</v>
          </cell>
          <cell r="D973">
            <v>1</v>
          </cell>
        </row>
        <row r="974">
          <cell r="A974" t="str">
            <v>shopType아이템</v>
          </cell>
          <cell r="B974" t="str">
            <v>shopType</v>
          </cell>
          <cell r="C974" t="str">
            <v>아이템</v>
          </cell>
          <cell r="D974">
            <v>2</v>
          </cell>
        </row>
        <row r="975">
          <cell r="A975" t="str">
            <v>shopType암시장_장비</v>
          </cell>
          <cell r="B975" t="str">
            <v>shopType</v>
          </cell>
          <cell r="C975" t="str">
            <v>암시장_장비</v>
          </cell>
          <cell r="D975">
            <v>3</v>
          </cell>
        </row>
        <row r="976">
          <cell r="A976" t="str">
            <v>shopType암시장_도구</v>
          </cell>
          <cell r="B976" t="str">
            <v>shopType</v>
          </cell>
          <cell r="C976" t="str">
            <v>암시장_도구</v>
          </cell>
          <cell r="D976">
            <v>4</v>
          </cell>
        </row>
        <row r="977">
          <cell r="A977" t="str">
            <v>blackMarketType장비_암시장</v>
          </cell>
          <cell r="B977" t="str">
            <v>blackMarketType</v>
          </cell>
          <cell r="C977" t="str">
            <v>장비_암시장</v>
          </cell>
          <cell r="D977">
            <v>1</v>
          </cell>
        </row>
        <row r="978">
          <cell r="A978" t="str">
            <v>blackMarketType도면_암시장</v>
          </cell>
          <cell r="B978" t="str">
            <v>blackMarketType</v>
          </cell>
          <cell r="C978" t="str">
            <v>도면_암시장</v>
          </cell>
          <cell r="D978">
            <v>2</v>
          </cell>
        </row>
        <row r="979">
          <cell r="A979" t="str">
            <v>blackMarketType계약서_암시장</v>
          </cell>
          <cell r="B979" t="str">
            <v>blackMarketType</v>
          </cell>
          <cell r="C979" t="str">
            <v>계약서_암시장</v>
          </cell>
          <cell r="D979">
            <v>3</v>
          </cell>
        </row>
        <row r="980">
          <cell r="A980" t="str">
            <v>blackMarketType도구_암시장</v>
          </cell>
          <cell r="B980" t="str">
            <v>blackMarketType</v>
          </cell>
          <cell r="C980" t="str">
            <v>도구_암시장</v>
          </cell>
          <cell r="D980">
            <v>4</v>
          </cell>
        </row>
        <row r="981">
          <cell r="A981" t="str">
            <v>blackMarketType재료_암시장</v>
          </cell>
          <cell r="B981" t="str">
            <v>blackMarketType</v>
          </cell>
          <cell r="C981" t="str">
            <v>재료_암시장</v>
          </cell>
          <cell r="D981">
            <v>5</v>
          </cell>
        </row>
        <row r="982">
          <cell r="A982" t="str">
            <v>blackMarketType이벤트_암시장</v>
          </cell>
          <cell r="B982" t="str">
            <v>blackMarketType</v>
          </cell>
          <cell r="C982" t="str">
            <v>이벤트_암시장</v>
          </cell>
          <cell r="D982">
            <v>6</v>
          </cell>
        </row>
        <row r="983">
          <cell r="A983" t="str">
            <v>seasonType봄</v>
          </cell>
          <cell r="B983" t="str">
            <v>seasonType</v>
          </cell>
          <cell r="C983" t="str">
            <v>봄</v>
          </cell>
          <cell r="D983">
            <v>1</v>
          </cell>
        </row>
        <row r="984">
          <cell r="A984" t="str">
            <v>seasonType여름</v>
          </cell>
          <cell r="B984" t="str">
            <v>seasonType</v>
          </cell>
          <cell r="C984" t="str">
            <v>여름</v>
          </cell>
          <cell r="D984">
            <v>2</v>
          </cell>
        </row>
        <row r="985">
          <cell r="A985" t="str">
            <v>seasonType가을</v>
          </cell>
          <cell r="B985" t="str">
            <v>seasonType</v>
          </cell>
          <cell r="C985" t="str">
            <v>가을</v>
          </cell>
          <cell r="D985">
            <v>3</v>
          </cell>
        </row>
        <row r="986">
          <cell r="A986" t="str">
            <v>seasonType겨울</v>
          </cell>
          <cell r="B986" t="str">
            <v>seasonType</v>
          </cell>
          <cell r="C986" t="str">
            <v>겨울</v>
          </cell>
          <cell r="D986">
            <v>4</v>
          </cell>
        </row>
        <row r="987">
          <cell r="A987" t="str">
            <v>seasonType우기</v>
          </cell>
          <cell r="B987" t="str">
            <v>seasonType</v>
          </cell>
          <cell r="C987" t="str">
            <v>우기</v>
          </cell>
          <cell r="D987">
            <v>5</v>
          </cell>
        </row>
        <row r="988">
          <cell r="A988" t="str">
            <v>seasonType건기</v>
          </cell>
          <cell r="B988" t="str">
            <v>seasonType</v>
          </cell>
          <cell r="C988" t="str">
            <v>건기</v>
          </cell>
          <cell r="D988">
            <v>6</v>
          </cell>
        </row>
        <row r="989">
          <cell r="A989" t="str">
            <v>seasonType열대</v>
          </cell>
          <cell r="B989" t="str">
            <v>seasonType</v>
          </cell>
          <cell r="C989" t="str">
            <v>열대</v>
          </cell>
          <cell r="D989">
            <v>7</v>
          </cell>
        </row>
        <row r="990">
          <cell r="A990" t="str">
            <v>seasonType한대</v>
          </cell>
          <cell r="B990" t="str">
            <v>seasonType</v>
          </cell>
          <cell r="C990" t="str">
            <v>한대</v>
          </cell>
          <cell r="D990">
            <v>8</v>
          </cell>
        </row>
        <row r="991">
          <cell r="A991" t="str">
            <v>cabinType선장실</v>
          </cell>
          <cell r="B991" t="str">
            <v>cabinType</v>
          </cell>
          <cell r="C991" t="str">
            <v>선장실</v>
          </cell>
          <cell r="D991">
            <v>1</v>
          </cell>
        </row>
        <row r="992">
          <cell r="A992" t="str">
            <v>cabinType돛대형</v>
          </cell>
          <cell r="B992" t="str">
            <v>cabinType</v>
          </cell>
          <cell r="C992" t="str">
            <v>돛대형</v>
          </cell>
          <cell r="D992">
            <v>2</v>
          </cell>
        </row>
        <row r="993">
          <cell r="A993" t="str">
            <v>cabinType갑판형</v>
          </cell>
          <cell r="B993" t="str">
            <v>cabinType</v>
          </cell>
          <cell r="C993" t="str">
            <v>갑판형</v>
          </cell>
          <cell r="D993">
            <v>3</v>
          </cell>
        </row>
        <row r="994">
          <cell r="A994" t="str">
            <v>cabinType배치 가능형</v>
          </cell>
          <cell r="B994" t="str">
            <v>cabinType</v>
          </cell>
          <cell r="C994" t="str">
            <v>배치 가능형</v>
          </cell>
          <cell r="D994">
            <v>4</v>
          </cell>
        </row>
        <row r="995">
          <cell r="A995" t="str">
            <v>cabinType배치 불가형</v>
          </cell>
          <cell r="B995" t="str">
            <v>cabinType</v>
          </cell>
          <cell r="C995" t="str">
            <v>배치 불가형</v>
          </cell>
          <cell r="D995">
            <v>5</v>
          </cell>
        </row>
        <row r="996">
          <cell r="A996" t="str">
            <v>cabinType회계실</v>
          </cell>
          <cell r="B996" t="str">
            <v>cabinType</v>
          </cell>
          <cell r="C996" t="str">
            <v>회계실</v>
          </cell>
          <cell r="D996">
            <v>6</v>
          </cell>
        </row>
        <row r="997">
          <cell r="A997" t="str">
            <v>cabinType부관실</v>
          </cell>
          <cell r="B997" t="str">
            <v>cabinType</v>
          </cell>
          <cell r="C997" t="str">
            <v>부관실</v>
          </cell>
          <cell r="D997">
            <v>7</v>
          </cell>
        </row>
        <row r="998">
          <cell r="A998" t="str">
            <v>month1월</v>
          </cell>
          <cell r="B998" t="str">
            <v>month</v>
          </cell>
          <cell r="C998" t="str">
            <v>1월</v>
          </cell>
          <cell r="D998">
            <v>1</v>
          </cell>
        </row>
        <row r="999">
          <cell r="A999" t="str">
            <v>month2월</v>
          </cell>
          <cell r="B999" t="str">
            <v>month</v>
          </cell>
          <cell r="C999" t="str">
            <v>2월</v>
          </cell>
          <cell r="D999">
            <v>2</v>
          </cell>
        </row>
        <row r="1000">
          <cell r="A1000" t="str">
            <v>month3월</v>
          </cell>
          <cell r="B1000" t="str">
            <v>month</v>
          </cell>
          <cell r="C1000" t="str">
            <v>3월</v>
          </cell>
          <cell r="D1000">
            <v>3</v>
          </cell>
        </row>
        <row r="1001">
          <cell r="A1001" t="str">
            <v>month4월</v>
          </cell>
          <cell r="B1001" t="str">
            <v>month</v>
          </cell>
          <cell r="C1001" t="str">
            <v>4월</v>
          </cell>
          <cell r="D1001">
            <v>4</v>
          </cell>
        </row>
        <row r="1002">
          <cell r="A1002" t="str">
            <v>month5월</v>
          </cell>
          <cell r="B1002" t="str">
            <v>month</v>
          </cell>
          <cell r="C1002" t="str">
            <v>5월</v>
          </cell>
          <cell r="D1002">
            <v>5</v>
          </cell>
        </row>
        <row r="1003">
          <cell r="A1003" t="str">
            <v>month6월</v>
          </cell>
          <cell r="B1003" t="str">
            <v>month</v>
          </cell>
          <cell r="C1003" t="str">
            <v>6월</v>
          </cell>
          <cell r="D1003">
            <v>6</v>
          </cell>
        </row>
        <row r="1004">
          <cell r="A1004" t="str">
            <v>month7월</v>
          </cell>
          <cell r="B1004" t="str">
            <v>month</v>
          </cell>
          <cell r="C1004" t="str">
            <v>7월</v>
          </cell>
          <cell r="D1004">
            <v>7</v>
          </cell>
        </row>
        <row r="1005">
          <cell r="A1005" t="str">
            <v>month8월</v>
          </cell>
          <cell r="B1005" t="str">
            <v>month</v>
          </cell>
          <cell r="C1005" t="str">
            <v>8월</v>
          </cell>
          <cell r="D1005">
            <v>8</v>
          </cell>
        </row>
        <row r="1006">
          <cell r="A1006" t="str">
            <v>month9월</v>
          </cell>
          <cell r="B1006" t="str">
            <v>month</v>
          </cell>
          <cell r="C1006" t="str">
            <v>9월</v>
          </cell>
          <cell r="D1006">
            <v>9</v>
          </cell>
        </row>
        <row r="1007">
          <cell r="A1007" t="str">
            <v>month10월</v>
          </cell>
          <cell r="B1007" t="str">
            <v>month</v>
          </cell>
          <cell r="C1007" t="str">
            <v>10월</v>
          </cell>
          <cell r="D1007">
            <v>10</v>
          </cell>
        </row>
        <row r="1008">
          <cell r="A1008" t="str">
            <v>month11월</v>
          </cell>
          <cell r="B1008" t="str">
            <v>month</v>
          </cell>
          <cell r="C1008" t="str">
            <v>11월</v>
          </cell>
          <cell r="D1008">
            <v>11</v>
          </cell>
        </row>
        <row r="1009">
          <cell r="A1009" t="str">
            <v>month12월</v>
          </cell>
          <cell r="B1009" t="str">
            <v>month</v>
          </cell>
          <cell r="C1009" t="str">
            <v>12월</v>
          </cell>
          <cell r="D1009">
            <v>12</v>
          </cell>
        </row>
        <row r="1010">
          <cell r="A1010" t="str">
            <v>oceanDisasterCategory질병</v>
          </cell>
          <cell r="B1010" t="str">
            <v>oceanDisasterCategory</v>
          </cell>
          <cell r="C1010" t="str">
            <v>질병</v>
          </cell>
          <cell r="D1010">
            <v>1</v>
          </cell>
        </row>
        <row r="1011">
          <cell r="A1011" t="str">
            <v>oceanDisasterCategory사고</v>
          </cell>
          <cell r="B1011" t="str">
            <v>oceanDisasterCategory</v>
          </cell>
          <cell r="C1011" t="str">
            <v>사고</v>
          </cell>
          <cell r="D1011">
            <v>2</v>
          </cell>
        </row>
        <row r="1012">
          <cell r="A1012" t="str">
            <v>oceanDisasterCategory심리</v>
          </cell>
          <cell r="B1012" t="str">
            <v>oceanDisasterCategory</v>
          </cell>
          <cell r="C1012" t="str">
            <v>심리</v>
          </cell>
          <cell r="D1012">
            <v>3</v>
          </cell>
        </row>
        <row r="1013">
          <cell r="A1013" t="str">
            <v>oceanDisasterCategory자연현상</v>
          </cell>
          <cell r="B1013" t="str">
            <v>oceanDisasterCategory</v>
          </cell>
          <cell r="C1013" t="str">
            <v>자연현상</v>
          </cell>
          <cell r="D1013">
            <v>4</v>
          </cell>
        </row>
        <row r="1014">
          <cell r="A1014" t="str">
            <v>oceanDisasterType없음</v>
          </cell>
          <cell r="B1014" t="str">
            <v>oceanDisasterType</v>
          </cell>
          <cell r="C1014" t="str">
            <v>없음</v>
          </cell>
          <cell r="D1014">
            <v>0</v>
          </cell>
        </row>
        <row r="1015">
          <cell r="A1015" t="str">
            <v>oceanDisasterType난파</v>
          </cell>
          <cell r="B1015" t="str">
            <v>oceanDisasterType</v>
          </cell>
          <cell r="C1015" t="str">
            <v>난파</v>
          </cell>
          <cell r="D1015">
            <v>1</v>
          </cell>
        </row>
        <row r="1016">
          <cell r="A1016" t="str">
            <v>oceanDisasterType기본</v>
          </cell>
          <cell r="B1016" t="str">
            <v>oceanDisasterType</v>
          </cell>
          <cell r="C1016" t="str">
            <v>기본</v>
          </cell>
          <cell r="D1016">
            <v>2</v>
          </cell>
        </row>
        <row r="1017">
          <cell r="A1017" t="str">
            <v>oceanDisasterType특수</v>
          </cell>
          <cell r="B1017" t="str">
            <v>oceanDisasterType</v>
          </cell>
          <cell r="C1017" t="str">
            <v>특수</v>
          </cell>
          <cell r="D1017">
            <v>3</v>
          </cell>
        </row>
        <row r="1018">
          <cell r="A1018" t="str">
            <v>operator=</v>
          </cell>
          <cell r="B1018" t="str">
            <v>operator</v>
          </cell>
          <cell r="C1018" t="str">
            <v>=</v>
          </cell>
          <cell r="D1018">
            <v>1</v>
          </cell>
        </row>
        <row r="1019">
          <cell r="A1019" t="str">
            <v>operator&gt;=</v>
          </cell>
          <cell r="B1019" t="str">
            <v>operator</v>
          </cell>
          <cell r="C1019" t="str">
            <v>&gt;=</v>
          </cell>
          <cell r="D1019">
            <v>2</v>
          </cell>
        </row>
        <row r="1020">
          <cell r="A1020" t="str">
            <v>operator&lt;</v>
          </cell>
          <cell r="B1020" t="str">
            <v>operator</v>
          </cell>
          <cell r="C1020" t="str">
            <v>&lt;</v>
          </cell>
          <cell r="D1020">
            <v>3</v>
          </cell>
        </row>
        <row r="1021">
          <cell r="A1021" t="str">
            <v>operator&lt;=</v>
          </cell>
          <cell r="B1021" t="str">
            <v>operator</v>
          </cell>
          <cell r="C1021" t="str">
            <v>&lt;=</v>
          </cell>
          <cell r="D1021">
            <v>4</v>
          </cell>
        </row>
        <row r="1022">
          <cell r="A1022" t="str">
            <v>operator&gt;</v>
          </cell>
          <cell r="B1022" t="str">
            <v>operator</v>
          </cell>
          <cell r="C1022" t="str">
            <v>&gt;</v>
          </cell>
          <cell r="D1022">
            <v>5</v>
          </cell>
        </row>
        <row r="1023">
          <cell r="A1023" t="str">
            <v>missionTargetType항구</v>
          </cell>
          <cell r="B1023" t="str">
            <v>missionTargetType</v>
          </cell>
          <cell r="C1023" t="str">
            <v>항구</v>
          </cell>
          <cell r="D1023">
            <v>1</v>
          </cell>
        </row>
        <row r="1024">
          <cell r="A1024" t="str">
            <v>missionTargetType항해</v>
          </cell>
          <cell r="B1024" t="str">
            <v>missionTargetType</v>
          </cell>
          <cell r="C1024" t="str">
            <v>항해</v>
          </cell>
          <cell r="D1024">
            <v>2</v>
          </cell>
        </row>
        <row r="1025">
          <cell r="A1025" t="str">
            <v>missionTargetType지역 이동</v>
          </cell>
          <cell r="B1025" t="str">
            <v>missionTargetType</v>
          </cell>
          <cell r="C1025" t="str">
            <v>지역 이동</v>
          </cell>
          <cell r="D1025">
            <v>3</v>
          </cell>
        </row>
        <row r="1026">
          <cell r="A1026" t="str">
            <v>missionTargetType지역 좌표</v>
          </cell>
          <cell r="B1026" t="str">
            <v>missionTargetType</v>
          </cell>
          <cell r="C1026" t="str">
            <v>지역 좌표</v>
          </cell>
          <cell r="D1026">
            <v>4</v>
          </cell>
        </row>
        <row r="1027">
          <cell r="A1027" t="str">
            <v>missionTargetType타겟 항구 아이템</v>
          </cell>
          <cell r="B1027" t="str">
            <v>missionTargetType</v>
          </cell>
          <cell r="C1027" t="str">
            <v>타겟 항구 아이템</v>
          </cell>
          <cell r="D1027">
            <v>5</v>
          </cell>
        </row>
        <row r="1028">
          <cell r="A1028" t="str">
            <v>missionTargetType타겟 항구 장비</v>
          </cell>
          <cell r="B1028" t="str">
            <v>missionTargetType</v>
          </cell>
          <cell r="C1028" t="str">
            <v>타겟 항구 장비</v>
          </cell>
          <cell r="D1028">
            <v>6</v>
          </cell>
        </row>
        <row r="1029">
          <cell r="A1029" t="str">
            <v>missionTargetType타겟 항구 교역품</v>
          </cell>
          <cell r="B1029" t="str">
            <v>missionTargetType</v>
          </cell>
          <cell r="C1029" t="str">
            <v>타겟 항구 교역품</v>
          </cell>
          <cell r="D1029">
            <v>7</v>
          </cell>
        </row>
        <row r="1030">
          <cell r="A1030" t="str">
            <v>missionTargetType타겟 항해 NPC 아이템</v>
          </cell>
          <cell r="B1030" t="str">
            <v>missionTargetType</v>
          </cell>
          <cell r="C1030" t="str">
            <v>타겟 항해 NPC 아이템</v>
          </cell>
          <cell r="D1030">
            <v>8</v>
          </cell>
        </row>
        <row r="1031">
          <cell r="A1031" t="str">
            <v>missionTargetType타겟 항해 NPC 장비</v>
          </cell>
          <cell r="B1031" t="str">
            <v>missionTargetType</v>
          </cell>
          <cell r="C1031" t="str">
            <v>타겟 항해 NPC 장비</v>
          </cell>
          <cell r="D1031">
            <v>9</v>
          </cell>
        </row>
        <row r="1032">
          <cell r="A1032" t="str">
            <v>missionTargetType타겟 항해 NPC 교역품</v>
          </cell>
          <cell r="B1032" t="str">
            <v>missionTargetType</v>
          </cell>
          <cell r="C1032" t="str">
            <v>타겟 항해 NPC 교역품</v>
          </cell>
          <cell r="D1032">
            <v>10</v>
          </cell>
        </row>
        <row r="1033">
          <cell r="A1033" t="str">
            <v>missionTargetType타겟 항구 포인트</v>
          </cell>
          <cell r="B1033" t="str">
            <v>missionTargetType</v>
          </cell>
          <cell r="C1033" t="str">
            <v>타겟 항구 포인트</v>
          </cell>
          <cell r="D1033">
            <v>11</v>
          </cell>
        </row>
        <row r="1034">
          <cell r="A1034" t="str">
            <v>missionTargetType타겟 항해 좌표 장비</v>
          </cell>
          <cell r="B1034" t="str">
            <v>missionTargetType</v>
          </cell>
          <cell r="C1034" t="str">
            <v>타겟 항해 좌표 장비</v>
          </cell>
          <cell r="D1034">
            <v>12</v>
          </cell>
        </row>
        <row r="1035">
          <cell r="A1035" t="str">
            <v>missionTargetType타겟 항해 좌표 교역품</v>
          </cell>
          <cell r="B1035" t="str">
            <v>missionTargetType</v>
          </cell>
          <cell r="C1035" t="str">
            <v>타겟 항해 좌표 교역품</v>
          </cell>
          <cell r="D1035">
            <v>13</v>
          </cell>
        </row>
        <row r="1036">
          <cell r="A1036" t="str">
            <v>missionTargetType가까운 항구 장비</v>
          </cell>
          <cell r="B1036" t="str">
            <v>missionTargetType</v>
          </cell>
          <cell r="C1036" t="str">
            <v>가까운 항구 장비</v>
          </cell>
          <cell r="D1036">
            <v>14</v>
          </cell>
        </row>
        <row r="1037">
          <cell r="A1037" t="str">
            <v>missionTargetType가까운 항구 아이템</v>
          </cell>
          <cell r="B1037" t="str">
            <v>missionTargetType</v>
          </cell>
          <cell r="C1037" t="str">
            <v>가까운 항구 아이템</v>
          </cell>
          <cell r="D1037">
            <v>15</v>
          </cell>
        </row>
        <row r="1038">
          <cell r="A1038" t="str">
            <v>missionTargetType가까운 항구 교역품</v>
          </cell>
          <cell r="B1038" t="str">
            <v>missionTargetType</v>
          </cell>
          <cell r="C1038" t="str">
            <v>가까운 항구 교역품</v>
          </cell>
          <cell r="D1038">
            <v>16</v>
          </cell>
        </row>
        <row r="1039">
          <cell r="A1039" t="str">
            <v>missionTargetType가까운 항구 건물</v>
          </cell>
          <cell r="B1039" t="str">
            <v>missionTargetType</v>
          </cell>
          <cell r="C1039" t="str">
            <v>가까운 항구 건물</v>
          </cell>
          <cell r="D1039">
            <v>17</v>
          </cell>
        </row>
        <row r="1040">
          <cell r="A1040" t="str">
            <v>missionTargetType타겟 제외 가까운 항구</v>
          </cell>
          <cell r="B1040" t="str">
            <v>missionTargetType</v>
          </cell>
          <cell r="C1040" t="str">
            <v>타겟 제외 가까운 항구</v>
          </cell>
          <cell r="D1040">
            <v>18</v>
          </cell>
        </row>
        <row r="1041">
          <cell r="A1041" t="str">
            <v>missionTargetType타겟 제외 가까운 항구 건물</v>
          </cell>
          <cell r="B1041" t="str">
            <v>missionTargetType</v>
          </cell>
          <cell r="C1041" t="str">
            <v>타겟 제외 가까운 항구 건물</v>
          </cell>
          <cell r="D1041">
            <v>19</v>
          </cell>
        </row>
        <row r="1042">
          <cell r="A1042" t="str">
            <v>missionTargetType권역에 속하는 가까운 항구 건물</v>
          </cell>
          <cell r="B1042" t="str">
            <v>missionTargetType</v>
          </cell>
          <cell r="C1042" t="str">
            <v>권역에 속하는 가까운 항구 건물</v>
          </cell>
          <cell r="D1042">
            <v>20</v>
          </cell>
        </row>
        <row r="1043">
          <cell r="A1043" t="str">
            <v>missionTargetType문화권에 속하는 가까운 항구 건물</v>
          </cell>
          <cell r="B1043" t="str">
            <v>missionTargetType</v>
          </cell>
          <cell r="C1043" t="str">
            <v>문화권에 속하는 가까운 항구 건물</v>
          </cell>
          <cell r="D1043">
            <v>21</v>
          </cell>
        </row>
        <row r="1044">
          <cell r="A1044" t="str">
            <v>missionTargetType항해사가 있는 가까운 항구</v>
          </cell>
          <cell r="B1044" t="str">
            <v>missionTargetType</v>
          </cell>
          <cell r="C1044" t="str">
            <v>항해사가 있는 가까운 항구</v>
          </cell>
          <cell r="D1044">
            <v>22</v>
          </cell>
        </row>
        <row r="1045">
          <cell r="A1045" t="str">
            <v>missionTargetType발견물</v>
          </cell>
          <cell r="B1045" t="str">
            <v>missionTargetType</v>
          </cell>
          <cell r="C1045" t="str">
            <v>발견물</v>
          </cell>
          <cell r="D1045">
            <v>23</v>
          </cell>
        </row>
        <row r="1046">
          <cell r="A1046" t="str">
            <v>missionTargetType랜덤 항구</v>
          </cell>
          <cell r="B1046" t="str">
            <v>missionTargetType</v>
          </cell>
          <cell r="C1046" t="str">
            <v>랜덤 항구</v>
          </cell>
          <cell r="D1046">
            <v>101</v>
          </cell>
        </row>
        <row r="1047">
          <cell r="A1047" t="str">
            <v>missionTargetType랜덤 항구 랜덤 교역품</v>
          </cell>
          <cell r="B1047" t="str">
            <v>missionTargetType</v>
          </cell>
          <cell r="C1047" t="str">
            <v>랜덤 항구 랜덤 교역품</v>
          </cell>
          <cell r="D1047">
            <v>102</v>
          </cell>
        </row>
        <row r="1048">
          <cell r="A1048" t="str">
            <v>missionTargetType랜덤 권역</v>
          </cell>
          <cell r="B1048" t="str">
            <v>missionTargetType</v>
          </cell>
          <cell r="C1048" t="str">
            <v>랜덤 권역</v>
          </cell>
          <cell r="D1048">
            <v>103</v>
          </cell>
        </row>
        <row r="1049">
          <cell r="A1049" t="str">
            <v>missionTargetType랜덤 권역 NPC</v>
          </cell>
          <cell r="B1049" t="str">
            <v>missionTargetType</v>
          </cell>
          <cell r="C1049" t="str">
            <v>랜덤 권역 NPC</v>
          </cell>
          <cell r="D1049">
            <v>104</v>
          </cell>
        </row>
        <row r="1050">
          <cell r="A1050" t="str">
            <v>missionTargetType랜덤 권역 적대국 NPC</v>
          </cell>
          <cell r="B1050" t="str">
            <v>missionTargetType</v>
          </cell>
          <cell r="C1050" t="str">
            <v>랜덤 권역 적대국 NPC</v>
          </cell>
          <cell r="D1050">
            <v>105</v>
          </cell>
        </row>
        <row r="1051">
          <cell r="A1051" t="str">
            <v>missionTargetType랜덤 권역 발견</v>
          </cell>
          <cell r="B1051" t="str">
            <v>missionTargetType</v>
          </cell>
          <cell r="C1051" t="str">
            <v>랜덤 권역 발견</v>
          </cell>
          <cell r="D1051">
            <v>106</v>
          </cell>
        </row>
        <row r="1052">
          <cell r="A1052" t="str">
            <v>missionTargetType랜덤 항구 랜덤 도구</v>
          </cell>
          <cell r="B1052" t="str">
            <v>missionTargetType</v>
          </cell>
          <cell r="C1052" t="str">
            <v>랜덤 항구 랜덤 도구</v>
          </cell>
          <cell r="D1052">
            <v>107</v>
          </cell>
        </row>
        <row r="1053">
          <cell r="A1053" t="str">
            <v>missionTargetType랜덤 권역 오브젝트</v>
          </cell>
          <cell r="B1053" t="str">
            <v>missionTargetType</v>
          </cell>
          <cell r="C1053" t="str">
            <v>랜덤 권역 오브젝트</v>
          </cell>
          <cell r="D1053">
            <v>108</v>
          </cell>
        </row>
        <row r="1054">
          <cell r="A1054" t="str">
            <v>missionTargetType랜덤 항구 랜덤 장비</v>
          </cell>
          <cell r="B1054" t="str">
            <v>missionTargetType</v>
          </cell>
          <cell r="C1054" t="str">
            <v>랜덤 항구 랜덤 장비</v>
          </cell>
          <cell r="D1054">
            <v>109</v>
          </cell>
        </row>
        <row r="1055">
          <cell r="A1055" t="str">
            <v>missionTargetType랜덤 항구 랜덤 착용 가능 장비</v>
          </cell>
          <cell r="B1055" t="str">
            <v>missionTargetType</v>
          </cell>
          <cell r="C1055" t="str">
            <v>랜덤 항구 랜덤 착용 가능 장비</v>
          </cell>
          <cell r="D1055">
            <v>110</v>
          </cell>
        </row>
        <row r="1056">
          <cell r="A1056" t="str">
            <v>questCategoryLV 가이드</v>
          </cell>
          <cell r="B1056" t="str">
            <v>questCategory</v>
          </cell>
          <cell r="C1056" t="str">
            <v>LV 가이드</v>
          </cell>
          <cell r="D1056">
            <v>1</v>
          </cell>
        </row>
        <row r="1057">
          <cell r="A1057" t="str">
            <v>questCategory칙명</v>
          </cell>
          <cell r="B1057" t="str">
            <v>questCategory</v>
          </cell>
          <cell r="C1057" t="str">
            <v>칙명</v>
          </cell>
          <cell r="D1057">
            <v>2</v>
          </cell>
        </row>
        <row r="1058">
          <cell r="A1058" t="str">
            <v>questCategory의뢰</v>
          </cell>
          <cell r="B1058" t="str">
            <v>questCategory</v>
          </cell>
          <cell r="C1058" t="str">
            <v>의뢰</v>
          </cell>
          <cell r="D1058">
            <v>3</v>
          </cell>
        </row>
        <row r="1059">
          <cell r="A1059" t="str">
            <v>questCategory돌발</v>
          </cell>
          <cell r="B1059" t="str">
            <v>questCategory</v>
          </cell>
          <cell r="C1059" t="str">
            <v>돌발</v>
          </cell>
          <cell r="D1059">
            <v>4</v>
          </cell>
        </row>
        <row r="1060">
          <cell r="A1060" t="str">
            <v>questCategory제독 연대기</v>
          </cell>
          <cell r="B1060" t="str">
            <v>questCategory</v>
          </cell>
          <cell r="C1060" t="str">
            <v>제독 연대기</v>
          </cell>
          <cell r="D1060">
            <v>5</v>
          </cell>
        </row>
        <row r="1061">
          <cell r="A1061" t="str">
            <v>questCategory인연 연대기</v>
          </cell>
          <cell r="B1061" t="str">
            <v>questCategory</v>
          </cell>
          <cell r="C1061" t="str">
            <v>인연 연대기</v>
          </cell>
          <cell r="D1061">
            <v>6</v>
          </cell>
        </row>
        <row r="1062">
          <cell r="A1062" t="str">
            <v>questCategory도전</v>
          </cell>
          <cell r="B1062" t="str">
            <v>questCategory</v>
          </cell>
          <cell r="C1062" t="str">
            <v>도전</v>
          </cell>
          <cell r="D1062">
            <v>7</v>
          </cell>
        </row>
        <row r="1063">
          <cell r="A1063" t="str">
            <v>questCategory종업원</v>
          </cell>
          <cell r="B1063" t="str">
            <v>questCategory</v>
          </cell>
          <cell r="C1063" t="str">
            <v>종업원</v>
          </cell>
          <cell r="D1063">
            <v>8</v>
          </cell>
        </row>
        <row r="1064">
          <cell r="A1064" t="str">
            <v>questCategory이벤트</v>
          </cell>
          <cell r="B1064" t="str">
            <v>questCategory</v>
          </cell>
          <cell r="C1064" t="str">
            <v>이벤트</v>
          </cell>
          <cell r="D1064">
            <v>9</v>
          </cell>
        </row>
        <row r="1065">
          <cell r="A1065" t="str">
            <v>taskType일일과제</v>
          </cell>
          <cell r="B1065" t="str">
            <v>taskType</v>
          </cell>
          <cell r="C1065" t="str">
            <v>일일과제</v>
          </cell>
          <cell r="D1065">
            <v>1</v>
          </cell>
        </row>
        <row r="1066">
          <cell r="A1066" t="str">
            <v>taskType주간과제</v>
          </cell>
          <cell r="B1066" t="str">
            <v>taskType</v>
          </cell>
          <cell r="C1066" t="str">
            <v>주간과제</v>
          </cell>
          <cell r="D1066">
            <v>2</v>
          </cell>
        </row>
        <row r="1067">
          <cell r="A1067" t="str">
            <v>taskType월간과제</v>
          </cell>
          <cell r="B1067" t="str">
            <v>taskType</v>
          </cell>
          <cell r="C1067" t="str">
            <v>월간과제</v>
          </cell>
          <cell r="D1067">
            <v>3</v>
          </cell>
        </row>
        <row r="1068">
          <cell r="A1068" t="str">
            <v>taskType지령</v>
          </cell>
          <cell r="B1068" t="str">
            <v>taskType</v>
          </cell>
          <cell r="C1068" t="str">
            <v>지령</v>
          </cell>
          <cell r="D1068">
            <v>4</v>
          </cell>
        </row>
        <row r="1069">
          <cell r="A1069" t="str">
            <v>loadingType공용</v>
          </cell>
          <cell r="B1069" t="str">
            <v>loadingType</v>
          </cell>
          <cell r="C1069" t="str">
            <v>공용</v>
          </cell>
          <cell r="D1069">
            <v>0</v>
          </cell>
        </row>
        <row r="1070">
          <cell r="A1070" t="str">
            <v>loadingType항구로</v>
          </cell>
          <cell r="B1070" t="str">
            <v>loadingType</v>
          </cell>
          <cell r="C1070" t="str">
            <v>항구로</v>
          </cell>
          <cell r="D1070">
            <v>1</v>
          </cell>
        </row>
        <row r="1071">
          <cell r="A1071" t="str">
            <v>loadingType바다로</v>
          </cell>
          <cell r="B1071" t="str">
            <v>loadingType</v>
          </cell>
          <cell r="C1071" t="str">
            <v>바다로</v>
          </cell>
          <cell r="D1071">
            <v>2</v>
          </cell>
        </row>
        <row r="1072">
          <cell r="A1072" t="str">
            <v>loadingType전투로</v>
          </cell>
          <cell r="B1072" t="str">
            <v>loadingType</v>
          </cell>
          <cell r="C1072" t="str">
            <v>전투로</v>
          </cell>
          <cell r="D1072">
            <v>3</v>
          </cell>
        </row>
        <row r="1073">
          <cell r="A1073" t="str">
            <v>loadingType난파</v>
          </cell>
          <cell r="B1073" t="str">
            <v>loadingType</v>
          </cell>
          <cell r="C1073" t="str">
            <v>난파</v>
          </cell>
          <cell r="D1073">
            <v>4</v>
          </cell>
        </row>
        <row r="1074">
          <cell r="A1074" t="str">
            <v>loadingType바다로_프롤로그</v>
          </cell>
          <cell r="B1074" t="str">
            <v>loadingType</v>
          </cell>
          <cell r="C1074" t="str">
            <v>바다로_프롤로그</v>
          </cell>
          <cell r="D1074">
            <v>5</v>
          </cell>
        </row>
        <row r="1075">
          <cell r="A1075" t="str">
            <v>loadingType전투로_프롤로그</v>
          </cell>
          <cell r="B1075" t="str">
            <v>loadingType</v>
          </cell>
          <cell r="C1075" t="str">
            <v>전투로_프롤로그</v>
          </cell>
          <cell r="D1075">
            <v>6</v>
          </cell>
        </row>
        <row r="1076">
          <cell r="A1076" t="str">
            <v>managementType여관</v>
          </cell>
          <cell r="B1076" t="str">
            <v>managementType</v>
          </cell>
          <cell r="C1076" t="str">
            <v>여관</v>
          </cell>
          <cell r="D1076">
            <v>1</v>
          </cell>
        </row>
        <row r="1077">
          <cell r="A1077" t="str">
            <v>managementType햄버거메뉴</v>
          </cell>
          <cell r="B1077" t="str">
            <v>managementType</v>
          </cell>
          <cell r="C1077" t="str">
            <v>햄버거메뉴</v>
          </cell>
          <cell r="D1077">
            <v>2</v>
          </cell>
        </row>
        <row r="1078">
          <cell r="A1078" t="str">
            <v>formatType일반</v>
          </cell>
          <cell r="B1078" t="str">
            <v>formatType</v>
          </cell>
          <cell r="C1078" t="str">
            <v>일반</v>
          </cell>
          <cell r="D1078">
            <v>0</v>
          </cell>
        </row>
        <row r="1079">
          <cell r="A1079" t="str">
            <v>formatType%</v>
          </cell>
          <cell r="B1079" t="str">
            <v>formatType</v>
          </cell>
          <cell r="C1079" t="str">
            <v>%</v>
          </cell>
          <cell r="D1079">
            <v>1</v>
          </cell>
        </row>
        <row r="1080">
          <cell r="A1080" t="str">
            <v>formatType텍스트</v>
          </cell>
          <cell r="B1080" t="str">
            <v>formatType</v>
          </cell>
          <cell r="C1080" t="str">
            <v>텍스트</v>
          </cell>
          <cell r="D1080">
            <v>2</v>
          </cell>
        </row>
        <row r="1081">
          <cell r="A1081" t="str">
            <v>formatType배</v>
          </cell>
          <cell r="B1081" t="str">
            <v>formatType</v>
          </cell>
          <cell r="C1081" t="str">
            <v>배</v>
          </cell>
          <cell r="D1081">
            <v>3</v>
          </cell>
        </row>
        <row r="1082">
          <cell r="A1082" t="str">
            <v>soundGroupPlayType전곡 순차 재생</v>
          </cell>
          <cell r="B1082" t="str">
            <v>soundGroupPlayType</v>
          </cell>
          <cell r="C1082" t="str">
            <v>전곡 순차 재생</v>
          </cell>
          <cell r="D1082">
            <v>1</v>
          </cell>
        </row>
        <row r="1083">
          <cell r="A1083" t="str">
            <v>soundGroupPlayType전곡 랜덤 재생</v>
          </cell>
          <cell r="B1083" t="str">
            <v>soundGroupPlayType</v>
          </cell>
          <cell r="C1083" t="str">
            <v>전곡 랜덤 재생</v>
          </cell>
          <cell r="D1083">
            <v>2</v>
          </cell>
        </row>
        <row r="1084">
          <cell r="A1084" t="str">
            <v>soundGroupPlayType1곡 랜덤 재생</v>
          </cell>
          <cell r="B1084" t="str">
            <v>soundGroupPlayType</v>
          </cell>
          <cell r="C1084" t="str">
            <v>1곡 랜덤 재생</v>
          </cell>
          <cell r="D1084">
            <v>3</v>
          </cell>
        </row>
        <row r="1085">
          <cell r="A1085" t="str">
            <v>statEffect능력치</v>
          </cell>
          <cell r="B1085" t="str">
            <v>statEffect</v>
          </cell>
          <cell r="C1085" t="str">
            <v>능력치</v>
          </cell>
          <cell r="D1085">
            <v>0</v>
          </cell>
        </row>
        <row r="1086">
          <cell r="A1086" t="str">
            <v>statEffect스킬 효과</v>
          </cell>
          <cell r="B1086" t="str">
            <v>statEffect</v>
          </cell>
          <cell r="C1086" t="str">
            <v>스킬 효과</v>
          </cell>
          <cell r="D1086">
            <v>1</v>
          </cell>
        </row>
        <row r="1087">
          <cell r="A1087" t="str">
            <v>statVisible표시값</v>
          </cell>
          <cell r="B1087" t="str">
            <v>statVisible</v>
          </cell>
          <cell r="C1087" t="str">
            <v>표시값</v>
          </cell>
          <cell r="D1087">
            <v>0</v>
          </cell>
        </row>
        <row r="1088">
          <cell r="A1088" t="str">
            <v>statVisible숨김값</v>
          </cell>
          <cell r="B1088" t="str">
            <v>statVisible</v>
          </cell>
          <cell r="C1088" t="str">
            <v>숨김값</v>
          </cell>
          <cell r="D1088">
            <v>1</v>
          </cell>
        </row>
        <row r="1089">
          <cell r="A1089" t="str">
            <v>statVisible중간값</v>
          </cell>
          <cell r="B1089" t="str">
            <v>statVisible</v>
          </cell>
          <cell r="C1089" t="str">
            <v>중간값</v>
          </cell>
          <cell r="D1089">
            <v>2</v>
          </cell>
        </row>
        <row r="1090">
          <cell r="A1090" t="str">
            <v>ageType없음</v>
          </cell>
          <cell r="B1090" t="str">
            <v>ageType</v>
          </cell>
          <cell r="C1090" t="str">
            <v>없음</v>
          </cell>
          <cell r="D1090">
            <v>0</v>
          </cell>
        </row>
        <row r="1091">
          <cell r="A1091" t="str">
            <v>ageType청년</v>
          </cell>
          <cell r="B1091" t="str">
            <v>ageType</v>
          </cell>
          <cell r="C1091" t="str">
            <v>청년</v>
          </cell>
          <cell r="D1091">
            <v>1</v>
          </cell>
        </row>
        <row r="1092">
          <cell r="A1092" t="str">
            <v>ageType중년</v>
          </cell>
          <cell r="B1092" t="str">
            <v>ageType</v>
          </cell>
          <cell r="C1092" t="str">
            <v>중년</v>
          </cell>
          <cell r="D1092">
            <v>2</v>
          </cell>
        </row>
        <row r="1093">
          <cell r="A1093" t="str">
            <v>ageType노년</v>
          </cell>
          <cell r="B1093" t="str">
            <v>ageType</v>
          </cell>
          <cell r="C1093" t="str">
            <v>노년</v>
          </cell>
          <cell r="D1093">
            <v>3</v>
          </cell>
        </row>
        <row r="1094">
          <cell r="A1094" t="str">
            <v>targetMode공용</v>
          </cell>
          <cell r="B1094" t="str">
            <v>targetMode</v>
          </cell>
          <cell r="C1094" t="str">
            <v>공용</v>
          </cell>
          <cell r="D1094">
            <v>1</v>
          </cell>
        </row>
        <row r="1095">
          <cell r="A1095" t="str">
            <v>targetMode항구</v>
          </cell>
          <cell r="B1095" t="str">
            <v>targetMode</v>
          </cell>
          <cell r="C1095" t="str">
            <v>항구</v>
          </cell>
          <cell r="D1095">
            <v>2</v>
          </cell>
        </row>
        <row r="1096">
          <cell r="A1096" t="str">
            <v>targetMode항해</v>
          </cell>
          <cell r="B1096" t="str">
            <v>targetMode</v>
          </cell>
          <cell r="C1096" t="str">
            <v>항해</v>
          </cell>
          <cell r="D1096">
            <v>3</v>
          </cell>
        </row>
        <row r="1097">
          <cell r="A1097" t="str">
            <v>specialstatTargetType선박 전문 지식</v>
          </cell>
          <cell r="B1097" t="str">
            <v>specialstatTargetType</v>
          </cell>
          <cell r="C1097" t="str">
            <v>선박 전문 지식</v>
          </cell>
          <cell r="D1097">
            <v>0</v>
          </cell>
        </row>
        <row r="1098">
          <cell r="A1098" t="str">
            <v>specialstatTargetType함대 전문 지식</v>
          </cell>
          <cell r="B1098" t="str">
            <v>specialstatTargetType</v>
          </cell>
          <cell r="C1098" t="str">
            <v>함대 전문 지식</v>
          </cell>
          <cell r="D1098">
            <v>1</v>
          </cell>
        </row>
        <row r="1099">
          <cell r="A1099" t="str">
            <v>WorldBuffType버프</v>
          </cell>
          <cell r="B1099" t="str">
            <v>WorldBuffType</v>
          </cell>
          <cell r="C1099" t="str">
            <v>버프</v>
          </cell>
          <cell r="D1099">
            <v>0</v>
          </cell>
        </row>
        <row r="1100">
          <cell r="A1100" t="str">
            <v>WorldBuffType디버프</v>
          </cell>
          <cell r="B1100" t="str">
            <v>WorldBuffType</v>
          </cell>
          <cell r="C1100" t="str">
            <v>디버프</v>
          </cell>
          <cell r="D1100">
            <v>1</v>
          </cell>
        </row>
        <row r="1101">
          <cell r="A1101" t="str">
            <v>WorldBuffType토글</v>
          </cell>
          <cell r="B1101" t="str">
            <v>WorldBuffType</v>
          </cell>
          <cell r="C1101" t="str">
            <v>토글</v>
          </cell>
          <cell r="D1101">
            <v>2</v>
          </cell>
        </row>
        <row r="1102">
          <cell r="A1102" t="str">
            <v>economicBloc유럽권</v>
          </cell>
          <cell r="B1102" t="str">
            <v>economicBloc</v>
          </cell>
          <cell r="C1102" t="str">
            <v>유럽권</v>
          </cell>
          <cell r="D1102">
            <v>0</v>
          </cell>
        </row>
        <row r="1103">
          <cell r="A1103" t="str">
            <v>economicBloc비유럽권</v>
          </cell>
          <cell r="B1103" t="str">
            <v>economicBloc</v>
          </cell>
          <cell r="C1103" t="str">
            <v>비유럽권</v>
          </cell>
          <cell r="D1103">
            <v>1</v>
          </cell>
        </row>
        <row r="1104">
          <cell r="A1104" t="str">
            <v>questFormatType텍스트</v>
          </cell>
          <cell r="B1104" t="str">
            <v>questFormatType</v>
          </cell>
          <cell r="C1104" t="str">
            <v>텍스트</v>
          </cell>
          <cell r="D1104">
            <v>0</v>
          </cell>
        </row>
        <row r="1105">
          <cell r="A1105" t="str">
            <v>questFormatType0번 노드 타겟</v>
          </cell>
          <cell r="B1105" t="str">
            <v>questFormatType</v>
          </cell>
          <cell r="C1105" t="str">
            <v>0번 노드 타겟</v>
          </cell>
          <cell r="D1105">
            <v>1</v>
          </cell>
        </row>
        <row r="1106">
          <cell r="A1106" t="str">
            <v>tradePassiveShowType없음</v>
          </cell>
          <cell r="B1106" t="str">
            <v>tradePassiveShowType</v>
          </cell>
          <cell r="C1106" t="str">
            <v>없음</v>
          </cell>
          <cell r="D1106">
            <v>0</v>
          </cell>
        </row>
        <row r="1107">
          <cell r="A1107" t="str">
            <v>tradePassiveShowType교역소 구매 탭 진입 시</v>
          </cell>
          <cell r="B1107" t="str">
            <v>tradePassiveShowType</v>
          </cell>
          <cell r="C1107" t="str">
            <v>교역소 구매 탭 진입 시</v>
          </cell>
          <cell r="D1107">
            <v>1</v>
          </cell>
        </row>
        <row r="1108">
          <cell r="A1108" t="str">
            <v>tradePassiveShowType교역소 판매 탭 진입 시</v>
          </cell>
          <cell r="B1108" t="str">
            <v>tradePassiveShowType</v>
          </cell>
          <cell r="C1108" t="str">
            <v>교역소 판매 탭 진입 시</v>
          </cell>
          <cell r="D1108">
            <v>2</v>
          </cell>
        </row>
        <row r="1109">
          <cell r="A1109" t="str">
            <v>tradePassiveShowType교역소 물물 교환 탭 진입 시</v>
          </cell>
          <cell r="B1109" t="str">
            <v>tradePassiveShowType</v>
          </cell>
          <cell r="C1109" t="str">
            <v>교역소 물물 교환 탭 진입 시</v>
          </cell>
          <cell r="D1109">
            <v>3</v>
          </cell>
        </row>
        <row r="1110">
          <cell r="A1110" t="str">
            <v>tradePassiveShowType교역소 가격 협상 발생 시</v>
          </cell>
          <cell r="B1110" t="str">
            <v>tradePassiveShowType</v>
          </cell>
          <cell r="C1110" t="str">
            <v>교역소 가격 협상 발생 시</v>
          </cell>
          <cell r="D1110">
            <v>4</v>
          </cell>
        </row>
        <row r="1111">
          <cell r="A1111" t="str">
            <v>tradePassiveShowType교역소 가격 협상 성공 시</v>
          </cell>
          <cell r="B1111" t="str">
            <v>tradePassiveShowType</v>
          </cell>
          <cell r="C1111" t="str">
            <v>교역소 가격 협상 성공 시</v>
          </cell>
          <cell r="D1111">
            <v>5</v>
          </cell>
        </row>
        <row r="1112">
          <cell r="A1112" t="str">
            <v>tradePassiveShowType공관 상업 투자 시</v>
          </cell>
          <cell r="B1112" t="str">
            <v>tradePassiveShowType</v>
          </cell>
          <cell r="C1112" t="str">
            <v>공관 상업 투자 시</v>
          </cell>
          <cell r="D1112">
            <v>6</v>
          </cell>
        </row>
        <row r="1113">
          <cell r="A1113" t="str">
            <v>tradePassiveShowType월드맵 진입 시</v>
          </cell>
          <cell r="B1113" t="str">
            <v>tradePassiveShowType</v>
          </cell>
          <cell r="C1113" t="str">
            <v>월드맵 진입 시</v>
          </cell>
          <cell r="D1113">
            <v>7</v>
          </cell>
        </row>
        <row r="1114">
          <cell r="A1114" t="str">
            <v>questRewardType고정</v>
          </cell>
          <cell r="B1114" t="str">
            <v>questRewardType</v>
          </cell>
          <cell r="C1114" t="str">
            <v>고정</v>
          </cell>
          <cell r="D1114">
            <v>0</v>
          </cell>
        </row>
        <row r="1115">
          <cell r="A1115" t="str">
            <v>questRewardType가변</v>
          </cell>
          <cell r="B1115" t="str">
            <v>questRewardType</v>
          </cell>
          <cell r="C1115" t="str">
            <v>가변</v>
          </cell>
          <cell r="D1115">
            <v>1</v>
          </cell>
        </row>
        <row r="1116">
          <cell r="A1116" t="str">
            <v>mateSearchingTarget선단</v>
          </cell>
          <cell r="B1116" t="str">
            <v>mateSearchingTarget</v>
          </cell>
          <cell r="C1116" t="str">
            <v>선단</v>
          </cell>
          <cell r="D1116">
            <v>0</v>
          </cell>
        </row>
        <row r="1117">
          <cell r="A1117" t="str">
            <v>mateSearchingTarget함대</v>
          </cell>
          <cell r="B1117" t="str">
            <v>mateSearchingTarget</v>
          </cell>
          <cell r="C1117" t="str">
            <v>함대</v>
          </cell>
          <cell r="D1117">
            <v>1</v>
          </cell>
        </row>
        <row r="1118">
          <cell r="A1118" t="str">
            <v>mateSearchingTarget기함</v>
          </cell>
          <cell r="B1118" t="str">
            <v>mateSearchingTarget</v>
          </cell>
          <cell r="C1118" t="str">
            <v>기함</v>
          </cell>
          <cell r="D1118">
            <v>2</v>
          </cell>
        </row>
        <row r="1119">
          <cell r="A1119" t="str">
            <v>mateSearchingTarget선박</v>
          </cell>
          <cell r="B1119" t="str">
            <v>mateSearchingTarget</v>
          </cell>
          <cell r="C1119" t="str">
            <v>선박</v>
          </cell>
          <cell r="D1119">
            <v>3</v>
          </cell>
        </row>
        <row r="1120">
          <cell r="A1120" t="str">
            <v>mateSearchingTarget지정 항해사</v>
          </cell>
          <cell r="B1120" t="str">
            <v>mateSearchingTarget</v>
          </cell>
          <cell r="C1120" t="str">
            <v>지정 항해사</v>
          </cell>
          <cell r="D1120">
            <v>4</v>
          </cell>
        </row>
        <row r="1121">
          <cell r="A1121" t="str">
            <v>mateSearchingTarget선원 고정</v>
          </cell>
          <cell r="B1121" t="str">
            <v>mateSearchingTarget</v>
          </cell>
          <cell r="C1121" t="str">
            <v>선원 고정</v>
          </cell>
          <cell r="D1121">
            <v>5</v>
          </cell>
        </row>
        <row r="1122">
          <cell r="A1122" t="str">
            <v>achievementType업적</v>
          </cell>
          <cell r="B1122" t="str">
            <v>achievementType</v>
          </cell>
          <cell r="C1122" t="str">
            <v>업적</v>
          </cell>
          <cell r="D1122">
            <v>0</v>
          </cell>
        </row>
        <row r="1123">
          <cell r="A1123" t="str">
            <v>achievementType발견물 도감</v>
          </cell>
          <cell r="B1123" t="str">
            <v>achievementType</v>
          </cell>
          <cell r="C1123" t="str">
            <v>발견물 도감</v>
          </cell>
          <cell r="D1123">
            <v>1</v>
          </cell>
        </row>
        <row r="1124">
          <cell r="A1124" t="str">
            <v>achievementType장비 도감</v>
          </cell>
          <cell r="B1124" t="str">
            <v>achievementType</v>
          </cell>
          <cell r="C1124" t="str">
            <v>장비 도감</v>
          </cell>
          <cell r="D1124">
            <v>2</v>
          </cell>
        </row>
        <row r="1125">
          <cell r="A1125" t="str">
            <v>achievementType연대기 도감</v>
          </cell>
          <cell r="B1125" t="str">
            <v>achievementType</v>
          </cell>
          <cell r="C1125" t="str">
            <v>연대기 도감</v>
          </cell>
          <cell r="D1125">
            <v>3</v>
          </cell>
        </row>
        <row r="1126">
          <cell r="A1126" t="str">
            <v>doodadWbpBType없음</v>
          </cell>
          <cell r="B1126" t="str">
            <v>doodadWbpBType</v>
          </cell>
          <cell r="C1126" t="str">
            <v>없음</v>
          </cell>
          <cell r="D1126">
            <v>0</v>
          </cell>
        </row>
        <row r="1127">
          <cell r="A1127" t="str">
            <v>doodadWbpBType표류자</v>
          </cell>
          <cell r="B1127" t="str">
            <v>doodadWbpBType</v>
          </cell>
          <cell r="C1127" t="str">
            <v>표류자</v>
          </cell>
          <cell r="D1127">
            <v>1</v>
          </cell>
        </row>
        <row r="1128">
          <cell r="A1128" t="str">
            <v>doodadWbpBType자재</v>
          </cell>
          <cell r="B1128" t="str">
            <v>doodadWbpBType</v>
          </cell>
          <cell r="C1128" t="str">
            <v>자재</v>
          </cell>
          <cell r="D1128">
            <v>2</v>
          </cell>
        </row>
        <row r="1129">
          <cell r="A1129" t="str">
            <v>doodadWbpBType편지병</v>
          </cell>
          <cell r="B1129" t="str">
            <v>doodadWbpBType</v>
          </cell>
          <cell r="C1129" t="str">
            <v>편지병</v>
          </cell>
          <cell r="D1129">
            <v>3</v>
          </cell>
        </row>
        <row r="1130">
          <cell r="A1130" t="str">
            <v>doodadWbpBType오크통</v>
          </cell>
          <cell r="B1130" t="str">
            <v>doodadWbpBType</v>
          </cell>
          <cell r="C1130" t="str">
            <v>오크통</v>
          </cell>
          <cell r="D1130">
            <v>4</v>
          </cell>
        </row>
        <row r="1131">
          <cell r="A1131" t="str">
            <v>doodadWbpBType보물상자</v>
          </cell>
          <cell r="B1131" t="str">
            <v>doodadWbpBType</v>
          </cell>
          <cell r="C1131" t="str">
            <v>보물상자</v>
          </cell>
          <cell r="D1131">
            <v>5</v>
          </cell>
        </row>
        <row r="1132">
          <cell r="A1132" t="str">
            <v>doodadWbpBType돌고래</v>
          </cell>
          <cell r="B1132" t="str">
            <v>doodadWbpBType</v>
          </cell>
          <cell r="C1132" t="str">
            <v>돌고래</v>
          </cell>
          <cell r="D1132">
            <v>6</v>
          </cell>
        </row>
        <row r="1133">
          <cell r="A1133" t="str">
            <v>doodadWbpBType날치</v>
          </cell>
          <cell r="B1133" t="str">
            <v>doodadWbpBType</v>
          </cell>
          <cell r="C1133" t="str">
            <v>날치</v>
          </cell>
          <cell r="D1133">
            <v>7</v>
          </cell>
        </row>
        <row r="1134">
          <cell r="A1134" t="str">
            <v>doodadWbpBType갈매기</v>
          </cell>
          <cell r="B1134" t="str">
            <v>doodadWbpBType</v>
          </cell>
          <cell r="C1134" t="str">
            <v>갈매기</v>
          </cell>
          <cell r="D1134">
            <v>8</v>
          </cell>
        </row>
        <row r="1135">
          <cell r="A1135" t="str">
            <v>doodadWbpBType새치</v>
          </cell>
          <cell r="B1135" t="str">
            <v>doodadWbpBType</v>
          </cell>
          <cell r="C1135" t="str">
            <v>새치</v>
          </cell>
          <cell r="D1135">
            <v>9</v>
          </cell>
        </row>
        <row r="1136">
          <cell r="A1136" t="str">
            <v>doodadWbpBType유령선</v>
          </cell>
          <cell r="B1136" t="str">
            <v>doodadWbpBType</v>
          </cell>
          <cell r="C1136" t="str">
            <v>유령선</v>
          </cell>
          <cell r="D1136">
            <v>10</v>
          </cell>
        </row>
        <row r="1137">
          <cell r="A1137" t="str">
            <v>doodadWbpBType고래</v>
          </cell>
          <cell r="B1137" t="str">
            <v>doodadWbpBType</v>
          </cell>
          <cell r="C1137" t="str">
            <v>고래</v>
          </cell>
          <cell r="D1137">
            <v>11</v>
          </cell>
        </row>
        <row r="1138">
          <cell r="A1138" t="str">
            <v>doodadWbpBType별자리</v>
          </cell>
          <cell r="B1138" t="str">
            <v>doodadWbpBType</v>
          </cell>
          <cell r="C1138" t="str">
            <v>별자리</v>
          </cell>
          <cell r="D1138">
            <v>12</v>
          </cell>
        </row>
        <row r="1139">
          <cell r="A1139" t="str">
            <v>doodadWbpBType에드워드 티치</v>
          </cell>
          <cell r="B1139" t="str">
            <v>doodadWbpBType</v>
          </cell>
          <cell r="C1139" t="str">
            <v>에드워드 티치</v>
          </cell>
          <cell r="D1139">
            <v>13</v>
          </cell>
        </row>
        <row r="1140">
          <cell r="A1140" t="str">
            <v>doodadWbpBType추가예정1</v>
          </cell>
          <cell r="B1140" t="str">
            <v>doodadWbpBType</v>
          </cell>
          <cell r="C1140" t="str">
            <v>추가예정1</v>
          </cell>
          <cell r="D1140">
            <v>14</v>
          </cell>
        </row>
        <row r="1141">
          <cell r="A1141" t="str">
            <v>doodadWbpBType추가예정2</v>
          </cell>
          <cell r="B1141" t="str">
            <v>doodadWbpBType</v>
          </cell>
          <cell r="C1141" t="str">
            <v>추가예정2</v>
          </cell>
          <cell r="D1141">
            <v>15</v>
          </cell>
        </row>
        <row r="1142">
          <cell r="A1142" t="str">
            <v>doodadWbpBType추가예정3</v>
          </cell>
          <cell r="B1142" t="str">
            <v>doodadWbpBType</v>
          </cell>
          <cell r="C1142" t="str">
            <v>추가예정3</v>
          </cell>
          <cell r="D1142">
            <v>16</v>
          </cell>
        </row>
        <row r="1143">
          <cell r="A1143" t="str">
            <v>doodadWbpBType추가예정4</v>
          </cell>
          <cell r="B1143" t="str">
            <v>doodadWbpBType</v>
          </cell>
          <cell r="C1143" t="str">
            <v>추가예정4</v>
          </cell>
          <cell r="D1143">
            <v>17</v>
          </cell>
        </row>
        <row r="1144">
          <cell r="A1144" t="str">
            <v>doodadWbpBType추가예정5</v>
          </cell>
          <cell r="B1144" t="str">
            <v>doodadWbpBType</v>
          </cell>
          <cell r="C1144" t="str">
            <v>추가예정5</v>
          </cell>
          <cell r="D1144">
            <v>18</v>
          </cell>
        </row>
        <row r="1145">
          <cell r="A1145" t="str">
            <v>doodadWbpBType토벌</v>
          </cell>
          <cell r="B1145" t="str">
            <v>doodadWbpBType</v>
          </cell>
          <cell r="C1145" t="str">
            <v>토벌</v>
          </cell>
          <cell r="D1145">
            <v>19</v>
          </cell>
        </row>
        <row r="1146">
          <cell r="A1146" t="str">
            <v>gameModeType공통</v>
          </cell>
          <cell r="B1146" t="str">
            <v>gameModeType</v>
          </cell>
          <cell r="C1146" t="str">
            <v>공통</v>
          </cell>
          <cell r="D1146">
            <v>1</v>
          </cell>
        </row>
        <row r="1147">
          <cell r="A1147" t="str">
            <v>gameModeType바다</v>
          </cell>
          <cell r="B1147" t="str">
            <v>gameModeType</v>
          </cell>
          <cell r="C1147" t="str">
            <v>바다</v>
          </cell>
          <cell r="D1147">
            <v>2</v>
          </cell>
        </row>
        <row r="1148">
          <cell r="A1148" t="str">
            <v>gameModeType항구</v>
          </cell>
          <cell r="B1148" t="str">
            <v>gameModeType</v>
          </cell>
          <cell r="C1148" t="str">
            <v>항구</v>
          </cell>
          <cell r="D1148">
            <v>3</v>
          </cell>
        </row>
        <row r="1149">
          <cell r="A1149" t="str">
            <v>gameModeType전투</v>
          </cell>
          <cell r="B1149" t="str">
            <v>gameModeType</v>
          </cell>
          <cell r="C1149" t="str">
            <v>전투</v>
          </cell>
          <cell r="D1149">
            <v>4</v>
          </cell>
        </row>
        <row r="1150">
          <cell r="A1150" t="str">
            <v>gameModeType탐험</v>
          </cell>
          <cell r="B1150" t="str">
            <v>gameModeType</v>
          </cell>
          <cell r="C1150" t="str">
            <v>탐험</v>
          </cell>
          <cell r="D1150">
            <v>5</v>
          </cell>
        </row>
        <row r="1151">
          <cell r="A1151" t="str">
            <v>gameModeType미니게임</v>
          </cell>
          <cell r="B1151" t="str">
            <v>gameModeType</v>
          </cell>
          <cell r="C1151" t="str">
            <v>미니게임</v>
          </cell>
          <cell r="D1151">
            <v>6</v>
          </cell>
        </row>
        <row r="1152">
          <cell r="A1152" t="str">
            <v>discoveryGrade없음</v>
          </cell>
          <cell r="B1152" t="str">
            <v>discoveryGrade</v>
          </cell>
          <cell r="C1152" t="str">
            <v>없음</v>
          </cell>
          <cell r="D1152">
            <v>0</v>
          </cell>
        </row>
        <row r="1153">
          <cell r="A1153" t="str">
            <v>discoveryGradeD</v>
          </cell>
          <cell r="B1153" t="str">
            <v>discoveryGrade</v>
          </cell>
          <cell r="C1153" t="str">
            <v>D</v>
          </cell>
          <cell r="D1153">
            <v>1</v>
          </cell>
        </row>
        <row r="1154">
          <cell r="A1154" t="str">
            <v>discoveryGradeC</v>
          </cell>
          <cell r="B1154" t="str">
            <v>discoveryGrade</v>
          </cell>
          <cell r="C1154" t="str">
            <v>C</v>
          </cell>
          <cell r="D1154">
            <v>2</v>
          </cell>
        </row>
        <row r="1155">
          <cell r="A1155" t="str">
            <v>discoveryGradeB</v>
          </cell>
          <cell r="B1155" t="str">
            <v>discoveryGrade</v>
          </cell>
          <cell r="C1155" t="str">
            <v>B</v>
          </cell>
          <cell r="D1155">
            <v>3</v>
          </cell>
        </row>
        <row r="1156">
          <cell r="A1156" t="str">
            <v>discoveryGradeA</v>
          </cell>
          <cell r="B1156" t="str">
            <v>discoveryGrade</v>
          </cell>
          <cell r="C1156" t="str">
            <v>A</v>
          </cell>
          <cell r="D1156">
            <v>4</v>
          </cell>
        </row>
        <row r="1157">
          <cell r="A1157" t="str">
            <v>discoveryGradeS</v>
          </cell>
          <cell r="B1157" t="str">
            <v>discoveryGrade</v>
          </cell>
          <cell r="C1157" t="str">
            <v>S</v>
          </cell>
          <cell r="D1157">
            <v>5</v>
          </cell>
        </row>
        <row r="1158">
          <cell r="A1158" t="str">
            <v>kickSituationType도시 입장</v>
          </cell>
          <cell r="B1158" t="str">
            <v>kickSituationType</v>
          </cell>
          <cell r="C1158" t="str">
            <v>도시 입장</v>
          </cell>
          <cell r="D1158">
            <v>1</v>
          </cell>
        </row>
        <row r="1159">
          <cell r="A1159" t="str">
            <v>kickSituationType건물 입장</v>
          </cell>
          <cell r="B1159" t="str">
            <v>kickSituationType</v>
          </cell>
          <cell r="C1159" t="str">
            <v>건물 입장</v>
          </cell>
          <cell r="D1159">
            <v>2</v>
          </cell>
        </row>
        <row r="1160">
          <cell r="A1160" t="str">
            <v>kickResultType협상</v>
          </cell>
          <cell r="B1160" t="str">
            <v>kickResultType</v>
          </cell>
          <cell r="C1160" t="str">
            <v>협상</v>
          </cell>
          <cell r="D1160">
            <v>1</v>
          </cell>
        </row>
        <row r="1161">
          <cell r="A1161" t="str">
            <v>kickResultType킥</v>
          </cell>
          <cell r="B1161" t="str">
            <v>kickResultType</v>
          </cell>
          <cell r="C1161" t="str">
            <v>킥</v>
          </cell>
          <cell r="D1161">
            <v>2</v>
          </cell>
        </row>
        <row r="1162">
          <cell r="A1162" t="str">
            <v>productCategory재화</v>
          </cell>
          <cell r="B1162" t="str">
            <v>productCategory</v>
          </cell>
          <cell r="C1162" t="str">
            <v>재화</v>
          </cell>
          <cell r="D1162">
            <v>1</v>
          </cell>
        </row>
        <row r="1163">
          <cell r="A1163" t="str">
            <v>productCategory추천</v>
          </cell>
          <cell r="B1163" t="str">
            <v>productCategory</v>
          </cell>
          <cell r="C1163" t="str">
            <v>추천</v>
          </cell>
          <cell r="D1163">
            <v>2</v>
          </cell>
        </row>
        <row r="1164">
          <cell r="A1164" t="str">
            <v>productCategory상품</v>
          </cell>
          <cell r="B1164" t="str">
            <v>productCategory</v>
          </cell>
          <cell r="C1164" t="str">
            <v>상품</v>
          </cell>
          <cell r="D1164">
            <v>3</v>
          </cell>
        </row>
        <row r="1165">
          <cell r="A1165" t="str">
            <v>productCategory일일 한정</v>
          </cell>
          <cell r="B1165" t="str">
            <v>productCategory</v>
          </cell>
          <cell r="C1165" t="str">
            <v>일일 한정</v>
          </cell>
          <cell r="D1165">
            <v>4</v>
          </cell>
        </row>
        <row r="1166">
          <cell r="A1166" t="str">
            <v>productCategory기능</v>
          </cell>
          <cell r="B1166" t="str">
            <v>productCategory</v>
          </cell>
          <cell r="C1166" t="str">
            <v>기능</v>
          </cell>
          <cell r="D1166">
            <v>5</v>
          </cell>
        </row>
        <row r="1167">
          <cell r="A1167" t="str">
            <v>productCategory상자</v>
          </cell>
          <cell r="B1167" t="str">
            <v>productCategory</v>
          </cell>
          <cell r="C1167" t="str">
            <v>상자</v>
          </cell>
          <cell r="D1167">
            <v>6</v>
          </cell>
        </row>
        <row r="1168">
          <cell r="A1168" t="str">
            <v>productCategory회고록</v>
          </cell>
          <cell r="B1168" t="str">
            <v>productCategory</v>
          </cell>
          <cell r="C1168" t="str">
            <v>회고록</v>
          </cell>
          <cell r="D1168">
            <v>7</v>
          </cell>
        </row>
        <row r="1169">
          <cell r="A1169" t="str">
            <v>productCategory교환소</v>
          </cell>
          <cell r="B1169" t="str">
            <v>productCategory</v>
          </cell>
          <cell r="C1169" t="str">
            <v>교환소</v>
          </cell>
          <cell r="D1169">
            <v>8</v>
          </cell>
        </row>
        <row r="1170">
          <cell r="A1170" t="str">
            <v>productCategoryBGM</v>
          </cell>
          <cell r="B1170" t="str">
            <v>productCategory</v>
          </cell>
          <cell r="C1170" t="str">
            <v>BGM</v>
          </cell>
          <cell r="D1170">
            <v>9</v>
          </cell>
        </row>
        <row r="1171">
          <cell r="A1171" t="str">
            <v>productCategory특권</v>
          </cell>
          <cell r="B1171" t="str">
            <v>productCategory</v>
          </cell>
          <cell r="C1171" t="str">
            <v>특권</v>
          </cell>
          <cell r="D1171">
            <v>10</v>
          </cell>
        </row>
        <row r="1172">
          <cell r="A1172" t="str">
            <v>saleType무제한</v>
          </cell>
          <cell r="B1172" t="str">
            <v>saleType</v>
          </cell>
          <cell r="C1172" t="str">
            <v>무제한</v>
          </cell>
          <cell r="D1172">
            <v>1</v>
          </cell>
        </row>
        <row r="1173">
          <cell r="A1173" t="str">
            <v>saleType일N회</v>
          </cell>
          <cell r="B1173" t="str">
            <v>saleType</v>
          </cell>
          <cell r="C1173" t="str">
            <v>일N회</v>
          </cell>
          <cell r="D1173">
            <v>2</v>
          </cell>
        </row>
        <row r="1174">
          <cell r="A1174" t="str">
            <v>saleType주N회</v>
          </cell>
          <cell r="B1174" t="str">
            <v>saleType</v>
          </cell>
          <cell r="C1174" t="str">
            <v>주N회</v>
          </cell>
          <cell r="D1174">
            <v>3</v>
          </cell>
        </row>
        <row r="1175">
          <cell r="A1175" t="str">
            <v>saleType월N회</v>
          </cell>
          <cell r="B1175" t="str">
            <v>saleType</v>
          </cell>
          <cell r="C1175" t="str">
            <v>월N회</v>
          </cell>
          <cell r="D1175">
            <v>4</v>
          </cell>
        </row>
        <row r="1176">
          <cell r="A1176" t="str">
            <v>saleType최초N회</v>
          </cell>
          <cell r="B1176" t="str">
            <v>saleType</v>
          </cell>
          <cell r="C1176" t="str">
            <v>최초N회</v>
          </cell>
          <cell r="D1176">
            <v>5</v>
          </cell>
        </row>
        <row r="1177">
          <cell r="A1177" t="str">
            <v>salePointTypePoint</v>
          </cell>
          <cell r="B1177" t="str">
            <v>salePointType</v>
          </cell>
          <cell r="C1177" t="str">
            <v>Point</v>
          </cell>
          <cell r="D1177">
            <v>1</v>
          </cell>
        </row>
        <row r="1178">
          <cell r="A1178" t="str">
            <v>salePointTypeCash</v>
          </cell>
          <cell r="B1178" t="str">
            <v>salePointType</v>
          </cell>
          <cell r="C1178" t="str">
            <v>Cash</v>
          </cell>
          <cell r="D1178">
            <v>2</v>
          </cell>
        </row>
        <row r="1179">
          <cell r="A1179" t="str">
            <v>salePointType무료</v>
          </cell>
          <cell r="B1179" t="str">
            <v>salePointType</v>
          </cell>
          <cell r="C1179" t="str">
            <v>무료</v>
          </cell>
          <cell r="D1179">
            <v>3</v>
          </cell>
        </row>
        <row r="1180">
          <cell r="A1180" t="str">
            <v>productBadge신규</v>
          </cell>
          <cell r="B1180" t="str">
            <v>productBadge</v>
          </cell>
          <cell r="C1180" t="str">
            <v>신규</v>
          </cell>
          <cell r="D1180">
            <v>1</v>
          </cell>
        </row>
        <row r="1181">
          <cell r="A1181" t="str">
            <v>productBadge이벤트</v>
          </cell>
          <cell r="B1181" t="str">
            <v>productBadge</v>
          </cell>
          <cell r="C1181" t="str">
            <v>이벤트</v>
          </cell>
          <cell r="D1181">
            <v>2</v>
          </cell>
        </row>
        <row r="1182">
          <cell r="A1182" t="str">
            <v>productSize소형</v>
          </cell>
          <cell r="B1182" t="str">
            <v>productSize</v>
          </cell>
          <cell r="C1182" t="str">
            <v>소형</v>
          </cell>
          <cell r="D1182">
            <v>1</v>
          </cell>
        </row>
        <row r="1183">
          <cell r="A1183" t="str">
            <v>productSize대형</v>
          </cell>
          <cell r="B1183" t="str">
            <v>productSize</v>
          </cell>
          <cell r="C1183" t="str">
            <v>대형</v>
          </cell>
          <cell r="D1183">
            <v>2</v>
          </cell>
        </row>
        <row r="1184">
          <cell r="A1184" t="str">
            <v>productTypeReward</v>
          </cell>
          <cell r="B1184" t="str">
            <v>productType</v>
          </cell>
          <cell r="C1184" t="str">
            <v>Reward</v>
          </cell>
          <cell r="D1184">
            <v>1</v>
          </cell>
        </row>
        <row r="1185">
          <cell r="A1185" t="str">
            <v>productTypeBuff</v>
          </cell>
          <cell r="B1185" t="str">
            <v>productType</v>
          </cell>
          <cell r="C1185" t="str">
            <v>Buff</v>
          </cell>
          <cell r="D1185">
            <v>2</v>
          </cell>
        </row>
        <row r="1186">
          <cell r="A1186" t="str">
            <v>productTypeTaxFreePermit</v>
          </cell>
          <cell r="B1186" t="str">
            <v>productType</v>
          </cell>
          <cell r="C1186" t="str">
            <v>TaxFreePermit</v>
          </cell>
          <cell r="D1186">
            <v>3</v>
          </cell>
        </row>
        <row r="1187">
          <cell r="A1187" t="str">
            <v>productTypeBox</v>
          </cell>
          <cell r="B1187" t="str">
            <v>productType</v>
          </cell>
          <cell r="C1187" t="str">
            <v>Box</v>
          </cell>
          <cell r="D1187">
            <v>4</v>
          </cell>
        </row>
        <row r="1188">
          <cell r="A1188" t="str">
            <v>productTypeQuestPass</v>
          </cell>
          <cell r="B1188" t="str">
            <v>productType</v>
          </cell>
          <cell r="C1188" t="str">
            <v>QuestPass</v>
          </cell>
          <cell r="D1188">
            <v>5</v>
          </cell>
        </row>
        <row r="1189">
          <cell r="A1189" t="str">
            <v>productTypeBGM</v>
          </cell>
          <cell r="B1189" t="str">
            <v>productType</v>
          </cell>
          <cell r="C1189" t="str">
            <v>BGM</v>
          </cell>
          <cell r="D1189">
            <v>6</v>
          </cell>
        </row>
        <row r="1190">
          <cell r="A1190" t="str">
            <v>productTypeEventPage</v>
          </cell>
          <cell r="B1190" t="str">
            <v>productType</v>
          </cell>
          <cell r="C1190" t="str">
            <v>EventPage</v>
          </cell>
          <cell r="D1190">
            <v>8</v>
          </cell>
        </row>
        <row r="1191">
          <cell r="A1191" t="str">
            <v>discoveryMissionGradeD급</v>
          </cell>
          <cell r="B1191" t="str">
            <v>discoveryMissionGrade</v>
          </cell>
          <cell r="C1191" t="str">
            <v>D급</v>
          </cell>
          <cell r="D1191">
            <v>1</v>
          </cell>
        </row>
        <row r="1192">
          <cell r="A1192" t="str">
            <v>discoveryMissionGradeC급</v>
          </cell>
          <cell r="B1192" t="str">
            <v>discoveryMissionGrade</v>
          </cell>
          <cell r="C1192" t="str">
            <v>C급</v>
          </cell>
          <cell r="D1192">
            <v>2</v>
          </cell>
        </row>
        <row r="1193">
          <cell r="A1193" t="str">
            <v>discoveryMissionGradeB급</v>
          </cell>
          <cell r="B1193" t="str">
            <v>discoveryMissionGrade</v>
          </cell>
          <cell r="C1193" t="str">
            <v>B급</v>
          </cell>
          <cell r="D1193">
            <v>3</v>
          </cell>
        </row>
        <row r="1194">
          <cell r="A1194" t="str">
            <v>discoveryMissionGradeA급</v>
          </cell>
          <cell r="B1194" t="str">
            <v>discoveryMissionGrade</v>
          </cell>
          <cell r="C1194" t="str">
            <v>A급</v>
          </cell>
          <cell r="D1194">
            <v>4</v>
          </cell>
        </row>
        <row r="1195">
          <cell r="A1195" t="str">
            <v>discoveryMissionGradeS급</v>
          </cell>
          <cell r="B1195" t="str">
            <v>discoveryMissionGrade</v>
          </cell>
          <cell r="C1195" t="str">
            <v>S급</v>
          </cell>
          <cell r="D1195">
            <v>5</v>
          </cell>
        </row>
        <row r="1196">
          <cell r="A1196" t="str">
            <v>bonusIcon항해사</v>
          </cell>
          <cell r="B1196" t="str">
            <v>bonusIcon</v>
          </cell>
          <cell r="C1196" t="str">
            <v>항해사</v>
          </cell>
          <cell r="D1196">
            <v>1</v>
          </cell>
        </row>
        <row r="1197">
          <cell r="A1197" t="str">
            <v>bonusIcon선박</v>
          </cell>
          <cell r="B1197" t="str">
            <v>bonusIcon</v>
          </cell>
          <cell r="C1197" t="str">
            <v>선박</v>
          </cell>
          <cell r="D1197">
            <v>2</v>
          </cell>
        </row>
        <row r="1198">
          <cell r="A1198" t="str">
            <v>bonusIcon장비</v>
          </cell>
          <cell r="B1198" t="str">
            <v>bonusIcon</v>
          </cell>
          <cell r="C1198" t="str">
            <v>장비</v>
          </cell>
          <cell r="D1198">
            <v>3</v>
          </cell>
        </row>
        <row r="1199">
          <cell r="A1199" t="str">
            <v>bonusIcon도구</v>
          </cell>
          <cell r="B1199" t="str">
            <v>bonusIcon</v>
          </cell>
          <cell r="C1199" t="str">
            <v>도구</v>
          </cell>
          <cell r="D1199">
            <v>4</v>
          </cell>
        </row>
        <row r="1200">
          <cell r="A1200" t="str">
            <v>soundPackType기본</v>
          </cell>
          <cell r="B1200" t="str">
            <v>soundPackType</v>
          </cell>
          <cell r="C1200" t="str">
            <v>기본</v>
          </cell>
          <cell r="D1200">
            <v>1</v>
          </cell>
        </row>
        <row r="1201">
          <cell r="A1201" t="str">
            <v>soundPackType추가</v>
          </cell>
          <cell r="B1201" t="str">
            <v>soundPackType</v>
          </cell>
          <cell r="C1201" t="str">
            <v>추가</v>
          </cell>
          <cell r="D1201">
            <v>2</v>
          </cell>
        </row>
        <row r="1202">
          <cell r="A1202" t="str">
            <v>soundPackType이벤트</v>
          </cell>
          <cell r="B1202" t="str">
            <v>soundPackType</v>
          </cell>
          <cell r="C1202" t="str">
            <v>이벤트</v>
          </cell>
          <cell r="D1202">
            <v>3</v>
          </cell>
        </row>
        <row r="1203">
          <cell r="A1203" t="str">
            <v>soundManagementType배경음</v>
          </cell>
          <cell r="B1203" t="str">
            <v>soundManagementType</v>
          </cell>
          <cell r="C1203" t="str">
            <v>배경음</v>
          </cell>
          <cell r="D1203">
            <v>1</v>
          </cell>
        </row>
        <row r="1204">
          <cell r="A1204" t="str">
            <v>soundManagementType효과음</v>
          </cell>
          <cell r="B1204" t="str">
            <v>soundManagementType</v>
          </cell>
          <cell r="C1204" t="str">
            <v>효과음</v>
          </cell>
          <cell r="D1204">
            <v>2</v>
          </cell>
        </row>
        <row r="1205">
          <cell r="A1205" t="str">
            <v>discoveryRanking노랭크</v>
          </cell>
          <cell r="B1205" t="str">
            <v>discoveryRanking</v>
          </cell>
          <cell r="C1205" t="str">
            <v>노랭크</v>
          </cell>
          <cell r="D1205">
            <v>1</v>
          </cell>
        </row>
        <row r="1206">
          <cell r="A1206" t="str">
            <v>discoveryRanking브론즈</v>
          </cell>
          <cell r="B1206" t="str">
            <v>discoveryRanking</v>
          </cell>
          <cell r="C1206" t="str">
            <v>브론즈</v>
          </cell>
          <cell r="D1206">
            <v>2</v>
          </cell>
        </row>
        <row r="1207">
          <cell r="A1207" t="str">
            <v>discoveryRanking실버</v>
          </cell>
          <cell r="B1207" t="str">
            <v>discoveryRanking</v>
          </cell>
          <cell r="C1207" t="str">
            <v>실버</v>
          </cell>
          <cell r="D1207">
            <v>3</v>
          </cell>
        </row>
        <row r="1208">
          <cell r="A1208" t="str">
            <v>discoveryRanking골드</v>
          </cell>
          <cell r="B1208" t="str">
            <v>discoveryRanking</v>
          </cell>
          <cell r="C1208" t="str">
            <v>골드</v>
          </cell>
          <cell r="D1208">
            <v>4</v>
          </cell>
        </row>
        <row r="1209">
          <cell r="A1209" t="str">
            <v>discoveryRanking플래티넘</v>
          </cell>
          <cell r="B1209" t="str">
            <v>discoveryRanking</v>
          </cell>
          <cell r="C1209" t="str">
            <v>플래티넘</v>
          </cell>
          <cell r="D1209">
            <v>5</v>
          </cell>
        </row>
        <row r="1210">
          <cell r="A1210" t="str">
            <v>discoveryRanking다이아몬드</v>
          </cell>
          <cell r="B1210" t="str">
            <v>discoveryRanking</v>
          </cell>
          <cell r="C1210" t="str">
            <v>다이아몬드</v>
          </cell>
          <cell r="D1210">
            <v>6</v>
          </cell>
        </row>
        <row r="1211">
          <cell r="A1211" t="str">
            <v>discoveryRanking레전드</v>
          </cell>
          <cell r="B1211" t="str">
            <v>discoveryRanking</v>
          </cell>
          <cell r="C1211" t="str">
            <v>레전드</v>
          </cell>
          <cell r="D1211">
            <v>7</v>
          </cell>
        </row>
        <row r="1212">
          <cell r="A1212" t="str">
            <v>OceanTile선단 레벨</v>
          </cell>
          <cell r="B1212" t="str">
            <v>OceanTile</v>
          </cell>
          <cell r="C1212" t="str">
            <v>선단 레벨</v>
          </cell>
          <cell r="D1212">
            <v>1</v>
          </cell>
        </row>
        <row r="1213">
          <cell r="A1213" t="str">
            <v>OceanTile얼음 지형</v>
          </cell>
          <cell r="B1213" t="str">
            <v>OceanTile</v>
          </cell>
          <cell r="C1213" t="str">
            <v>얼음 지형</v>
          </cell>
          <cell r="D1213">
            <v>2</v>
          </cell>
        </row>
        <row r="1214">
          <cell r="A1214" t="str">
            <v>OceanTile선박 크기</v>
          </cell>
          <cell r="B1214" t="str">
            <v>OceanTile</v>
          </cell>
          <cell r="C1214" t="str">
            <v>선박 크기</v>
          </cell>
          <cell r="D1214">
            <v>3</v>
          </cell>
        </row>
        <row r="1215">
          <cell r="A1215" t="str">
            <v>OceanTile내파 지형</v>
          </cell>
          <cell r="B1215" t="str">
            <v>OceanTile</v>
          </cell>
          <cell r="C1215" t="str">
            <v>내파 지형</v>
          </cell>
          <cell r="D1215">
            <v>4</v>
          </cell>
        </row>
        <row r="1216">
          <cell r="A1216" t="str">
            <v>OceanTile암초 지형</v>
          </cell>
          <cell r="B1216" t="str">
            <v>OceanTile</v>
          </cell>
          <cell r="C1216" t="str">
            <v>암초 지형</v>
          </cell>
          <cell r="D1216">
            <v>5</v>
          </cell>
        </row>
        <row r="1217">
          <cell r="A1217" t="str">
            <v>OceanTile해초 지형</v>
          </cell>
          <cell r="B1217" t="str">
            <v>OceanTile</v>
          </cell>
          <cell r="C1217" t="str">
            <v>해초 지형</v>
          </cell>
          <cell r="D1217">
            <v>6</v>
          </cell>
        </row>
        <row r="1218">
          <cell r="A1218" t="str">
            <v>OceanTile해상 색상</v>
          </cell>
          <cell r="B1218" t="str">
            <v>OceanTile</v>
          </cell>
          <cell r="C1218" t="str">
            <v>해상 색상</v>
          </cell>
          <cell r="D1218">
            <v>7</v>
          </cell>
        </row>
        <row r="1219">
          <cell r="A1219" t="str">
            <v>RankingTypeNone</v>
          </cell>
          <cell r="B1219" t="str">
            <v>RankingType</v>
          </cell>
          <cell r="C1219" t="str">
            <v>None</v>
          </cell>
          <cell r="D1219">
            <v>0</v>
          </cell>
        </row>
        <row r="1220">
          <cell r="A1220" t="str">
            <v>RankingType백분율</v>
          </cell>
          <cell r="B1220" t="str">
            <v>RankingType</v>
          </cell>
          <cell r="C1220" t="str">
            <v>백분율</v>
          </cell>
          <cell r="D1220">
            <v>1</v>
          </cell>
        </row>
        <row r="1221">
          <cell r="A1221" t="str">
            <v>RankingType순위</v>
          </cell>
          <cell r="B1221" t="str">
            <v>RankingType</v>
          </cell>
          <cell r="C1221" t="str">
            <v>순위</v>
          </cell>
          <cell r="D1221">
            <v>2</v>
          </cell>
        </row>
        <row r="1222">
          <cell r="A1222" t="str">
            <v>RankingTarget세계</v>
          </cell>
          <cell r="B1222" t="str">
            <v>RankingTarget</v>
          </cell>
          <cell r="C1222" t="str">
            <v>세계</v>
          </cell>
          <cell r="D1222">
            <v>1</v>
          </cell>
        </row>
        <row r="1223">
          <cell r="A1223" t="str">
            <v>RankingTarget저택</v>
          </cell>
          <cell r="B1223" t="str">
            <v>RankingTarget</v>
          </cell>
          <cell r="C1223" t="str">
            <v>저택</v>
          </cell>
          <cell r="D1223">
            <v>2</v>
          </cell>
        </row>
        <row r="1224">
          <cell r="A1224" t="str">
            <v>buttonActionTypeLock</v>
          </cell>
          <cell r="B1224" t="str">
            <v>buttonActionType</v>
          </cell>
          <cell r="C1224" t="str">
            <v>Lock</v>
          </cell>
          <cell r="D1224">
            <v>1</v>
          </cell>
        </row>
        <row r="1225">
          <cell r="A1225" t="str">
            <v>buttonActionTypeHidden</v>
          </cell>
          <cell r="B1225" t="str">
            <v>buttonActionType</v>
          </cell>
          <cell r="C1225" t="str">
            <v>Hidden</v>
          </cell>
          <cell r="D1225">
            <v>2</v>
          </cell>
        </row>
        <row r="1226">
          <cell r="A1226" t="str">
            <v>buttonActionTypeNormal</v>
          </cell>
          <cell r="B1226" t="str">
            <v>buttonActionType</v>
          </cell>
          <cell r="C1226" t="str">
            <v>Normal</v>
          </cell>
          <cell r="D1226">
            <v>3</v>
          </cell>
        </row>
        <row r="1227">
          <cell r="A1227" t="str">
            <v>buttonActionTypeUnlockEffect</v>
          </cell>
          <cell r="B1227" t="str">
            <v>buttonActionType</v>
          </cell>
          <cell r="C1227" t="str">
            <v>UnlockEffect</v>
          </cell>
          <cell r="D1227">
            <v>4</v>
          </cell>
        </row>
        <row r="1228">
          <cell r="A1228" t="str">
            <v>missionDifficultyEasy</v>
          </cell>
          <cell r="B1228" t="str">
            <v>missionDifficulty</v>
          </cell>
          <cell r="C1228" t="str">
            <v>Easy</v>
          </cell>
          <cell r="D1228">
            <v>1</v>
          </cell>
        </row>
        <row r="1229">
          <cell r="A1229" t="str">
            <v>missionDifficultyNormal</v>
          </cell>
          <cell r="B1229" t="str">
            <v>missionDifficulty</v>
          </cell>
          <cell r="C1229" t="str">
            <v>Normal</v>
          </cell>
          <cell r="D1229">
            <v>2</v>
          </cell>
        </row>
        <row r="1230">
          <cell r="A1230" t="str">
            <v>missionDifficultyHard</v>
          </cell>
          <cell r="B1230" t="str">
            <v>missionDifficulty</v>
          </cell>
          <cell r="C1230" t="str">
            <v>Hard</v>
          </cell>
          <cell r="D1230">
            <v>3</v>
          </cell>
        </row>
        <row r="1231">
          <cell r="A1231" t="str">
            <v>buttonConditionType실패</v>
          </cell>
          <cell r="B1231" t="str">
            <v>buttonConditionType</v>
          </cell>
          <cell r="C1231" t="str">
            <v>실패</v>
          </cell>
          <cell r="D1231">
            <v>0</v>
          </cell>
        </row>
        <row r="1232">
          <cell r="A1232" t="str">
            <v>buttonConditionType선단 LV(&gt;=)</v>
          </cell>
          <cell r="B1232" t="str">
            <v>buttonConditionType</v>
          </cell>
          <cell r="C1232" t="str">
            <v>선단 LV(&gt;=)</v>
          </cell>
          <cell r="D1232">
            <v>1</v>
          </cell>
        </row>
        <row r="1233">
          <cell r="A1233" t="str">
            <v>buttonConditionType글로벌 플래그(=)</v>
          </cell>
          <cell r="B1233" t="str">
            <v>buttonConditionType</v>
          </cell>
          <cell r="C1233" t="str">
            <v>글로벌 플래그(=)</v>
          </cell>
          <cell r="D1233">
            <v>2</v>
          </cell>
        </row>
        <row r="1234">
          <cell r="A1234" t="str">
            <v>buttonConditionType개발중</v>
          </cell>
          <cell r="B1234" t="str">
            <v>buttonConditionType</v>
          </cell>
          <cell r="C1234" t="str">
            <v>개발중</v>
          </cell>
          <cell r="D1234">
            <v>99</v>
          </cell>
        </row>
        <row r="1235">
          <cell r="A1235" t="str">
            <v>TradeGoodsDisasterLoss없음</v>
          </cell>
          <cell r="B1235" t="str">
            <v>TradeGoodsDisasterLoss</v>
          </cell>
          <cell r="C1235" t="str">
            <v>없음</v>
          </cell>
          <cell r="D1235">
            <v>0</v>
          </cell>
        </row>
        <row r="1236">
          <cell r="A1236" t="str">
            <v>TradeGoodsDisasterLoss가연성</v>
          </cell>
          <cell r="B1236" t="str">
            <v>TradeGoodsDisasterLoss</v>
          </cell>
          <cell r="C1236" t="str">
            <v>가연성</v>
          </cell>
          <cell r="D1236">
            <v>1</v>
          </cell>
        </row>
        <row r="1237">
          <cell r="A1237" t="str">
            <v>TradeGoodsDisasterLoss귀중품</v>
          </cell>
          <cell r="B1237" t="str">
            <v>TradeGoodsDisasterLoss</v>
          </cell>
          <cell r="C1237" t="str">
            <v>귀중품</v>
          </cell>
          <cell r="D1237">
            <v>2</v>
          </cell>
        </row>
        <row r="1238">
          <cell r="A1238" t="str">
            <v>TradeGoodsDisasterLoss부패</v>
          </cell>
          <cell r="B1238" t="str">
            <v>TradeGoodsDisasterLoss</v>
          </cell>
          <cell r="C1238" t="str">
            <v>부패</v>
          </cell>
          <cell r="D1238">
            <v>3</v>
          </cell>
        </row>
        <row r="1239">
          <cell r="A1239" t="str">
            <v>TradeGoodsDisasterLoss폐사</v>
          </cell>
          <cell r="B1239" t="str">
            <v>TradeGoodsDisasterLoss</v>
          </cell>
          <cell r="C1239" t="str">
            <v>폐사</v>
          </cell>
          <cell r="D1239">
            <v>4</v>
          </cell>
        </row>
        <row r="1240">
          <cell r="A1240" t="str">
            <v>TradeGoodsDisasterLoss번식</v>
          </cell>
          <cell r="B1240" t="str">
            <v>TradeGoodsDisasterLoss</v>
          </cell>
          <cell r="C1240" t="str">
            <v>번식</v>
          </cell>
          <cell r="D1240">
            <v>5</v>
          </cell>
        </row>
        <row r="1241">
          <cell r="A1241" t="str">
            <v>shipMoveType범선</v>
          </cell>
          <cell r="B1241" t="str">
            <v>shipMoveType</v>
          </cell>
          <cell r="C1241" t="str">
            <v>범선</v>
          </cell>
          <cell r="D1241">
            <v>1</v>
          </cell>
        </row>
        <row r="1242">
          <cell r="A1242" t="str">
            <v>shipMoveType갤리선</v>
          </cell>
          <cell r="B1242" t="str">
            <v>shipMoveType</v>
          </cell>
          <cell r="C1242" t="str">
            <v>갤리선</v>
          </cell>
          <cell r="D1242">
            <v>2</v>
          </cell>
        </row>
        <row r="1243">
          <cell r="A1243" t="str">
            <v>shipBottomType첨저선</v>
          </cell>
          <cell r="B1243" t="str">
            <v>shipBottomType</v>
          </cell>
          <cell r="C1243" t="str">
            <v>첨저선</v>
          </cell>
          <cell r="D1243">
            <v>1</v>
          </cell>
        </row>
        <row r="1244">
          <cell r="A1244" t="str">
            <v>shipBottomType평저선</v>
          </cell>
          <cell r="B1244" t="str">
            <v>shipBottomType</v>
          </cell>
          <cell r="C1244" t="str">
            <v>평저선</v>
          </cell>
          <cell r="D1244">
            <v>2</v>
          </cell>
        </row>
        <row r="1245">
          <cell r="A1245" t="str">
            <v>admissionTypeTownKick</v>
          </cell>
          <cell r="B1245" t="str">
            <v>admissionType</v>
          </cell>
          <cell r="C1245" t="str">
            <v>TownKick</v>
          </cell>
          <cell r="D1245">
            <v>1</v>
          </cell>
        </row>
        <row r="1246">
          <cell r="A1246" t="str">
            <v>battleWinTermsCheckType하나라도 달성 시 승리</v>
          </cell>
          <cell r="B1246" t="str">
            <v>battleWinTermsCheckType</v>
          </cell>
          <cell r="C1246" t="str">
            <v>하나라도 달성 시 승리</v>
          </cell>
          <cell r="D1246">
            <v>0</v>
          </cell>
        </row>
        <row r="1247">
          <cell r="A1247" t="str">
            <v>battleWinTermsCheckType모두 달성 시 승리</v>
          </cell>
          <cell r="B1247" t="str">
            <v>battleWinTermsCheckType</v>
          </cell>
          <cell r="C1247" t="str">
            <v>모두 달성 시 승리</v>
          </cell>
          <cell r="D1247">
            <v>1</v>
          </cell>
        </row>
        <row r="1248">
          <cell r="A1248" t="str">
            <v>battleWinTermsRandType단일 참조</v>
          </cell>
          <cell r="B1248" t="str">
            <v>battleWinTermsRandType</v>
          </cell>
          <cell r="C1248" t="str">
            <v>단일 참조</v>
          </cell>
          <cell r="D1248">
            <v>0</v>
          </cell>
        </row>
        <row r="1249">
          <cell r="A1249" t="str">
            <v>battleWinTermsRandType그룹 랜덤 참조</v>
          </cell>
          <cell r="B1249" t="str">
            <v>battleWinTermsRandType</v>
          </cell>
          <cell r="C1249" t="str">
            <v>그룹 랜덤 참조</v>
          </cell>
          <cell r="D1249">
            <v>1</v>
          </cell>
        </row>
        <row r="1250">
          <cell r="A1250" t="str">
            <v>battleBaseTermsIgnoreType기본 조건 적용</v>
          </cell>
          <cell r="B1250" t="str">
            <v>battleBaseTermsIgnoreType</v>
          </cell>
          <cell r="C1250" t="str">
            <v>기본 조건 적용</v>
          </cell>
          <cell r="D1250">
            <v>0</v>
          </cell>
        </row>
        <row r="1251">
          <cell r="A1251" t="str">
            <v>battleBaseTermsIgnoreType아군 전멸 무시</v>
          </cell>
          <cell r="B1251" t="str">
            <v>battleBaseTermsIgnoreType</v>
          </cell>
          <cell r="C1251" t="str">
            <v>아군 전멸 무시</v>
          </cell>
          <cell r="D1251">
            <v>1</v>
          </cell>
        </row>
        <row r="1252">
          <cell r="A1252" t="str">
            <v>battleBaseTermsIgnoreType적군 전멸 무시</v>
          </cell>
          <cell r="B1252" t="str">
            <v>battleBaseTermsIgnoreType</v>
          </cell>
          <cell r="C1252" t="str">
            <v>적군 전멸 무시</v>
          </cell>
          <cell r="D1252">
            <v>2</v>
          </cell>
        </row>
        <row r="1253">
          <cell r="A1253" t="str">
            <v>battleBaseTermsIgnoreType모두 전멸 무시</v>
          </cell>
          <cell r="B1253" t="str">
            <v>battleBaseTermsIgnoreType</v>
          </cell>
          <cell r="C1253" t="str">
            <v>모두 전멸 무시</v>
          </cell>
          <cell r="D1253">
            <v>3</v>
          </cell>
        </row>
        <row r="1254">
          <cell r="A1254" t="str">
            <v>battleBaseTermsIgnoreType일몰 무시</v>
          </cell>
          <cell r="B1254" t="str">
            <v>battleBaseTermsIgnoreType</v>
          </cell>
          <cell r="C1254" t="str">
            <v>일몰 무시</v>
          </cell>
          <cell r="D1254">
            <v>4</v>
          </cell>
        </row>
        <row r="1255">
          <cell r="A1255" t="str">
            <v>battleBaseTermsIgnoreType아군 전멸&amp;일몰 무시</v>
          </cell>
          <cell r="B1255" t="str">
            <v>battleBaseTermsIgnoreType</v>
          </cell>
          <cell r="C1255" t="str">
            <v>아군 전멸&amp;일몰 무시</v>
          </cell>
          <cell r="D1255">
            <v>5</v>
          </cell>
        </row>
        <row r="1256">
          <cell r="A1256" t="str">
            <v>battleBaseTermsIgnoreType적군 전멸&amp;일몰 무시</v>
          </cell>
          <cell r="B1256" t="str">
            <v>battleBaseTermsIgnoreType</v>
          </cell>
          <cell r="C1256" t="str">
            <v>적군 전멸&amp;일몰 무시</v>
          </cell>
          <cell r="D1256">
            <v>6</v>
          </cell>
        </row>
        <row r="1257">
          <cell r="A1257" t="str">
            <v>battleBaseTermsIgnoreType모든 전멸&amp;일몰 무시</v>
          </cell>
          <cell r="B1257" t="str">
            <v>battleBaseTermsIgnoreType</v>
          </cell>
          <cell r="C1257" t="str">
            <v>모든 전멸&amp;일몰 무시</v>
          </cell>
          <cell r="D1257">
            <v>7</v>
          </cell>
        </row>
        <row r="1258">
          <cell r="A1258" t="str">
            <v>battleEnvironmentStartType해상 환경 사용</v>
          </cell>
          <cell r="B1258" t="str">
            <v>battleEnvironmentStartType</v>
          </cell>
          <cell r="C1258" t="str">
            <v>해상 환경 사용</v>
          </cell>
          <cell r="D1258">
            <v>0</v>
          </cell>
        </row>
        <row r="1259">
          <cell r="A1259" t="str">
            <v>battleEnvironmentStartType지정 환경 사용</v>
          </cell>
          <cell r="B1259" t="str">
            <v>battleEnvironmentStartType</v>
          </cell>
          <cell r="C1259" t="str">
            <v>지정 환경 사용</v>
          </cell>
          <cell r="D1259">
            <v>1</v>
          </cell>
        </row>
        <row r="1260">
          <cell r="A1260" t="str">
            <v>rewardFixedType고정보상</v>
          </cell>
          <cell r="B1260" t="str">
            <v>rewardFixedType</v>
          </cell>
          <cell r="C1260" t="str">
            <v>고정보상</v>
          </cell>
          <cell r="D1260">
            <v>0</v>
          </cell>
        </row>
        <row r="1261">
          <cell r="A1261" t="str">
            <v>rewardFixedType랜덤보상</v>
          </cell>
          <cell r="B1261" t="str">
            <v>rewardFixedType</v>
          </cell>
          <cell r="C1261" t="str">
            <v>랜덤보상</v>
          </cell>
          <cell r="D1261">
            <v>1</v>
          </cell>
        </row>
        <row r="1262">
          <cell r="A1262" t="str">
            <v>absDistanceType중간</v>
          </cell>
          <cell r="B1262" t="str">
            <v>absDistanceType</v>
          </cell>
          <cell r="C1262" t="str">
            <v>중간</v>
          </cell>
          <cell r="D1262">
            <v>0</v>
          </cell>
        </row>
        <row r="1263">
          <cell r="A1263" t="str">
            <v>absDistanceType멈</v>
          </cell>
          <cell r="B1263" t="str">
            <v>absDistanceType</v>
          </cell>
          <cell r="C1263" t="str">
            <v>멈</v>
          </cell>
          <cell r="D1263">
            <v>1</v>
          </cell>
        </row>
        <row r="1264">
          <cell r="A1264" t="str">
            <v>absDistanceType가까움</v>
          </cell>
          <cell r="B1264" t="str">
            <v>absDistanceType</v>
          </cell>
          <cell r="C1264" t="str">
            <v>가까움</v>
          </cell>
          <cell r="D1264">
            <v>2</v>
          </cell>
        </row>
        <row r="1265">
          <cell r="A1265" t="str">
            <v>absDistanceType난입</v>
          </cell>
          <cell r="B1265" t="str">
            <v>absDistanceType</v>
          </cell>
          <cell r="C1265" t="str">
            <v>난입</v>
          </cell>
          <cell r="D1265">
            <v>3</v>
          </cell>
        </row>
        <row r="1266">
          <cell r="A1266" t="str">
            <v>absDirectionType북</v>
          </cell>
          <cell r="B1266" t="str">
            <v>absDirectionType</v>
          </cell>
          <cell r="C1266" t="str">
            <v>북</v>
          </cell>
          <cell r="D1266">
            <v>0</v>
          </cell>
        </row>
        <row r="1267">
          <cell r="A1267" t="str">
            <v>absDirectionType북동</v>
          </cell>
          <cell r="B1267" t="str">
            <v>absDirectionType</v>
          </cell>
          <cell r="C1267" t="str">
            <v>북동</v>
          </cell>
          <cell r="D1267">
            <v>1</v>
          </cell>
        </row>
        <row r="1268">
          <cell r="A1268" t="str">
            <v>absDirectionType남동</v>
          </cell>
          <cell r="B1268" t="str">
            <v>absDirectionType</v>
          </cell>
          <cell r="C1268" t="str">
            <v>남동</v>
          </cell>
          <cell r="D1268">
            <v>2</v>
          </cell>
        </row>
        <row r="1269">
          <cell r="A1269" t="str">
            <v>absDirectionType남</v>
          </cell>
          <cell r="B1269" t="str">
            <v>absDirectionType</v>
          </cell>
          <cell r="C1269" t="str">
            <v>남</v>
          </cell>
          <cell r="D1269">
            <v>3</v>
          </cell>
        </row>
        <row r="1270">
          <cell r="A1270" t="str">
            <v>absDirectionType남서</v>
          </cell>
          <cell r="B1270" t="str">
            <v>absDirectionType</v>
          </cell>
          <cell r="C1270" t="str">
            <v>남서</v>
          </cell>
          <cell r="D1270">
            <v>4</v>
          </cell>
        </row>
        <row r="1271">
          <cell r="A1271" t="str">
            <v>absDirectionType북서</v>
          </cell>
          <cell r="B1271" t="str">
            <v>absDirectionType</v>
          </cell>
          <cell r="C1271" t="str">
            <v>북서</v>
          </cell>
          <cell r="D1271">
            <v>5</v>
          </cell>
        </row>
        <row r="1272">
          <cell r="A1272" t="str">
            <v>popupButtonType확인/취소</v>
          </cell>
          <cell r="B1272" t="str">
            <v>popupButtonType</v>
          </cell>
          <cell r="C1272" t="str">
            <v>확인/취소</v>
          </cell>
          <cell r="D1272">
            <v>0</v>
          </cell>
        </row>
        <row r="1273">
          <cell r="A1273" t="str">
            <v>popupButtonType확인</v>
          </cell>
          <cell r="B1273" t="str">
            <v>popupButtonType</v>
          </cell>
          <cell r="C1273" t="str">
            <v>확인</v>
          </cell>
          <cell r="D1273">
            <v>1</v>
          </cell>
        </row>
        <row r="1274">
          <cell r="A1274" t="str">
            <v>EventPageType7일 출석</v>
          </cell>
          <cell r="B1274" t="str">
            <v>EventPageType</v>
          </cell>
          <cell r="C1274" t="str">
            <v>7일 출석</v>
          </cell>
          <cell r="D1274">
            <v>1</v>
          </cell>
        </row>
        <row r="1275">
          <cell r="A1275" t="str">
            <v>EventPageType14일 출석</v>
          </cell>
          <cell r="B1275" t="str">
            <v>EventPageType</v>
          </cell>
          <cell r="C1275" t="str">
            <v>14일 출석</v>
          </cell>
          <cell r="D1275">
            <v>2</v>
          </cell>
        </row>
        <row r="1276">
          <cell r="A1276" t="str">
            <v>EventPageType31일 출석</v>
          </cell>
          <cell r="B1276" t="str">
            <v>EventPageType</v>
          </cell>
          <cell r="C1276" t="str">
            <v>31일 출석</v>
          </cell>
          <cell r="D1276">
            <v>3</v>
          </cell>
        </row>
        <row r="1277">
          <cell r="A1277" t="str">
            <v>EventPageType오픈 출석</v>
          </cell>
          <cell r="B1277" t="str">
            <v>EventPageType</v>
          </cell>
          <cell r="C1277" t="str">
            <v>오픈 출석</v>
          </cell>
          <cell r="D1277">
            <v>4</v>
          </cell>
        </row>
        <row r="1278">
          <cell r="A1278" t="str">
            <v>EventPageType신규 출석</v>
          </cell>
          <cell r="B1278" t="str">
            <v>EventPageType</v>
          </cell>
          <cell r="C1278" t="str">
            <v>신규 출석</v>
          </cell>
          <cell r="D1278">
            <v>5</v>
          </cell>
        </row>
        <row r="1279">
          <cell r="A1279" t="str">
            <v>EventPageType7일 임무</v>
          </cell>
          <cell r="B1279" t="str">
            <v>EventPageType</v>
          </cell>
          <cell r="C1279" t="str">
            <v>7일 임무</v>
          </cell>
          <cell r="D1279">
            <v>6</v>
          </cell>
        </row>
        <row r="1280">
          <cell r="A1280" t="str">
            <v>EventPageType패스 임무</v>
          </cell>
          <cell r="B1280" t="str">
            <v>EventPageType</v>
          </cell>
          <cell r="C1280" t="str">
            <v>패스 임무</v>
          </cell>
          <cell r="D1280">
            <v>7</v>
          </cell>
        </row>
        <row r="1281">
          <cell r="A1281" t="str">
            <v>EventPageType일반 임무</v>
          </cell>
          <cell r="B1281" t="str">
            <v>EventPageType</v>
          </cell>
          <cell r="C1281" t="str">
            <v>일반 임무</v>
          </cell>
          <cell r="D1281">
            <v>8</v>
          </cell>
        </row>
        <row r="1282">
          <cell r="A1282" t="str">
            <v>AttendanceType일반 출석</v>
          </cell>
          <cell r="B1282" t="str">
            <v>AttendanceType</v>
          </cell>
          <cell r="C1282" t="str">
            <v>일반 출석</v>
          </cell>
          <cell r="D1282">
            <v>1</v>
          </cell>
        </row>
        <row r="1283">
          <cell r="A1283" t="str">
            <v>AttendanceType누적 출석</v>
          </cell>
          <cell r="B1283" t="str">
            <v>AttendanceType</v>
          </cell>
          <cell r="C1283" t="str">
            <v>누적 출석</v>
          </cell>
          <cell r="D1283">
            <v>2</v>
          </cell>
        </row>
        <row r="1284">
          <cell r="A1284" t="str">
            <v>AttendanceType연속 출석</v>
          </cell>
          <cell r="B1284" t="str">
            <v>AttendanceType</v>
          </cell>
          <cell r="C1284" t="str">
            <v>연속 출석</v>
          </cell>
          <cell r="D1284">
            <v>3</v>
          </cell>
        </row>
        <row r="1285">
          <cell r="A1285" t="str">
            <v>battleMapLayerType기본</v>
          </cell>
          <cell r="B1285" t="str">
            <v>battleMapLayerType</v>
          </cell>
          <cell r="C1285" t="str">
            <v>기본</v>
          </cell>
          <cell r="D1285">
            <v>0</v>
          </cell>
        </row>
        <row r="1286">
          <cell r="A1286" t="str">
            <v>battleMapLayerType계절</v>
          </cell>
          <cell r="B1286" t="str">
            <v>battleMapLayerType</v>
          </cell>
          <cell r="C1286" t="str">
            <v>계절</v>
          </cell>
          <cell r="D1286">
            <v>1</v>
          </cell>
        </row>
        <row r="1287">
          <cell r="A1287" t="str">
            <v>battleMapLayerType국력</v>
          </cell>
          <cell r="B1287" t="str">
            <v>battleMapLayerType</v>
          </cell>
          <cell r="C1287" t="str">
            <v>국력</v>
          </cell>
          <cell r="D1287">
            <v>2</v>
          </cell>
        </row>
        <row r="1288">
          <cell r="A1288" t="str">
            <v>battleMapLayerType시간</v>
          </cell>
          <cell r="B1288" t="str">
            <v>battleMapLayerType</v>
          </cell>
          <cell r="C1288" t="str">
            <v>시간</v>
          </cell>
          <cell r="D1288">
            <v>3</v>
          </cell>
        </row>
        <row r="1289">
          <cell r="A1289" t="str">
            <v>battleActionCounterType포격</v>
          </cell>
          <cell r="B1289" t="str">
            <v>battleActionCounterType</v>
          </cell>
          <cell r="C1289" t="str">
            <v>포격</v>
          </cell>
          <cell r="D1289">
            <v>1</v>
          </cell>
        </row>
        <row r="1290">
          <cell r="A1290" t="str">
            <v>battleActionCounterType백병</v>
          </cell>
          <cell r="B1290" t="str">
            <v>battleActionCounterType</v>
          </cell>
          <cell r="C1290" t="str">
            <v>백병</v>
          </cell>
          <cell r="D1290">
            <v>2</v>
          </cell>
        </row>
        <row r="1291">
          <cell r="A1291" t="str">
            <v>battleActionCounterType결투</v>
          </cell>
          <cell r="B1291" t="str">
            <v>battleActionCounterType</v>
          </cell>
          <cell r="C1291" t="str">
            <v>결투</v>
          </cell>
          <cell r="D1291">
            <v>3</v>
          </cell>
        </row>
        <row r="1292">
          <cell r="A1292" t="str">
            <v>battleActionCounterType충파</v>
          </cell>
          <cell r="B1292" t="str">
            <v>battleActionCounterType</v>
          </cell>
          <cell r="C1292" t="str">
            <v>충파</v>
          </cell>
          <cell r="D1292">
            <v>4</v>
          </cell>
        </row>
        <row r="1293">
          <cell r="A1293" t="str">
            <v>battleActionCounterType수리</v>
          </cell>
          <cell r="B1293" t="str">
            <v>battleActionCounterType</v>
          </cell>
          <cell r="C1293" t="str">
            <v>수리</v>
          </cell>
          <cell r="D1293">
            <v>5</v>
          </cell>
        </row>
        <row r="1294">
          <cell r="A1294" t="str">
            <v>battleActionCounterType의술</v>
          </cell>
          <cell r="B1294" t="str">
            <v>battleActionCounterType</v>
          </cell>
          <cell r="C1294" t="str">
            <v>의술</v>
          </cell>
          <cell r="D1294">
            <v>6</v>
          </cell>
        </row>
        <row r="1295">
          <cell r="A1295" t="str">
            <v>battleActionCounterType함성</v>
          </cell>
          <cell r="B1295" t="str">
            <v>battleActionCounterType</v>
          </cell>
          <cell r="C1295" t="str">
            <v>함성</v>
          </cell>
          <cell r="D1295">
            <v>7</v>
          </cell>
        </row>
        <row r="1296">
          <cell r="A1296" t="str">
            <v>battleActionCounterType첩보</v>
          </cell>
          <cell r="B1296" t="str">
            <v>battleActionCounterType</v>
          </cell>
          <cell r="C1296" t="str">
            <v>첩보</v>
          </cell>
          <cell r="D1296">
            <v>8</v>
          </cell>
        </row>
        <row r="1297">
          <cell r="A1297" t="str">
            <v>battleActionCounterType아이템 사용</v>
          </cell>
          <cell r="B1297" t="str">
            <v>battleActionCounterType</v>
          </cell>
          <cell r="C1297" t="str">
            <v>아이템 사용</v>
          </cell>
          <cell r="D1297">
            <v>9</v>
          </cell>
        </row>
        <row r="1298">
          <cell r="A1298" t="str">
            <v>battleActionCounterType오브젝트 사용</v>
          </cell>
          <cell r="B1298" t="str">
            <v>battleActionCounterType</v>
          </cell>
          <cell r="C1298" t="str">
            <v>오브젝트 사용</v>
          </cell>
          <cell r="D1298">
            <v>10</v>
          </cell>
        </row>
        <row r="1299">
          <cell r="A1299" t="str">
            <v>battleActionCounterType도주</v>
          </cell>
          <cell r="B1299" t="str">
            <v>battleActionCounterType</v>
          </cell>
          <cell r="C1299" t="str">
            <v>도주</v>
          </cell>
          <cell r="D1299">
            <v>11</v>
          </cell>
        </row>
        <row r="1300">
          <cell r="A1300" t="str">
            <v>battleActionCounterType무르기</v>
          </cell>
          <cell r="B1300" t="str">
            <v>battleActionCounterType</v>
          </cell>
          <cell r="C1300" t="str">
            <v>무르기</v>
          </cell>
          <cell r="D1300">
            <v>12</v>
          </cell>
        </row>
        <row r="1301">
          <cell r="A1301" t="str">
            <v>battleFactionRelation중립</v>
          </cell>
          <cell r="B1301" t="str">
            <v>battleFactionRelation</v>
          </cell>
          <cell r="C1301" t="str">
            <v>중립</v>
          </cell>
          <cell r="D1301">
            <v>0</v>
          </cell>
        </row>
        <row r="1302">
          <cell r="A1302" t="str">
            <v>battleFactionRelation우호</v>
          </cell>
          <cell r="B1302" t="str">
            <v>battleFactionRelation</v>
          </cell>
          <cell r="C1302" t="str">
            <v>우호</v>
          </cell>
          <cell r="D1302">
            <v>1</v>
          </cell>
        </row>
        <row r="1303">
          <cell r="A1303" t="str">
            <v>battleFactionRelation적대</v>
          </cell>
          <cell r="B1303" t="str">
            <v>battleFactionRelation</v>
          </cell>
          <cell r="C1303" t="str">
            <v>적대</v>
          </cell>
          <cell r="D1303">
            <v>2</v>
          </cell>
        </row>
        <row r="1304">
          <cell r="A1304" t="str">
            <v>reasonForDeathType포격</v>
          </cell>
          <cell r="B1304" t="str">
            <v>reasonForDeathType</v>
          </cell>
          <cell r="C1304" t="str">
            <v>포격</v>
          </cell>
          <cell r="D1304">
            <v>1</v>
          </cell>
        </row>
        <row r="1305">
          <cell r="A1305" t="str">
            <v>reasonForDeathType백병</v>
          </cell>
          <cell r="B1305" t="str">
            <v>reasonForDeathType</v>
          </cell>
          <cell r="C1305" t="str">
            <v>백병</v>
          </cell>
          <cell r="D1305">
            <v>2</v>
          </cell>
        </row>
        <row r="1306">
          <cell r="A1306" t="str">
            <v>reasonForDeathType결투</v>
          </cell>
          <cell r="B1306" t="str">
            <v>reasonForDeathType</v>
          </cell>
          <cell r="C1306" t="str">
            <v>결투</v>
          </cell>
          <cell r="D1306">
            <v>3</v>
          </cell>
        </row>
        <row r="1307">
          <cell r="A1307" t="str">
            <v>reasonForDeathType충파</v>
          </cell>
          <cell r="B1307" t="str">
            <v>reasonForDeathType</v>
          </cell>
          <cell r="C1307" t="str">
            <v>충파</v>
          </cell>
          <cell r="D1307">
            <v>4</v>
          </cell>
        </row>
        <row r="1308">
          <cell r="A1308" t="str">
            <v>pushType로컬</v>
          </cell>
          <cell r="B1308" t="str">
            <v>pushType</v>
          </cell>
          <cell r="C1308" t="str">
            <v>로컬</v>
          </cell>
          <cell r="D1308">
            <v>1</v>
          </cell>
        </row>
        <row r="1309">
          <cell r="A1309" t="str">
            <v>pushType서버</v>
          </cell>
          <cell r="B1309" t="str">
            <v>pushType</v>
          </cell>
          <cell r="C1309" t="str">
            <v>서버</v>
          </cell>
          <cell r="D1309">
            <v>2</v>
          </cell>
        </row>
        <row r="1310">
          <cell r="A1310" t="str">
            <v>pushGroup시스템</v>
          </cell>
          <cell r="B1310" t="str">
            <v>pushGroup</v>
          </cell>
          <cell r="C1310" t="str">
            <v>시스템</v>
          </cell>
          <cell r="D1310">
            <v>1</v>
          </cell>
        </row>
        <row r="1311">
          <cell r="A1311" t="str">
            <v>pushGroup소셜</v>
          </cell>
          <cell r="B1311" t="str">
            <v>pushGroup</v>
          </cell>
          <cell r="C1311" t="str">
            <v>소셜</v>
          </cell>
          <cell r="D1311">
            <v>2</v>
          </cell>
        </row>
        <row r="1312">
          <cell r="A1312" t="str">
            <v>seaAreaType안전 해역</v>
          </cell>
          <cell r="B1312" t="str">
            <v>seaAreaType</v>
          </cell>
          <cell r="C1312" t="str">
            <v>안전 해역</v>
          </cell>
          <cell r="D1312">
            <v>1</v>
          </cell>
        </row>
        <row r="1313">
          <cell r="A1313" t="str">
            <v>seaAreaType위험 해역</v>
          </cell>
          <cell r="B1313" t="str">
            <v>seaAreaType</v>
          </cell>
          <cell r="C1313" t="str">
            <v>위험 해역</v>
          </cell>
          <cell r="D1313">
            <v>2</v>
          </cell>
        </row>
        <row r="1314">
          <cell r="A1314" t="str">
            <v>seaAreaType무법 해역</v>
          </cell>
          <cell r="B1314" t="str">
            <v>seaAreaType</v>
          </cell>
          <cell r="C1314" t="str">
            <v>무법 해역</v>
          </cell>
          <cell r="D1314">
            <v>3</v>
          </cell>
        </row>
        <row r="1315">
          <cell r="A1315" t="str">
            <v>CollectionType동료</v>
          </cell>
          <cell r="B1315" t="str">
            <v>CollectionType</v>
          </cell>
          <cell r="C1315" t="str">
            <v>동료</v>
          </cell>
          <cell r="D1315">
            <v>0</v>
          </cell>
        </row>
        <row r="1316">
          <cell r="A1316" t="str">
            <v>CollectionType장비</v>
          </cell>
          <cell r="B1316" t="str">
            <v>CollectionType</v>
          </cell>
          <cell r="C1316" t="str">
            <v>장비</v>
          </cell>
          <cell r="D1316">
            <v>1</v>
          </cell>
        </row>
        <row r="1317">
          <cell r="A1317" t="str">
            <v>CollectionType부품</v>
          </cell>
          <cell r="B1317" t="str">
            <v>CollectionType</v>
          </cell>
          <cell r="C1317" t="str">
            <v>부품</v>
          </cell>
          <cell r="D1317">
            <v>2</v>
          </cell>
        </row>
        <row r="1318">
          <cell r="A1318" t="str">
            <v>CollectionType선박</v>
          </cell>
          <cell r="B1318" t="str">
            <v>CollectionType</v>
          </cell>
          <cell r="C1318" t="str">
            <v>선박</v>
          </cell>
          <cell r="D1318">
            <v>3</v>
          </cell>
        </row>
        <row r="1319">
          <cell r="A1319" t="str">
            <v>CollectionGradeD</v>
          </cell>
          <cell r="B1319" t="str">
            <v>CollectionGrade</v>
          </cell>
          <cell r="C1319" t="str">
            <v>D</v>
          </cell>
          <cell r="D1319">
            <v>0</v>
          </cell>
        </row>
        <row r="1320">
          <cell r="A1320" t="str">
            <v>CollectionGradeC</v>
          </cell>
          <cell r="B1320" t="str">
            <v>CollectionGrade</v>
          </cell>
          <cell r="C1320" t="str">
            <v>C</v>
          </cell>
          <cell r="D1320">
            <v>1</v>
          </cell>
        </row>
        <row r="1321">
          <cell r="A1321" t="str">
            <v>CollectionGradeB</v>
          </cell>
          <cell r="B1321" t="str">
            <v>CollectionGrade</v>
          </cell>
          <cell r="C1321" t="str">
            <v>B</v>
          </cell>
          <cell r="D1321">
            <v>2</v>
          </cell>
        </row>
        <row r="1322">
          <cell r="A1322" t="str">
            <v>CollectionGradeA</v>
          </cell>
          <cell r="B1322" t="str">
            <v>CollectionGrade</v>
          </cell>
          <cell r="C1322" t="str">
            <v>A</v>
          </cell>
          <cell r="D1322">
            <v>3</v>
          </cell>
        </row>
        <row r="1323">
          <cell r="A1323" t="str">
            <v>CollectionGradeS</v>
          </cell>
          <cell r="B1323" t="str">
            <v>CollectionGrade</v>
          </cell>
          <cell r="C1323" t="str">
            <v>S</v>
          </cell>
          <cell r="D1323">
            <v>4</v>
          </cell>
        </row>
        <row r="1324">
          <cell r="A1324" t="str">
            <v>CollectionGradeSS</v>
          </cell>
          <cell r="B1324" t="str">
            <v>CollectionGrade</v>
          </cell>
          <cell r="C1324" t="str">
            <v>SS</v>
          </cell>
          <cell r="D1324">
            <v>5</v>
          </cell>
        </row>
        <row r="1325">
          <cell r="A1325" t="str">
            <v>CollectionGradeSSS</v>
          </cell>
          <cell r="B1325" t="str">
            <v>CollectionGrade</v>
          </cell>
          <cell r="C1325" t="str">
            <v>SSS</v>
          </cell>
          <cell r="D1325">
            <v>6</v>
          </cell>
        </row>
        <row r="1326">
          <cell r="A1326" t="str">
            <v>shipBlueprintActionType제한 없음</v>
          </cell>
          <cell r="B1326" t="str">
            <v>shipBlueprintActionType</v>
          </cell>
          <cell r="C1326" t="str">
            <v>제한 없음</v>
          </cell>
          <cell r="D1326">
            <v>0</v>
          </cell>
        </row>
        <row r="1327">
          <cell r="A1327" t="str">
            <v>shipBlueprintActionType백병 불가</v>
          </cell>
          <cell r="B1327" t="str">
            <v>shipBlueprintActionType</v>
          </cell>
          <cell r="C1327" t="str">
            <v>백병 불가</v>
          </cell>
          <cell r="D1327">
            <v>1</v>
          </cell>
        </row>
        <row r="1328">
          <cell r="A1328" t="str">
            <v>shipBlueprintActionType결투 불가</v>
          </cell>
          <cell r="B1328" t="str">
            <v>shipBlueprintActionType</v>
          </cell>
          <cell r="C1328" t="str">
            <v>결투 불가</v>
          </cell>
          <cell r="D1328">
            <v>2</v>
          </cell>
        </row>
        <row r="1329">
          <cell r="A1329" t="str">
            <v>shipBlueprintActionType백병&amp;결투 불가</v>
          </cell>
          <cell r="B1329" t="str">
            <v>shipBlueprintActionType</v>
          </cell>
          <cell r="C1329" t="str">
            <v>백병&amp;결투 불가</v>
          </cell>
          <cell r="D1329">
            <v>3</v>
          </cell>
        </row>
        <row r="1330">
          <cell r="A1330" t="str">
            <v>weatherType맑음</v>
          </cell>
          <cell r="B1330" t="str">
            <v>weatherType</v>
          </cell>
          <cell r="C1330" t="str">
            <v>맑음</v>
          </cell>
          <cell r="D1330">
            <v>0</v>
          </cell>
        </row>
        <row r="1331">
          <cell r="A1331" t="str">
            <v>weatherType구름</v>
          </cell>
          <cell r="B1331" t="str">
            <v>weatherType</v>
          </cell>
          <cell r="C1331" t="str">
            <v>구름</v>
          </cell>
          <cell r="D1331">
            <v>1</v>
          </cell>
        </row>
        <row r="1332">
          <cell r="A1332" t="str">
            <v>weatherType비</v>
          </cell>
          <cell r="B1332" t="str">
            <v>weatherType</v>
          </cell>
          <cell r="C1332" t="str">
            <v>비</v>
          </cell>
          <cell r="D1332">
            <v>2</v>
          </cell>
        </row>
        <row r="1333">
          <cell r="A1333" t="str">
            <v>weatherType눈</v>
          </cell>
          <cell r="B1333" t="str">
            <v>weatherType</v>
          </cell>
          <cell r="C1333" t="str">
            <v>눈</v>
          </cell>
          <cell r="D1333">
            <v>3</v>
          </cell>
        </row>
        <row r="1334">
          <cell r="A1334" t="str">
            <v>weatherType황사</v>
          </cell>
          <cell r="B1334" t="str">
            <v>weatherType</v>
          </cell>
          <cell r="C1334" t="str">
            <v>황사</v>
          </cell>
          <cell r="D1334">
            <v>4</v>
          </cell>
        </row>
        <row r="1335">
          <cell r="A1335" t="str">
            <v>eventMissionType과제</v>
          </cell>
          <cell r="B1335" t="str">
            <v>eventMissionType</v>
          </cell>
          <cell r="C1335" t="str">
            <v>과제</v>
          </cell>
          <cell r="D1335">
            <v>1</v>
          </cell>
        </row>
        <row r="1336">
          <cell r="A1336" t="str">
            <v>eventMissionType기본 보상</v>
          </cell>
          <cell r="B1336" t="str">
            <v>eventMissionType</v>
          </cell>
          <cell r="C1336" t="str">
            <v>기본 보상</v>
          </cell>
          <cell r="D1336">
            <v>2</v>
          </cell>
        </row>
        <row r="1337">
          <cell r="A1337" t="str">
            <v>eventMissionType추가 보상</v>
          </cell>
          <cell r="B1337" t="str">
            <v>eventMissionType</v>
          </cell>
          <cell r="C1337" t="str">
            <v>추가 보상</v>
          </cell>
          <cell r="D1337">
            <v>3</v>
          </cell>
        </row>
        <row r="1338">
          <cell r="A1338" t="str">
            <v>LinerShipCostType티켓</v>
          </cell>
          <cell r="B1338" t="str">
            <v>LinerShipCostType</v>
          </cell>
          <cell r="C1338" t="str">
            <v>티켓</v>
          </cell>
          <cell r="D1338">
            <v>1</v>
          </cell>
        </row>
        <row r="1339">
          <cell r="A1339" t="str">
            <v>LinerShipCostType두카트</v>
          </cell>
          <cell r="B1339" t="str">
            <v>LinerShipCostType</v>
          </cell>
          <cell r="C1339" t="str">
            <v>두카트</v>
          </cell>
          <cell r="D1339">
            <v>2</v>
          </cell>
        </row>
        <row r="1340">
          <cell r="A1340" t="str">
            <v>LinerShipCostType레드젬</v>
          </cell>
          <cell r="B1340" t="str">
            <v>LinerShipCostType</v>
          </cell>
          <cell r="C1340" t="str">
            <v>레드젬</v>
          </cell>
          <cell r="D1340">
            <v>3</v>
          </cell>
        </row>
        <row r="1341">
          <cell r="A1341" t="str">
            <v>LinerShipCostType블루젬</v>
          </cell>
          <cell r="B1341" t="str">
            <v>LinerShipCostType</v>
          </cell>
          <cell r="C1341" t="str">
            <v>블루젬</v>
          </cell>
          <cell r="D1341">
            <v>4</v>
          </cell>
        </row>
        <row r="1342">
          <cell r="A1342" t="str">
            <v>DiscoveryRelateItemType아이템</v>
          </cell>
          <cell r="B1342" t="str">
            <v>DiscoveryRelateItemType</v>
          </cell>
          <cell r="C1342" t="str">
            <v>아이템</v>
          </cell>
          <cell r="D1342">
            <v>1</v>
          </cell>
        </row>
        <row r="1343">
          <cell r="A1343" t="str">
            <v>DiscoveryRelateItemType장비</v>
          </cell>
          <cell r="B1343" t="str">
            <v>DiscoveryRelateItemType</v>
          </cell>
          <cell r="C1343" t="str">
            <v>장비</v>
          </cell>
          <cell r="D1343">
            <v>2</v>
          </cell>
        </row>
        <row r="1344">
          <cell r="A1344" t="str">
            <v>spawnOwnerType서버</v>
          </cell>
          <cell r="B1344" t="str">
            <v>spawnOwnerType</v>
          </cell>
          <cell r="C1344" t="str">
            <v>서버</v>
          </cell>
          <cell r="D1344">
            <v>1</v>
          </cell>
        </row>
        <row r="1345">
          <cell r="A1345" t="str">
            <v>spawnOwnerType클라</v>
          </cell>
          <cell r="B1345" t="str">
            <v>spawnOwnerType</v>
          </cell>
          <cell r="C1345" t="str">
            <v>클라</v>
          </cell>
          <cell r="D1345">
            <v>2</v>
          </cell>
        </row>
        <row r="1346">
          <cell r="A1346" t="str">
            <v>SpecialStat포격술 전문 지식</v>
          </cell>
          <cell r="B1346" t="str">
            <v>SpecialStat</v>
          </cell>
          <cell r="C1346" t="str">
            <v>포격술 전문 지식</v>
          </cell>
          <cell r="D1346">
            <v>1</v>
          </cell>
        </row>
        <row r="1347">
          <cell r="A1347" t="str">
            <v>SpecialStat충파술 전문 지식</v>
          </cell>
          <cell r="B1347" t="str">
            <v>SpecialStat</v>
          </cell>
          <cell r="C1347" t="str">
            <v>충파술 전문 지식</v>
          </cell>
          <cell r="D1347">
            <v>2</v>
          </cell>
        </row>
        <row r="1348">
          <cell r="A1348" t="str">
            <v>SpecialStat지원술 전문 지식</v>
          </cell>
          <cell r="B1348" t="str">
            <v>SpecialStat</v>
          </cell>
          <cell r="C1348" t="str">
            <v>지원술 전문 지식</v>
          </cell>
          <cell r="D1348">
            <v>3</v>
          </cell>
        </row>
        <row r="1349">
          <cell r="A1349" t="str">
            <v>SpecialStat백병술 전문 지식</v>
          </cell>
          <cell r="B1349" t="str">
            <v>SpecialStat</v>
          </cell>
          <cell r="C1349" t="str">
            <v>백병술 전문 지식</v>
          </cell>
          <cell r="D1349">
            <v>4</v>
          </cell>
        </row>
        <row r="1350">
          <cell r="A1350" t="str">
            <v>SpecialStat구매 전문 지식</v>
          </cell>
          <cell r="B1350" t="str">
            <v>SpecialStat</v>
          </cell>
          <cell r="C1350" t="str">
            <v>구매 전문 지식</v>
          </cell>
          <cell r="D1350">
            <v>5</v>
          </cell>
        </row>
        <row r="1351">
          <cell r="A1351" t="str">
            <v>SpecialStat판매 전문 지식</v>
          </cell>
          <cell r="B1351" t="str">
            <v>SpecialStat</v>
          </cell>
          <cell r="C1351" t="str">
            <v>판매 전문 지식</v>
          </cell>
          <cell r="D1351">
            <v>6</v>
          </cell>
        </row>
        <row r="1352">
          <cell r="A1352" t="str">
            <v>SpecialStat협상 전문 지식</v>
          </cell>
          <cell r="B1352" t="str">
            <v>SpecialStat</v>
          </cell>
          <cell r="C1352" t="str">
            <v>협상 전문 지식</v>
          </cell>
          <cell r="D1352">
            <v>7</v>
          </cell>
        </row>
        <row r="1353">
          <cell r="A1353" t="str">
            <v>SpecialStat물물 교환 전문 지식</v>
          </cell>
          <cell r="B1353" t="str">
            <v>SpecialStat</v>
          </cell>
          <cell r="C1353" t="str">
            <v>물물 교환 전문 지식</v>
          </cell>
          <cell r="D1353">
            <v>8</v>
          </cell>
        </row>
        <row r="1354">
          <cell r="A1354" t="str">
            <v>SpecialStat박물학 전문 지식</v>
          </cell>
          <cell r="B1354" t="str">
            <v>SpecialStat</v>
          </cell>
          <cell r="C1354" t="str">
            <v>박물학 전문 지식</v>
          </cell>
          <cell r="D1354">
            <v>9</v>
          </cell>
        </row>
        <row r="1355">
          <cell r="A1355" t="str">
            <v>SpecialStat심미학 전문 지식</v>
          </cell>
          <cell r="B1355" t="str">
            <v>SpecialStat</v>
          </cell>
          <cell r="C1355" t="str">
            <v>심미학 전문 지식</v>
          </cell>
          <cell r="D1355">
            <v>10</v>
          </cell>
        </row>
        <row r="1356">
          <cell r="A1356" t="str">
            <v>SpecialStat척후법 전문 지식</v>
          </cell>
          <cell r="B1356" t="str">
            <v>SpecialStat</v>
          </cell>
          <cell r="C1356" t="str">
            <v>척후법 전문 지식</v>
          </cell>
          <cell r="D1356">
            <v>11</v>
          </cell>
        </row>
        <row r="1357">
          <cell r="A1357" t="str">
            <v>SpecialStat보급법 전문 지식</v>
          </cell>
          <cell r="B1357" t="str">
            <v>SpecialStat</v>
          </cell>
          <cell r="C1357" t="str">
            <v>보급법 전문 지식</v>
          </cell>
          <cell r="D1357">
            <v>12</v>
          </cell>
        </row>
        <row r="1358">
          <cell r="A1358" t="str">
            <v>SpecialStatModifier절대값</v>
          </cell>
          <cell r="B1358" t="str">
            <v>SpecialStatModifier</v>
          </cell>
          <cell r="C1358" t="str">
            <v>절대값</v>
          </cell>
          <cell r="D1358">
            <v>1</v>
          </cell>
        </row>
        <row r="1359">
          <cell r="A1359" t="str">
            <v>SpecialStatModifier퍼센트</v>
          </cell>
          <cell r="B1359" t="str">
            <v>SpecialStatModifier</v>
          </cell>
          <cell r="C1359" t="str">
            <v>퍼센트</v>
          </cell>
          <cell r="D1359">
            <v>2</v>
          </cell>
        </row>
        <row r="1360">
          <cell r="A1360" t="str">
            <v>socialAnimationType일반</v>
          </cell>
          <cell r="B1360" t="str">
            <v>socialAnimationType</v>
          </cell>
          <cell r="C1360" t="str">
            <v>일반</v>
          </cell>
          <cell r="D1360">
            <v>0</v>
          </cell>
        </row>
        <row r="1361">
          <cell r="A1361" t="str">
            <v>socialAnimationType지속</v>
          </cell>
          <cell r="B1361" t="str">
            <v>socialAnimationType</v>
          </cell>
          <cell r="C1361" t="str">
            <v>지속</v>
          </cell>
          <cell r="D1361">
            <v>1</v>
          </cell>
        </row>
        <row r="1362">
          <cell r="A1362" t="str">
            <v>SpecialStatJobType모든 전문 지식</v>
          </cell>
          <cell r="B1362" t="str">
            <v>SpecialStatJobType</v>
          </cell>
          <cell r="C1362" t="str">
            <v>모든 전문 지식</v>
          </cell>
          <cell r="D1362">
            <v>0</v>
          </cell>
        </row>
        <row r="1363">
          <cell r="A1363" t="str">
            <v>SpecialStatJobType탐험</v>
          </cell>
          <cell r="B1363" t="str">
            <v>SpecialStatJobType</v>
          </cell>
          <cell r="C1363" t="str">
            <v>탐험</v>
          </cell>
          <cell r="D1363">
            <v>1</v>
          </cell>
        </row>
        <row r="1364">
          <cell r="A1364" t="str">
            <v>SpecialStatJobType교역</v>
          </cell>
          <cell r="B1364" t="str">
            <v>SpecialStatJobType</v>
          </cell>
          <cell r="C1364" t="str">
            <v>교역</v>
          </cell>
          <cell r="D1364">
            <v>2</v>
          </cell>
        </row>
        <row r="1365">
          <cell r="A1365" t="str">
            <v>SpecialStatJobType전투</v>
          </cell>
          <cell r="B1365" t="str">
            <v>SpecialStatJobType</v>
          </cell>
          <cell r="C1365" t="str">
            <v>전투</v>
          </cell>
          <cell r="D1365">
            <v>3</v>
          </cell>
        </row>
        <row r="1366">
          <cell r="A1366" t="str">
            <v>cultureType지중해</v>
          </cell>
          <cell r="B1366" t="str">
            <v>cultureType</v>
          </cell>
          <cell r="C1366" t="str">
            <v>지중해</v>
          </cell>
          <cell r="D1366">
            <v>0</v>
          </cell>
        </row>
        <row r="1367">
          <cell r="A1367" t="str">
            <v>cultureType이슬람</v>
          </cell>
          <cell r="B1367" t="str">
            <v>cultureType</v>
          </cell>
          <cell r="C1367" t="str">
            <v>이슬람</v>
          </cell>
          <cell r="D1367">
            <v>1</v>
          </cell>
        </row>
        <row r="1368">
          <cell r="A1368" t="str">
            <v>cultureType북해</v>
          </cell>
          <cell r="B1368" t="str">
            <v>cultureType</v>
          </cell>
          <cell r="C1368" t="str">
            <v>북해</v>
          </cell>
          <cell r="D1368">
            <v>2</v>
          </cell>
        </row>
        <row r="1369">
          <cell r="A1369" t="str">
            <v>cultureType원주민</v>
          </cell>
          <cell r="B1369" t="str">
            <v>cultureType</v>
          </cell>
          <cell r="C1369" t="str">
            <v>원주민</v>
          </cell>
          <cell r="D1369">
            <v>3</v>
          </cell>
        </row>
        <row r="1370">
          <cell r="A1370" t="str">
            <v>cultureType개척지</v>
          </cell>
          <cell r="B1370" t="str">
            <v>cultureType</v>
          </cell>
          <cell r="C1370" t="str">
            <v>개척지</v>
          </cell>
          <cell r="D1370">
            <v>4</v>
          </cell>
        </row>
        <row r="1371">
          <cell r="A1371" t="str">
            <v>cultureType아메리카원주민</v>
          </cell>
          <cell r="B1371" t="str">
            <v>cultureType</v>
          </cell>
          <cell r="C1371" t="str">
            <v>아메리카원주민</v>
          </cell>
          <cell r="D1371">
            <v>5</v>
          </cell>
        </row>
        <row r="1372">
          <cell r="A1372" t="str">
            <v>cultureType인도</v>
          </cell>
          <cell r="B1372" t="str">
            <v>cultureType</v>
          </cell>
          <cell r="C1372" t="str">
            <v>인도</v>
          </cell>
          <cell r="D1372">
            <v>6</v>
          </cell>
        </row>
        <row r="1373">
          <cell r="A1373" t="str">
            <v>cultureType동남아</v>
          </cell>
          <cell r="B1373" t="str">
            <v>cultureType</v>
          </cell>
          <cell r="C1373" t="str">
            <v>동남아</v>
          </cell>
          <cell r="D1373">
            <v>7</v>
          </cell>
        </row>
        <row r="1374">
          <cell r="A1374" t="str">
            <v>cultureType일본</v>
          </cell>
          <cell r="B1374" t="str">
            <v>cultureType</v>
          </cell>
          <cell r="C1374" t="str">
            <v>일본</v>
          </cell>
          <cell r="D1374">
            <v>8</v>
          </cell>
        </row>
        <row r="1375">
          <cell r="A1375" t="str">
            <v>cultureType조선</v>
          </cell>
          <cell r="B1375" t="str">
            <v>cultureType</v>
          </cell>
          <cell r="C1375" t="str">
            <v>조선</v>
          </cell>
          <cell r="D1375">
            <v>9</v>
          </cell>
        </row>
        <row r="1376">
          <cell r="A1376" t="str">
            <v>cultureType중국</v>
          </cell>
          <cell r="B1376" t="str">
            <v>cultureType</v>
          </cell>
          <cell r="C1376" t="str">
            <v>중국</v>
          </cell>
          <cell r="D1376">
            <v>10</v>
          </cell>
        </row>
        <row r="1377">
          <cell r="A1377" t="str">
            <v>미니게임종류</v>
          </cell>
          <cell r="B1377" t="str">
            <v>minigameKind</v>
          </cell>
          <cell r="C1377" t="str">
            <v>없음</v>
          </cell>
          <cell r="D1377">
            <v>0</v>
          </cell>
        </row>
        <row r="1378">
          <cell r="A1378" t="str">
            <v>미니게임종류</v>
          </cell>
          <cell r="B1378" t="str">
            <v>minigameKind</v>
          </cell>
          <cell r="C1378" t="str">
            <v>홀덤</v>
          </cell>
          <cell r="D1378">
            <v>1</v>
          </cell>
        </row>
        <row r="1379">
          <cell r="A1379" t="str">
            <v>미니게임종류</v>
          </cell>
          <cell r="B1379" t="str">
            <v>minigameKind</v>
          </cell>
          <cell r="C1379" t="str">
            <v>코이코이</v>
          </cell>
          <cell r="D1379">
            <v>2</v>
          </cell>
        </row>
        <row r="1380">
          <cell r="A1380" t="str">
            <v>미니게임종류</v>
          </cell>
          <cell r="B1380" t="str">
            <v>minigameKind</v>
          </cell>
          <cell r="C1380" t="str">
            <v>다이스</v>
          </cell>
          <cell r="D1380">
            <v>3</v>
          </cell>
        </row>
        <row r="1381">
          <cell r="A1381" t="str">
            <v>미니게임종류</v>
          </cell>
          <cell r="B1381" t="str">
            <v>minigameKind</v>
          </cell>
          <cell r="C1381" t="str">
            <v>다트</v>
          </cell>
          <cell r="D1381">
            <v>4</v>
          </cell>
        </row>
        <row r="1382">
          <cell r="A1382" t="str">
            <v>미니게임종류</v>
          </cell>
          <cell r="B1382" t="str">
            <v>minigameKind</v>
          </cell>
          <cell r="C1382" t="str">
            <v>블랙잭</v>
          </cell>
          <cell r="D1382">
            <v>5</v>
          </cell>
        </row>
        <row r="1383">
          <cell r="A1383" t="str">
            <v>미니게임난이도</v>
          </cell>
          <cell r="B1383" t="str">
            <v>minigameLevel</v>
          </cell>
          <cell r="C1383" t="str">
            <v>없음</v>
          </cell>
          <cell r="D1383">
            <v>0</v>
          </cell>
        </row>
        <row r="1384">
          <cell r="A1384" t="str">
            <v>미니게임난이도</v>
          </cell>
          <cell r="B1384" t="str">
            <v>minigameLevel</v>
          </cell>
          <cell r="C1384" t="str">
            <v>쉬움</v>
          </cell>
          <cell r="D1384">
            <v>1</v>
          </cell>
        </row>
        <row r="1385">
          <cell r="A1385" t="str">
            <v>미니게임난이도</v>
          </cell>
          <cell r="B1385" t="str">
            <v>minigameLevel</v>
          </cell>
          <cell r="C1385" t="str">
            <v>보통</v>
          </cell>
          <cell r="D1385">
            <v>2</v>
          </cell>
        </row>
        <row r="1386">
          <cell r="A1386" t="str">
            <v>미니게임난이도</v>
          </cell>
          <cell r="B1386" t="str">
            <v>minigameLevel</v>
          </cell>
          <cell r="C1386" t="str">
            <v>어려움</v>
          </cell>
          <cell r="D1386">
            <v>3</v>
          </cell>
        </row>
        <row r="1387">
          <cell r="A1387" t="str">
            <v>미니게임난이도</v>
          </cell>
          <cell r="B1387" t="str">
            <v>minigameLevel</v>
          </cell>
          <cell r="C1387" t="str">
            <v>매우어려움</v>
          </cell>
          <cell r="D1387">
            <v>4</v>
          </cell>
        </row>
        <row r="1388">
          <cell r="A1388" t="str">
            <v>코이코이패분류1</v>
          </cell>
          <cell r="B1388" t="str">
            <v>koikoiCard1</v>
          </cell>
          <cell r="C1388" t="str">
            <v>없음</v>
          </cell>
          <cell r="D1388">
            <v>0</v>
          </cell>
        </row>
        <row r="1389">
          <cell r="A1389" t="str">
            <v>코이코이패분류1</v>
          </cell>
          <cell r="B1389" t="str">
            <v>koikoiCard1</v>
          </cell>
          <cell r="C1389" t="str">
            <v>광</v>
          </cell>
          <cell r="D1389">
            <v>1</v>
          </cell>
        </row>
        <row r="1390">
          <cell r="A1390" t="str">
            <v>코이코이패분류1</v>
          </cell>
          <cell r="B1390" t="str">
            <v>koikoiCard1</v>
          </cell>
          <cell r="C1390" t="str">
            <v>열끗</v>
          </cell>
          <cell r="D1390">
            <v>2</v>
          </cell>
        </row>
        <row r="1391">
          <cell r="A1391" t="str">
            <v>코이코이패분류1</v>
          </cell>
          <cell r="B1391" t="str">
            <v>koikoiCard1</v>
          </cell>
          <cell r="C1391" t="str">
            <v>띠</v>
          </cell>
          <cell r="D1391">
            <v>3</v>
          </cell>
        </row>
        <row r="1392">
          <cell r="A1392" t="str">
            <v>코이코이패분류1</v>
          </cell>
          <cell r="B1392" t="str">
            <v>koikoiCard1</v>
          </cell>
          <cell r="C1392" t="str">
            <v>피</v>
          </cell>
          <cell r="D1392">
            <v>4</v>
          </cell>
        </row>
        <row r="1393">
          <cell r="A1393" t="str">
            <v>코이코이패분류2</v>
          </cell>
          <cell r="B1393" t="str">
            <v>koikoiCard2</v>
          </cell>
          <cell r="C1393" t="str">
            <v>없음</v>
          </cell>
          <cell r="D1393">
            <v>0</v>
          </cell>
        </row>
        <row r="1394">
          <cell r="A1394" t="str">
            <v>코이코이패분류2</v>
          </cell>
          <cell r="B1394" t="str">
            <v>koikoiCard2</v>
          </cell>
          <cell r="C1394" t="str">
            <v>청단</v>
          </cell>
          <cell r="D1394">
            <v>1</v>
          </cell>
        </row>
        <row r="1395">
          <cell r="A1395" t="str">
            <v>코이코이패분류2</v>
          </cell>
          <cell r="B1395" t="str">
            <v>koikoiCard2</v>
          </cell>
          <cell r="C1395" t="str">
            <v>홍단</v>
          </cell>
          <cell r="D1395">
            <v>2</v>
          </cell>
        </row>
        <row r="1396">
          <cell r="A1396" t="str">
            <v>코이코이패분류2</v>
          </cell>
          <cell r="B1396" t="str">
            <v>koikoiCard2</v>
          </cell>
          <cell r="C1396" t="str">
            <v>비광</v>
          </cell>
          <cell r="D1396">
            <v>3</v>
          </cell>
        </row>
        <row r="1397">
          <cell r="A1397" t="str">
            <v>트럼프카드분류</v>
          </cell>
          <cell r="B1397" t="str">
            <v>trumpCard</v>
          </cell>
          <cell r="C1397" t="str">
            <v>스페이드</v>
          </cell>
          <cell r="D1397">
            <v>1</v>
          </cell>
        </row>
        <row r="1398">
          <cell r="A1398" t="str">
            <v>트럼프카드분류</v>
          </cell>
          <cell r="B1398" t="str">
            <v>trumpCard</v>
          </cell>
          <cell r="C1398" t="str">
            <v>다이아</v>
          </cell>
          <cell r="D1398">
            <v>2</v>
          </cell>
        </row>
        <row r="1399">
          <cell r="A1399" t="str">
            <v>트럼프카드분류</v>
          </cell>
          <cell r="B1399" t="str">
            <v>trumpCard</v>
          </cell>
          <cell r="C1399" t="str">
            <v>하트</v>
          </cell>
          <cell r="D1399">
            <v>3</v>
          </cell>
        </row>
        <row r="1400">
          <cell r="A1400" t="str">
            <v>트럼프카드분류</v>
          </cell>
          <cell r="B1400" t="str">
            <v>trumpCard</v>
          </cell>
          <cell r="C1400" t="str">
            <v>클로버</v>
          </cell>
          <cell r="D1400">
            <v>4</v>
          </cell>
        </row>
        <row r="1401">
          <cell r="A1401" t="str">
            <v>홀덤족보리스트</v>
          </cell>
          <cell r="B1401" t="str">
            <v>holdumRankList</v>
          </cell>
          <cell r="C1401" t="str">
            <v>없음</v>
          </cell>
          <cell r="D1401">
            <v>0</v>
          </cell>
        </row>
        <row r="1402">
          <cell r="A1402" t="str">
            <v>홀덤족보리스트</v>
          </cell>
          <cell r="B1402" t="str">
            <v>holdumRankList</v>
          </cell>
          <cell r="C1402" t="str">
            <v>로열스트레이트플러쉬</v>
          </cell>
          <cell r="D1402">
            <v>1</v>
          </cell>
        </row>
        <row r="1403">
          <cell r="A1403" t="str">
            <v>홀덤족보리스트</v>
          </cell>
          <cell r="B1403" t="str">
            <v>holdumRankList</v>
          </cell>
          <cell r="C1403" t="str">
            <v>스트레이트플러쉬</v>
          </cell>
          <cell r="D1403">
            <v>2</v>
          </cell>
        </row>
        <row r="1404">
          <cell r="A1404" t="str">
            <v>홀덤족보리스트</v>
          </cell>
          <cell r="B1404" t="str">
            <v>holdumRankList</v>
          </cell>
          <cell r="C1404" t="str">
            <v>포카드</v>
          </cell>
          <cell r="D1404">
            <v>3</v>
          </cell>
        </row>
        <row r="1405">
          <cell r="A1405" t="str">
            <v>홀덤족보리스트</v>
          </cell>
          <cell r="B1405" t="str">
            <v>holdumRankList</v>
          </cell>
          <cell r="C1405" t="str">
            <v>풀하우스</v>
          </cell>
          <cell r="D1405">
            <v>4</v>
          </cell>
        </row>
        <row r="1406">
          <cell r="A1406" t="str">
            <v>홀덤족보리스트</v>
          </cell>
          <cell r="B1406" t="str">
            <v>holdumRankList</v>
          </cell>
          <cell r="C1406" t="str">
            <v>플러쉬</v>
          </cell>
          <cell r="D1406">
            <v>5</v>
          </cell>
        </row>
        <row r="1407">
          <cell r="A1407" t="str">
            <v>홀덤족보리스트</v>
          </cell>
          <cell r="B1407" t="str">
            <v>holdumRankList</v>
          </cell>
          <cell r="C1407" t="str">
            <v>스트레이트</v>
          </cell>
          <cell r="D1407">
            <v>6</v>
          </cell>
        </row>
        <row r="1408">
          <cell r="A1408" t="str">
            <v>홀덤족보리스트</v>
          </cell>
          <cell r="B1408" t="str">
            <v>holdumRankList</v>
          </cell>
          <cell r="C1408" t="str">
            <v>트리플</v>
          </cell>
          <cell r="D1408">
            <v>7</v>
          </cell>
        </row>
        <row r="1409">
          <cell r="A1409" t="str">
            <v>홀덤족보리스트</v>
          </cell>
          <cell r="B1409" t="str">
            <v>holdumRankList</v>
          </cell>
          <cell r="C1409" t="str">
            <v>투페어</v>
          </cell>
          <cell r="D1409">
            <v>8</v>
          </cell>
        </row>
        <row r="1410">
          <cell r="A1410" t="str">
            <v>홀덤족보리스트</v>
          </cell>
          <cell r="B1410" t="str">
            <v>holdumRankList</v>
          </cell>
          <cell r="C1410" t="str">
            <v>원페어</v>
          </cell>
          <cell r="D1410">
            <v>9</v>
          </cell>
        </row>
        <row r="1411">
          <cell r="A1411" t="str">
            <v>홀덤족보리스트</v>
          </cell>
          <cell r="B1411" t="str">
            <v>holdumRankList</v>
          </cell>
          <cell r="C1411" t="str">
            <v>하이카드</v>
          </cell>
          <cell r="D1411">
            <v>10</v>
          </cell>
        </row>
        <row r="1412">
          <cell r="A1412" t="str">
            <v>트럼프카드족보구분</v>
          </cell>
          <cell r="B1412" t="str">
            <v>trumpCheck</v>
          </cell>
          <cell r="C1412" t="str">
            <v>없음</v>
          </cell>
          <cell r="D1412">
            <v>0</v>
          </cell>
        </row>
        <row r="1413">
          <cell r="A1413" t="str">
            <v>트럼프카드족보구분</v>
          </cell>
          <cell r="B1413" t="str">
            <v>trumpCheck</v>
          </cell>
          <cell r="C1413" t="str">
            <v>무늬같음</v>
          </cell>
          <cell r="D1413">
            <v>1</v>
          </cell>
        </row>
        <row r="1414">
          <cell r="A1414" t="str">
            <v>트럼프카드족보구분</v>
          </cell>
          <cell r="B1414" t="str">
            <v>trumpCheck</v>
          </cell>
          <cell r="C1414" t="str">
            <v>숫자같음</v>
          </cell>
          <cell r="D1414">
            <v>2</v>
          </cell>
        </row>
        <row r="1415">
          <cell r="A1415" t="str">
            <v>트럼프카드족보구분</v>
          </cell>
          <cell r="B1415" t="str">
            <v>trumpCheck</v>
          </cell>
          <cell r="C1415" t="str">
            <v>특수1</v>
          </cell>
          <cell r="D1415">
            <v>3</v>
          </cell>
        </row>
        <row r="1416">
          <cell r="A1416" t="str">
            <v>트럼프카드족보구분</v>
          </cell>
          <cell r="B1416" t="str">
            <v>trumpCheck</v>
          </cell>
          <cell r="C1416" t="str">
            <v>특수2</v>
          </cell>
          <cell r="D1416">
            <v>4</v>
          </cell>
        </row>
        <row r="1417">
          <cell r="A1417" t="str">
            <v>트럼프카드족보구분</v>
          </cell>
          <cell r="B1417" t="str">
            <v>trumpCheck</v>
          </cell>
          <cell r="C1417" t="str">
            <v>무늬다름</v>
          </cell>
          <cell r="D1417">
            <v>5</v>
          </cell>
        </row>
        <row r="1418">
          <cell r="A1418" t="str">
            <v>다이스족보리스트</v>
          </cell>
          <cell r="B1418" t="str">
            <v>diceRankList</v>
          </cell>
          <cell r="C1418" t="str">
            <v>없음</v>
          </cell>
          <cell r="D1418">
            <v>0</v>
          </cell>
        </row>
        <row r="1419">
          <cell r="A1419" t="str">
            <v>다이스족보리스트</v>
          </cell>
          <cell r="B1419" t="str">
            <v>diceRankList</v>
          </cell>
          <cell r="C1419" t="str">
            <v>파이브 다이스</v>
          </cell>
          <cell r="D1419">
            <v>1</v>
          </cell>
        </row>
        <row r="1420">
          <cell r="A1420" t="str">
            <v>다이스족보리스트</v>
          </cell>
          <cell r="B1420" t="str">
            <v>diceRankList</v>
          </cell>
          <cell r="C1420" t="str">
            <v>포 다이스</v>
          </cell>
          <cell r="D1420">
            <v>2</v>
          </cell>
        </row>
        <row r="1421">
          <cell r="A1421" t="str">
            <v>다이스족보리스트</v>
          </cell>
          <cell r="B1421" t="str">
            <v>diceRankList</v>
          </cell>
          <cell r="C1421" t="str">
            <v>풀 하우스</v>
          </cell>
          <cell r="D1421">
            <v>3</v>
          </cell>
        </row>
        <row r="1422">
          <cell r="A1422" t="str">
            <v>다이스족보리스트</v>
          </cell>
          <cell r="B1422" t="str">
            <v>diceRankList</v>
          </cell>
          <cell r="C1422" t="str">
            <v>쓰리 다이스</v>
          </cell>
          <cell r="D1422">
            <v>4</v>
          </cell>
        </row>
        <row r="1423">
          <cell r="A1423" t="str">
            <v>다이스족보리스트</v>
          </cell>
          <cell r="B1423" t="str">
            <v>diceRankList</v>
          </cell>
          <cell r="C1423" t="str">
            <v>투 페어</v>
          </cell>
          <cell r="D1423">
            <v>5</v>
          </cell>
        </row>
        <row r="1424">
          <cell r="A1424" t="str">
            <v>다이스족보리스트</v>
          </cell>
          <cell r="B1424" t="str">
            <v>diceRankList</v>
          </cell>
          <cell r="C1424" t="str">
            <v>원 페어</v>
          </cell>
          <cell r="D1424">
            <v>6</v>
          </cell>
        </row>
        <row r="1425">
          <cell r="A1425" t="str">
            <v>다이스족보구분</v>
          </cell>
          <cell r="B1425" t="str">
            <v>diceCheck</v>
          </cell>
          <cell r="C1425" t="str">
            <v>없음</v>
          </cell>
          <cell r="D1425">
            <v>0</v>
          </cell>
        </row>
        <row r="1426">
          <cell r="A1426" t="str">
            <v>다이스족보구분</v>
          </cell>
          <cell r="B1426" t="str">
            <v>diceCheck</v>
          </cell>
          <cell r="C1426" t="str">
            <v>같은눈금</v>
          </cell>
          <cell r="D1426">
            <v>1</v>
          </cell>
        </row>
        <row r="1427">
          <cell r="A1427" t="str">
            <v>다이스족보구분</v>
          </cell>
          <cell r="B1427" t="str">
            <v>diceCheck</v>
          </cell>
          <cell r="C1427" t="str">
            <v>특수3</v>
          </cell>
          <cell r="D1427">
            <v>2</v>
          </cell>
        </row>
        <row r="1428">
          <cell r="A1428" t="str">
            <v>다이스족보구분</v>
          </cell>
          <cell r="B1428" t="str">
            <v>diceCheck</v>
          </cell>
          <cell r="C1428" t="str">
            <v>특수4</v>
          </cell>
          <cell r="D1428">
            <v>3</v>
          </cell>
        </row>
        <row r="1429">
          <cell r="A1429" t="str">
            <v>다트판구분</v>
          </cell>
          <cell r="B1429" t="str">
            <v>dartPoint</v>
          </cell>
          <cell r="C1429" t="str">
            <v>무효</v>
          </cell>
          <cell r="D1429">
            <v>0</v>
          </cell>
        </row>
        <row r="1430">
          <cell r="A1430" t="str">
            <v>다트판구분</v>
          </cell>
          <cell r="B1430" t="str">
            <v>dartPoint</v>
          </cell>
          <cell r="C1430" t="str">
            <v>SINGLE</v>
          </cell>
          <cell r="D1430">
            <v>1</v>
          </cell>
        </row>
        <row r="1431">
          <cell r="A1431" t="str">
            <v>다트판구분</v>
          </cell>
          <cell r="B1431" t="str">
            <v>dartPoint</v>
          </cell>
          <cell r="C1431" t="str">
            <v>DOUBLE</v>
          </cell>
          <cell r="D1431">
            <v>2</v>
          </cell>
        </row>
        <row r="1432">
          <cell r="A1432" t="str">
            <v>다트판구분</v>
          </cell>
          <cell r="B1432" t="str">
            <v>dartPoint</v>
          </cell>
          <cell r="C1432" t="str">
            <v>TRIPLE</v>
          </cell>
          <cell r="D1432">
            <v>3</v>
          </cell>
        </row>
        <row r="1433">
          <cell r="A1433" t="str">
            <v>다트판구분</v>
          </cell>
          <cell r="B1433" t="str">
            <v>dartPoint</v>
          </cell>
          <cell r="C1433" t="str">
            <v>BULL</v>
          </cell>
          <cell r="D1433">
            <v>4</v>
          </cell>
        </row>
        <row r="1434">
          <cell r="A1434" t="str">
            <v>미니게임항해사호감도</v>
          </cell>
          <cell r="B1434" t="str">
            <v>minigameLikeGrade</v>
          </cell>
          <cell r="C1434" t="str">
            <v>싫어함</v>
          </cell>
          <cell r="D1434">
            <v>1</v>
          </cell>
        </row>
        <row r="1435">
          <cell r="A1435" t="str">
            <v>미니게임항해사호감도</v>
          </cell>
          <cell r="B1435" t="str">
            <v>minigameLikeGrade</v>
          </cell>
          <cell r="C1435" t="str">
            <v>보통</v>
          </cell>
          <cell r="D1435">
            <v>2</v>
          </cell>
        </row>
        <row r="1436">
          <cell r="A1436" t="str">
            <v>미니게임항해사호감도</v>
          </cell>
          <cell r="B1436" t="str">
            <v>minigameLikeGrade</v>
          </cell>
          <cell r="C1436" t="str">
            <v>좋아함</v>
          </cell>
          <cell r="D1436">
            <v>3</v>
          </cell>
        </row>
        <row r="1437">
          <cell r="A1437" t="str">
            <v>PubStaffChatType존댓말</v>
          </cell>
          <cell r="B1437" t="str">
            <v>PubStaffChatType</v>
          </cell>
          <cell r="C1437" t="str">
            <v>존댓말</v>
          </cell>
          <cell r="D1437">
            <v>0</v>
          </cell>
        </row>
        <row r="1438">
          <cell r="A1438" t="str">
            <v>PubStaffChatType반말</v>
          </cell>
          <cell r="B1438" t="str">
            <v>PubStaffChatType</v>
          </cell>
          <cell r="C1438" t="str">
            <v>반말</v>
          </cell>
          <cell r="D1438">
            <v>1</v>
          </cell>
        </row>
        <row r="1439">
          <cell r="A1439" t="str">
            <v>overrideType=</v>
          </cell>
          <cell r="B1439" t="str">
            <v>overrideType</v>
          </cell>
          <cell r="C1439" t="str">
            <v>=</v>
          </cell>
          <cell r="D1439">
            <v>1</v>
          </cell>
        </row>
        <row r="1440">
          <cell r="A1440" t="str">
            <v>overrideType+</v>
          </cell>
          <cell r="B1440" t="str">
            <v>overrideType</v>
          </cell>
          <cell r="C1440" t="str">
            <v>+</v>
          </cell>
          <cell r="D1440">
            <v>2</v>
          </cell>
        </row>
        <row r="1441">
          <cell r="A1441" t="str">
            <v>overrideType*</v>
          </cell>
          <cell r="B1441" t="str">
            <v>overrideType</v>
          </cell>
          <cell r="C1441" t="str">
            <v>*</v>
          </cell>
          <cell r="D1441">
            <v>3</v>
          </cell>
        </row>
        <row r="1442">
          <cell r="A1442" t="str">
            <v>questItemType이미지</v>
          </cell>
          <cell r="B1442" t="str">
            <v>questItemType</v>
          </cell>
          <cell r="C1442" t="str">
            <v>이미지</v>
          </cell>
          <cell r="D1442">
            <v>0</v>
          </cell>
        </row>
        <row r="1443">
          <cell r="A1443" t="str">
            <v>questItemType편지</v>
          </cell>
          <cell r="B1443" t="str">
            <v>questItemType</v>
          </cell>
          <cell r="C1443" t="str">
            <v>편지</v>
          </cell>
          <cell r="D1443">
            <v>1</v>
          </cell>
        </row>
        <row r="1444">
          <cell r="A1444" t="str">
            <v>shipyardShopType부품</v>
          </cell>
          <cell r="B1444" t="str">
            <v>shipyardShopType</v>
          </cell>
          <cell r="C1444" t="str">
            <v>부품</v>
          </cell>
          <cell r="D1444">
            <v>1</v>
          </cell>
        </row>
        <row r="1445">
          <cell r="A1445" t="str">
            <v>shipyardShopType아이템</v>
          </cell>
          <cell r="B1445" t="str">
            <v>shipyardShopType</v>
          </cell>
          <cell r="C1445" t="str">
            <v>아이템</v>
          </cell>
          <cell r="D1445">
            <v>2</v>
          </cell>
        </row>
        <row r="1446">
          <cell r="A1446" t="str">
            <v>rarity없음</v>
          </cell>
          <cell r="B1446" t="str">
            <v>rarity</v>
          </cell>
          <cell r="C1446" t="str">
            <v>없음</v>
          </cell>
          <cell r="D1446">
            <v>0</v>
          </cell>
        </row>
        <row r="1447">
          <cell r="A1447" t="str">
            <v>rarity커먼</v>
          </cell>
          <cell r="B1447" t="str">
            <v>rarity</v>
          </cell>
          <cell r="C1447" t="str">
            <v>커먼</v>
          </cell>
          <cell r="D1447">
            <v>1</v>
          </cell>
        </row>
        <row r="1448">
          <cell r="A1448" t="str">
            <v>rarity언커먼</v>
          </cell>
          <cell r="B1448" t="str">
            <v>rarity</v>
          </cell>
          <cell r="C1448" t="str">
            <v>언커먼</v>
          </cell>
          <cell r="D1448">
            <v>2</v>
          </cell>
        </row>
        <row r="1449">
          <cell r="A1449" t="str">
            <v>rarity레어</v>
          </cell>
          <cell r="B1449" t="str">
            <v>rarity</v>
          </cell>
          <cell r="C1449" t="str">
            <v>레어</v>
          </cell>
          <cell r="D1449">
            <v>3</v>
          </cell>
        </row>
        <row r="1450">
          <cell r="A1450" t="str">
            <v>rarity유니크</v>
          </cell>
          <cell r="B1450" t="str">
            <v>rarity</v>
          </cell>
          <cell r="C1450" t="str">
            <v>유니크</v>
          </cell>
          <cell r="D1450">
            <v>4</v>
          </cell>
        </row>
        <row r="1451">
          <cell r="A1451" t="str">
            <v>rarity에픽</v>
          </cell>
          <cell r="B1451" t="str">
            <v>rarity</v>
          </cell>
          <cell r="C1451" t="str">
            <v>에픽</v>
          </cell>
          <cell r="D1451">
            <v>5</v>
          </cell>
        </row>
        <row r="1452">
          <cell r="A1452" t="str">
            <v>adventureStat없음</v>
          </cell>
          <cell r="B1452" t="str">
            <v>adventureStat</v>
          </cell>
          <cell r="C1452" t="str">
            <v>없음</v>
          </cell>
          <cell r="D1452">
            <v>0</v>
          </cell>
        </row>
        <row r="1453">
          <cell r="A1453" t="str">
            <v>adventureStat전투력</v>
          </cell>
          <cell r="B1453" t="str">
            <v>adventureStat</v>
          </cell>
          <cell r="C1453" t="str">
            <v>전투력</v>
          </cell>
          <cell r="D1453">
            <v>1</v>
          </cell>
        </row>
        <row r="1454">
          <cell r="A1454" t="str">
            <v>adventureStat탐색력</v>
          </cell>
          <cell r="B1454" t="str">
            <v>adventureStat</v>
          </cell>
          <cell r="C1454" t="str">
            <v>탐색력</v>
          </cell>
          <cell r="D1454">
            <v>2</v>
          </cell>
        </row>
        <row r="1455">
          <cell r="A1455" t="str">
            <v>adventureStat채집력</v>
          </cell>
          <cell r="B1455" t="str">
            <v>adventureStat</v>
          </cell>
          <cell r="C1455" t="str">
            <v>채집력</v>
          </cell>
          <cell r="D1455">
            <v>3</v>
          </cell>
        </row>
        <row r="1456">
          <cell r="A1456" t="str">
            <v>adventureStat집중력</v>
          </cell>
          <cell r="B1456" t="str">
            <v>adventureStat</v>
          </cell>
          <cell r="C1456" t="str">
            <v>집중력</v>
          </cell>
          <cell r="D1456">
            <v>4</v>
          </cell>
        </row>
        <row r="1457">
          <cell r="A1457" t="str">
            <v>adventureStat기동력</v>
          </cell>
          <cell r="B1457" t="str">
            <v>adventureStat</v>
          </cell>
          <cell r="C1457" t="str">
            <v>기동력</v>
          </cell>
          <cell r="D1457">
            <v>5</v>
          </cell>
        </row>
        <row r="1458">
          <cell r="A1458" t="str">
            <v>adventureStat유지력</v>
          </cell>
          <cell r="B1458" t="str">
            <v>adventureStat</v>
          </cell>
          <cell r="C1458" t="str">
            <v>유지력</v>
          </cell>
          <cell r="D1458">
            <v>6</v>
          </cell>
        </row>
        <row r="1459">
          <cell r="A1459" t="str">
            <v>adventureStat전부</v>
          </cell>
          <cell r="B1459" t="str">
            <v>adventureStat</v>
          </cell>
          <cell r="C1459" t="str">
            <v>전부</v>
          </cell>
          <cell r="D1459">
            <v>7</v>
          </cell>
        </row>
        <row r="1460">
          <cell r="A1460" t="str">
            <v>mathSign없음</v>
          </cell>
          <cell r="B1460" t="str">
            <v>mathSign</v>
          </cell>
          <cell r="C1460" t="str">
            <v>없음</v>
          </cell>
          <cell r="D1460">
            <v>0</v>
          </cell>
        </row>
        <row r="1461">
          <cell r="A1461" t="str">
            <v>mathSign더하기</v>
          </cell>
          <cell r="B1461" t="str">
            <v>mathSign</v>
          </cell>
          <cell r="C1461" t="str">
            <v>더하기</v>
          </cell>
          <cell r="D1461">
            <v>1</v>
          </cell>
        </row>
        <row r="1462">
          <cell r="A1462" t="str">
            <v>mathSign곱하기/10</v>
          </cell>
          <cell r="B1462" t="str">
            <v>mathSign</v>
          </cell>
          <cell r="C1462" t="str">
            <v>곱하기/10</v>
          </cell>
          <cell r="D1462">
            <v>2</v>
          </cell>
        </row>
        <row r="1463">
          <cell r="A1463" t="str">
            <v>mathSign나누기</v>
          </cell>
          <cell r="B1463" t="str">
            <v>mathSign</v>
          </cell>
          <cell r="C1463" t="str">
            <v>나누기</v>
          </cell>
          <cell r="D1463">
            <v>3</v>
          </cell>
        </row>
        <row r="1464">
          <cell r="A1464" t="str">
            <v>mathSign대체</v>
          </cell>
          <cell r="B1464" t="str">
            <v>mathSign</v>
          </cell>
          <cell r="C1464" t="str">
            <v>대체</v>
          </cell>
          <cell r="D1464">
            <v>4</v>
          </cell>
        </row>
        <row r="1465">
          <cell r="A1465" t="str">
            <v>adventureSpecialEffectFunc없음</v>
          </cell>
          <cell r="B1465" t="str">
            <v>adventureSpecialEffectFunc</v>
          </cell>
          <cell r="C1465" t="str">
            <v>없음</v>
          </cell>
          <cell r="D1465">
            <v>0</v>
          </cell>
        </row>
        <row r="1466">
          <cell r="A1466" t="str">
            <v>adventureSpecialEffectFunc특수 효과 제거</v>
          </cell>
          <cell r="B1466" t="str">
            <v>adventureSpecialEffectFunc</v>
          </cell>
          <cell r="C1466" t="str">
            <v>특수 효과 제거</v>
          </cell>
          <cell r="D1466">
            <v>1</v>
          </cell>
        </row>
        <row r="1467">
          <cell r="A1467" t="str">
            <v>adventureSpecialEffectFunc발견물 확률 변경</v>
          </cell>
          <cell r="B1467" t="str">
            <v>adventureSpecialEffectFunc</v>
          </cell>
          <cell r="C1467" t="str">
            <v>발견물 확률 변경</v>
          </cell>
          <cell r="D1467">
            <v>2</v>
          </cell>
        </row>
        <row r="1468">
          <cell r="A1468" t="str">
            <v>adventureSpecialEffectFunc리워드 확률 변경</v>
          </cell>
          <cell r="B1468" t="str">
            <v>adventureSpecialEffectFunc</v>
          </cell>
          <cell r="C1468" t="str">
            <v>리워드 확률 변경</v>
          </cell>
          <cell r="D1468">
            <v>3</v>
          </cell>
        </row>
        <row r="1469">
          <cell r="A1469" t="str">
            <v>adventureSpecialEffectFunc리워드 수량 변경</v>
          </cell>
          <cell r="B1469" t="str">
            <v>adventureSpecialEffectFunc</v>
          </cell>
          <cell r="C1469" t="str">
            <v>리워드 수량 변경</v>
          </cell>
          <cell r="D1469">
            <v>4</v>
          </cell>
        </row>
        <row r="1470">
          <cell r="A1470" t="str">
            <v>adventureSpecialEffectFunc무조건 승리</v>
          </cell>
          <cell r="B1470" t="str">
            <v>adventureSpecialEffectFunc</v>
          </cell>
          <cell r="C1470" t="str">
            <v>무조건 승리</v>
          </cell>
          <cell r="D1470">
            <v>5</v>
          </cell>
        </row>
        <row r="1471">
          <cell r="A1471" t="str">
            <v>adventureSpecialEffectFunc무조건 패배</v>
          </cell>
          <cell r="B1471" t="str">
            <v>adventureSpecialEffectFunc</v>
          </cell>
          <cell r="C1471" t="str">
            <v>무조건 패배</v>
          </cell>
          <cell r="D1471">
            <v>6</v>
          </cell>
        </row>
        <row r="1472">
          <cell r="A1472" t="str">
            <v>adventureSpecialEffectFunc모험 도구 수량 변경</v>
          </cell>
          <cell r="B1472" t="str">
            <v>adventureSpecialEffectFunc</v>
          </cell>
          <cell r="C1472" t="str">
            <v>모험 도구 수량 변경</v>
          </cell>
          <cell r="D1472">
            <v>7</v>
          </cell>
        </row>
        <row r="1473">
          <cell r="A1473" t="str">
            <v>adventureSpecialEffectFunc인명 피해율 변경</v>
          </cell>
          <cell r="B1473" t="str">
            <v>adventureSpecialEffectFunc</v>
          </cell>
          <cell r="C1473" t="str">
            <v>인명 피해율 변경</v>
          </cell>
          <cell r="D1473">
            <v>8</v>
          </cell>
        </row>
        <row r="1474">
          <cell r="A1474" t="str">
            <v>adventureSpecialEffectFunc기본 자원 확률 변경</v>
          </cell>
          <cell r="B1474" t="str">
            <v>adventureSpecialEffectFunc</v>
          </cell>
          <cell r="C1474" t="str">
            <v>기본 자원 확률 변경</v>
          </cell>
          <cell r="D1474">
            <v>9</v>
          </cell>
        </row>
        <row r="1475">
          <cell r="A1475" t="str">
            <v>adventureSpecialEffectFunc기본 자원 수량 변경</v>
          </cell>
          <cell r="B1475" t="str">
            <v>adventureSpecialEffectFunc</v>
          </cell>
          <cell r="C1475" t="str">
            <v>기본 자원 수량 변경</v>
          </cell>
          <cell r="D1475">
            <v>10</v>
          </cell>
        </row>
        <row r="1476">
          <cell r="A1476" t="str">
            <v>adventureSpecialEffectFunc모험 일수 변경</v>
          </cell>
          <cell r="B1476" t="str">
            <v>adventureSpecialEffectFunc</v>
          </cell>
          <cell r="C1476" t="str">
            <v>모험 일수 변경</v>
          </cell>
          <cell r="D1476">
            <v>11</v>
          </cell>
        </row>
        <row r="1477">
          <cell r="A1477" t="str">
            <v>adventureSpecialEffectFunc항해사 부상 수 변경</v>
          </cell>
          <cell r="B1477" t="str">
            <v>adventureSpecialEffectFunc</v>
          </cell>
          <cell r="C1477" t="str">
            <v>항해사 부상 수 변경</v>
          </cell>
          <cell r="D1477">
            <v>12</v>
          </cell>
        </row>
        <row r="1478">
          <cell r="A1478" t="str">
            <v>adventureSpecialEffectFunc선원 사망 수 변경</v>
          </cell>
          <cell r="B1478" t="str">
            <v>adventureSpecialEffectFunc</v>
          </cell>
          <cell r="C1478" t="str">
            <v>선원 사망 수 변경</v>
          </cell>
          <cell r="D1478">
            <v>13</v>
          </cell>
        </row>
        <row r="1479">
          <cell r="A1479" t="str">
            <v>adventureSpecialEffectFunc보상 확률 변경 무효</v>
          </cell>
          <cell r="B1479" t="str">
            <v>adventureSpecialEffectFunc</v>
          </cell>
          <cell r="C1479" t="str">
            <v>보상 확률 변경 무효</v>
          </cell>
          <cell r="D1479">
            <v>14</v>
          </cell>
        </row>
        <row r="1480">
          <cell r="A1480" t="str">
            <v>adventureSpotType없음</v>
          </cell>
          <cell r="B1480" t="str">
            <v>adventureSpotType</v>
          </cell>
          <cell r="C1480" t="str">
            <v>없음</v>
          </cell>
          <cell r="D1480">
            <v>0</v>
          </cell>
        </row>
        <row r="1481">
          <cell r="A1481" t="str">
            <v>adventureSpotType전투</v>
          </cell>
          <cell r="B1481" t="str">
            <v>adventureSpotType</v>
          </cell>
          <cell r="C1481" t="str">
            <v>전투</v>
          </cell>
          <cell r="D1481">
            <v>1</v>
          </cell>
        </row>
        <row r="1482">
          <cell r="A1482" t="str">
            <v>adventureSpotType탐색</v>
          </cell>
          <cell r="B1482" t="str">
            <v>adventureSpotType</v>
          </cell>
          <cell r="C1482" t="str">
            <v>탐색</v>
          </cell>
          <cell r="D1482">
            <v>2</v>
          </cell>
        </row>
        <row r="1483">
          <cell r="A1483" t="str">
            <v>adventureSpotType채집</v>
          </cell>
          <cell r="B1483" t="str">
            <v>adventureSpotType</v>
          </cell>
          <cell r="C1483" t="str">
            <v>채집</v>
          </cell>
          <cell r="D1483">
            <v>3</v>
          </cell>
        </row>
        <row r="1484">
          <cell r="A1484" t="str">
            <v>adventureSpotType모두</v>
          </cell>
          <cell r="B1484" t="str">
            <v>adventureSpotType</v>
          </cell>
          <cell r="C1484" t="str">
            <v>모두</v>
          </cell>
          <cell r="D1484">
            <v>4</v>
          </cell>
        </row>
        <row r="1485">
          <cell r="A1485" t="str">
            <v>adventureSpotType마지막</v>
          </cell>
          <cell r="B1485" t="str">
            <v>adventureSpotType</v>
          </cell>
          <cell r="C1485" t="str">
            <v>마지막</v>
          </cell>
          <cell r="D1485">
            <v>5</v>
          </cell>
        </row>
        <row r="1486">
          <cell r="A1486" t="str">
            <v>adventureSpotType처음</v>
          </cell>
          <cell r="B1486" t="str">
            <v>adventureSpotType</v>
          </cell>
          <cell r="C1486" t="str">
            <v>처음</v>
          </cell>
          <cell r="D1486">
            <v>6</v>
          </cell>
        </row>
        <row r="1487">
          <cell r="A1487" t="str">
            <v>comparisonMark없음</v>
          </cell>
          <cell r="B1487" t="str">
            <v>comparisonMark</v>
          </cell>
          <cell r="C1487" t="str">
            <v>없음</v>
          </cell>
          <cell r="D1487">
            <v>0</v>
          </cell>
        </row>
        <row r="1488">
          <cell r="A1488" t="str">
            <v>comparisonMark&lt;</v>
          </cell>
          <cell r="B1488" t="str">
            <v>comparisonMark</v>
          </cell>
          <cell r="C1488" t="str">
            <v>&lt;</v>
          </cell>
          <cell r="D1488">
            <v>1</v>
          </cell>
        </row>
        <row r="1489">
          <cell r="A1489" t="str">
            <v>comparisonMark&lt;=</v>
          </cell>
          <cell r="B1489" t="str">
            <v>comparisonMark</v>
          </cell>
          <cell r="C1489" t="str">
            <v>&lt;=</v>
          </cell>
          <cell r="D1489">
            <v>2</v>
          </cell>
        </row>
        <row r="1490">
          <cell r="A1490" t="str">
            <v>comparisonMark=</v>
          </cell>
          <cell r="B1490" t="str">
            <v>comparisonMark</v>
          </cell>
          <cell r="C1490" t="str">
            <v>=</v>
          </cell>
          <cell r="D1490">
            <v>3</v>
          </cell>
        </row>
        <row r="1491">
          <cell r="A1491" t="str">
            <v>comparisonMark&gt;=</v>
          </cell>
          <cell r="B1491" t="str">
            <v>comparisonMark</v>
          </cell>
          <cell r="C1491" t="str">
            <v>&gt;=</v>
          </cell>
          <cell r="D1491">
            <v>4</v>
          </cell>
        </row>
        <row r="1492">
          <cell r="A1492" t="str">
            <v>comparisonMark&gt;</v>
          </cell>
          <cell r="B1492" t="str">
            <v>comparisonMark</v>
          </cell>
          <cell r="C1492" t="str">
            <v>&gt;</v>
          </cell>
          <cell r="D1492">
            <v>5</v>
          </cell>
        </row>
        <row r="1493">
          <cell r="A1493" t="str">
            <v>animalTypeNone</v>
          </cell>
          <cell r="B1493" t="str">
            <v>animalType</v>
          </cell>
          <cell r="C1493" t="str">
            <v>None</v>
          </cell>
          <cell r="D1493">
            <v>0</v>
          </cell>
        </row>
        <row r="1494">
          <cell r="A1494" t="str">
            <v>animalTypeWolf</v>
          </cell>
          <cell r="B1494" t="str">
            <v>animalType</v>
          </cell>
          <cell r="C1494" t="str">
            <v>Wolf</v>
          </cell>
          <cell r="D1494">
            <v>1</v>
          </cell>
        </row>
        <row r="1495">
          <cell r="A1495" t="str">
            <v>animalTypeBear</v>
          </cell>
          <cell r="B1495" t="str">
            <v>animalType</v>
          </cell>
          <cell r="C1495" t="str">
            <v>Bear</v>
          </cell>
          <cell r="D1495">
            <v>2</v>
          </cell>
        </row>
        <row r="1496">
          <cell r="A1496" t="str">
            <v>animalTypeLeopard</v>
          </cell>
          <cell r="B1496" t="str">
            <v>animalType</v>
          </cell>
          <cell r="C1496" t="str">
            <v>Leopard</v>
          </cell>
          <cell r="D1496">
            <v>3</v>
          </cell>
        </row>
        <row r="1497">
          <cell r="A1497" t="str">
            <v>animalTypeTiger</v>
          </cell>
          <cell r="B1497" t="str">
            <v>animalType</v>
          </cell>
          <cell r="C1497" t="str">
            <v>Tiger</v>
          </cell>
          <cell r="D1497">
            <v>4</v>
          </cell>
        </row>
        <row r="1498">
          <cell r="A1498" t="str">
            <v>animalTypeBubalusArnee</v>
          </cell>
          <cell r="B1498" t="str">
            <v>animalType</v>
          </cell>
          <cell r="C1498" t="str">
            <v>BubalusArnee</v>
          </cell>
          <cell r="D1498">
            <v>5</v>
          </cell>
        </row>
        <row r="1499">
          <cell r="A1499" t="str">
            <v>animalTypeCow</v>
          </cell>
          <cell r="B1499" t="str">
            <v>animalType</v>
          </cell>
          <cell r="C1499" t="str">
            <v>Cow</v>
          </cell>
          <cell r="D1499">
            <v>6</v>
          </cell>
        </row>
        <row r="1500">
          <cell r="A1500" t="str">
            <v>animalTypeSnake</v>
          </cell>
          <cell r="B1500" t="str">
            <v>animalType</v>
          </cell>
          <cell r="C1500" t="str">
            <v>Snake</v>
          </cell>
          <cell r="D1500">
            <v>7</v>
          </cell>
        </row>
        <row r="1501">
          <cell r="A1501" t="str">
            <v>animalTypeDingo</v>
          </cell>
          <cell r="B1501" t="str">
            <v>animalType</v>
          </cell>
          <cell r="C1501" t="str">
            <v>Dingo</v>
          </cell>
          <cell r="D1501">
            <v>8</v>
          </cell>
        </row>
        <row r="1502">
          <cell r="A1502" t="str">
            <v>animalTypeGorilla</v>
          </cell>
          <cell r="B1502" t="str">
            <v>animalType</v>
          </cell>
          <cell r="C1502" t="str">
            <v>Gorilla</v>
          </cell>
          <cell r="D1502">
            <v>9</v>
          </cell>
        </row>
        <row r="1503">
          <cell r="A1503" t="str">
            <v>animalTypeWildBoar</v>
          </cell>
          <cell r="B1503" t="str">
            <v>animalType</v>
          </cell>
          <cell r="C1503" t="str">
            <v>WildBoar</v>
          </cell>
          <cell r="D1503">
            <v>10</v>
          </cell>
        </row>
        <row r="1504">
          <cell r="A1504" t="str">
            <v>animalTypeRaptor</v>
          </cell>
          <cell r="B1504" t="str">
            <v>animalType</v>
          </cell>
          <cell r="C1504" t="str">
            <v>Raptor</v>
          </cell>
          <cell r="D1504">
            <v>11</v>
          </cell>
        </row>
        <row r="1505">
          <cell r="A1505" t="str">
            <v>animalTypeLion</v>
          </cell>
          <cell r="B1505" t="str">
            <v>animalType</v>
          </cell>
          <cell r="C1505" t="str">
            <v>Lion</v>
          </cell>
          <cell r="D1505">
            <v>12</v>
          </cell>
        </row>
        <row r="1506">
          <cell r="A1506" t="str">
            <v>animalTypeBugs</v>
          </cell>
          <cell r="B1506" t="str">
            <v>animalType</v>
          </cell>
          <cell r="C1506" t="str">
            <v>Bugs</v>
          </cell>
          <cell r="D1506">
            <v>13</v>
          </cell>
        </row>
        <row r="1507">
          <cell r="A1507" t="str">
            <v>animalTypeCrocodile</v>
          </cell>
          <cell r="B1507" t="str">
            <v>animalType</v>
          </cell>
          <cell r="C1507" t="str">
            <v>Crocodile</v>
          </cell>
          <cell r="D1507">
            <v>14</v>
          </cell>
        </row>
        <row r="1508">
          <cell r="A1508" t="str">
            <v>animalTypeHippo</v>
          </cell>
          <cell r="B1508" t="str">
            <v>animalType</v>
          </cell>
          <cell r="C1508" t="str">
            <v>Hippo</v>
          </cell>
          <cell r="D1508">
            <v>15</v>
          </cell>
        </row>
        <row r="1509">
          <cell r="A1509" t="str">
            <v>animalTypeFightinChicken</v>
          </cell>
          <cell r="B1509" t="str">
            <v>animalType</v>
          </cell>
          <cell r="C1509" t="str">
            <v>FightinChicken</v>
          </cell>
          <cell r="D1509">
            <v>16</v>
          </cell>
        </row>
        <row r="1510">
          <cell r="A1510" t="str">
            <v>animalTypeOstrich</v>
          </cell>
          <cell r="B1510" t="str">
            <v>animalType</v>
          </cell>
          <cell r="C1510" t="str">
            <v>Ostrich</v>
          </cell>
          <cell r="D1510">
            <v>17</v>
          </cell>
        </row>
        <row r="1511">
          <cell r="A1511" t="str">
            <v>cashShopLimitSaleType장비</v>
          </cell>
          <cell r="B1511" t="str">
            <v>cashShopLimitSaleType</v>
          </cell>
          <cell r="C1511" t="str">
            <v>장비</v>
          </cell>
          <cell r="D1511">
            <v>1</v>
          </cell>
        </row>
        <row r="1512">
          <cell r="A1512" t="str">
            <v>cashShopLimitSaleType아이템</v>
          </cell>
          <cell r="B1512" t="str">
            <v>cashShopLimitSaleType</v>
          </cell>
          <cell r="C1512" t="str">
            <v>아이템</v>
          </cell>
          <cell r="D1512">
            <v>2</v>
          </cell>
        </row>
        <row r="1513">
          <cell r="A1513" t="str">
            <v>cashShopLimitSaleType부품</v>
          </cell>
          <cell r="B1513" t="str">
            <v>cashShopLimitSaleType</v>
          </cell>
          <cell r="C1513" t="str">
            <v>부품</v>
          </cell>
          <cell r="D1513">
            <v>3</v>
          </cell>
        </row>
        <row r="1514">
          <cell r="A1514" t="str">
            <v>cashShopLimitSalePointType무료</v>
          </cell>
          <cell r="B1514" t="str">
            <v>cashShopLimitSalePointType</v>
          </cell>
          <cell r="C1514" t="str">
            <v>무료</v>
          </cell>
          <cell r="D1514">
            <v>1</v>
          </cell>
        </row>
        <row r="1515">
          <cell r="A1515" t="str">
            <v>cashShopLimitSalePointType유료</v>
          </cell>
          <cell r="B1515" t="str">
            <v>cashShopLimitSalePointType</v>
          </cell>
          <cell r="C1515" t="str">
            <v>유료</v>
          </cell>
          <cell r="D1515">
            <v>2</v>
          </cell>
        </row>
        <row r="1516">
          <cell r="A1516" t="str">
            <v>craftCategory부품</v>
          </cell>
          <cell r="B1516" t="str">
            <v>craftCategory</v>
          </cell>
          <cell r="C1516" t="str">
            <v>부품</v>
          </cell>
          <cell r="D1516">
            <v>0</v>
          </cell>
        </row>
        <row r="1517">
          <cell r="A1517" t="str">
            <v>craftCategory장비</v>
          </cell>
          <cell r="B1517" t="str">
            <v>craftCategory</v>
          </cell>
          <cell r="C1517" t="str">
            <v>장비</v>
          </cell>
          <cell r="D1517">
            <v>1</v>
          </cell>
        </row>
        <row r="1518">
          <cell r="A1518" t="str">
            <v>craftCategory도구</v>
          </cell>
          <cell r="B1518" t="str">
            <v>craftCategory</v>
          </cell>
          <cell r="C1518" t="str">
            <v>도구</v>
          </cell>
          <cell r="D1518">
            <v>2</v>
          </cell>
        </row>
        <row r="1519">
          <cell r="A1519" t="str">
            <v>craftResultType확률</v>
          </cell>
          <cell r="B1519" t="str">
            <v>craftResultType</v>
          </cell>
          <cell r="C1519" t="str">
            <v>확률</v>
          </cell>
          <cell r="D1519">
            <v>0</v>
          </cell>
        </row>
        <row r="1520">
          <cell r="A1520" t="str">
            <v>craftResultType비귀속</v>
          </cell>
          <cell r="B1520" t="str">
            <v>craftResultType</v>
          </cell>
          <cell r="C1520" t="str">
            <v>비귀속</v>
          </cell>
          <cell r="D1520">
            <v>1</v>
          </cell>
        </row>
        <row r="1521">
          <cell r="A1521" t="str">
            <v>craftResultType귀속</v>
          </cell>
          <cell r="B1521" t="str">
            <v>craftResultType</v>
          </cell>
          <cell r="C1521" t="str">
            <v>귀속</v>
          </cell>
          <cell r="D1521">
            <v>2</v>
          </cell>
        </row>
        <row r="1522">
          <cell r="A1522" t="str">
            <v>tradeComboDefficultyType쉬움</v>
          </cell>
          <cell r="B1522" t="str">
            <v>tradeComboDefficultyType</v>
          </cell>
          <cell r="C1522" t="str">
            <v>쉬움</v>
          </cell>
          <cell r="D1522">
            <v>0</v>
          </cell>
        </row>
        <row r="1523">
          <cell r="A1523" t="str">
            <v>tradeComboDefficultyType보통</v>
          </cell>
          <cell r="B1523" t="str">
            <v>tradeComboDefficultyType</v>
          </cell>
          <cell r="C1523" t="str">
            <v>보통</v>
          </cell>
          <cell r="D1523">
            <v>1</v>
          </cell>
        </row>
        <row r="1524">
          <cell r="A1524" t="str">
            <v>tradeComboDefficultyType어려움</v>
          </cell>
          <cell r="B1524" t="str">
            <v>tradeComboDefficultyType</v>
          </cell>
          <cell r="C1524" t="str">
            <v>어려움</v>
          </cell>
          <cell r="D1524">
            <v>2</v>
          </cell>
        </row>
        <row r="1525">
          <cell r="A1525" t="str">
            <v>tradeComboTargetType교역품</v>
          </cell>
          <cell r="B1525" t="str">
            <v>tradeComboTargetType</v>
          </cell>
          <cell r="C1525" t="str">
            <v>교역품</v>
          </cell>
          <cell r="D1525">
            <v>0</v>
          </cell>
        </row>
        <row r="1526">
          <cell r="A1526" t="str">
            <v>tradeComboTargetType교역품카테고리</v>
          </cell>
          <cell r="B1526" t="str">
            <v>tradeComboTargetType</v>
          </cell>
          <cell r="C1526" t="str">
            <v>교역품카테고리</v>
          </cell>
          <cell r="D152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6ED4-284A-4EA1-8A21-96F90AC8B797}">
  <sheetPr codeName="Sheet88">
    <tabColor rgb="FFFF0000"/>
  </sheetPr>
  <dimension ref="A1:AA18191"/>
  <sheetViews>
    <sheetView tabSelected="1" topLeftCell="F10" zoomScale="85" zoomScaleNormal="85" workbookViewId="0">
      <selection activeCell="I24" sqref="I24"/>
    </sheetView>
  </sheetViews>
  <sheetFormatPr defaultRowHeight="12.75" x14ac:dyDescent="0.2"/>
  <cols>
    <col min="1" max="1" width="25.5703125" style="15" customWidth="1"/>
    <col min="2" max="2" width="58.7109375" style="15" bestFit="1" customWidth="1"/>
    <col min="3" max="3" width="25.5703125" style="15" customWidth="1"/>
    <col min="4" max="4" width="15.5703125" style="15" customWidth="1"/>
    <col min="5" max="5" width="25.5703125" style="15" customWidth="1"/>
    <col min="6" max="6" width="34.42578125" style="15" bestFit="1" customWidth="1"/>
    <col min="7" max="7" width="50.5703125" style="15" customWidth="1"/>
    <col min="8" max="11" width="25.5703125" style="15" customWidth="1"/>
    <col min="12" max="13" width="10.5703125" bestFit="1" customWidth="1"/>
    <col min="14" max="14" width="12.5703125" bestFit="1" customWidth="1"/>
    <col min="17" max="17" width="13.42578125" bestFit="1" customWidth="1"/>
    <col min="20" max="20" width="31.42578125" customWidth="1"/>
    <col min="21" max="21" width="12.42578125" customWidth="1"/>
    <col min="22" max="22" width="21.42578125" style="15" customWidth="1"/>
    <col min="23" max="16384" width="9.140625" style="15"/>
  </cols>
  <sheetData>
    <row r="1" spans="1:18" ht="13.5" x14ac:dyDescent="0.25">
      <c r="A1" s="1" t="s">
        <v>0</v>
      </c>
      <c r="B1" s="2"/>
      <c r="C1" s="3" t="s">
        <v>1</v>
      </c>
      <c r="D1" s="4"/>
      <c r="E1" s="3" t="s">
        <v>2</v>
      </c>
      <c r="F1" s="2"/>
      <c r="G1" s="5" t="s">
        <v>3</v>
      </c>
      <c r="H1" s="6" t="s">
        <v>4</v>
      </c>
      <c r="I1" s="3" t="s">
        <v>5</v>
      </c>
      <c r="J1" s="6" t="s">
        <v>6</v>
      </c>
      <c r="K1" s="7"/>
    </row>
    <row r="2" spans="1:18" ht="13.5" x14ac:dyDescent="0.25">
      <c r="A2" s="1" t="s">
        <v>7</v>
      </c>
      <c r="B2" s="2"/>
      <c r="C2" s="3" t="s">
        <v>8</v>
      </c>
      <c r="D2" s="4"/>
      <c r="E2" s="3" t="s">
        <v>8</v>
      </c>
      <c r="F2" s="2"/>
      <c r="G2" s="5" t="s">
        <v>8</v>
      </c>
      <c r="H2" s="6" t="s">
        <v>8</v>
      </c>
      <c r="I2" s="3" t="s">
        <v>8</v>
      </c>
      <c r="J2" s="6" t="s">
        <v>8</v>
      </c>
      <c r="K2" s="7"/>
    </row>
    <row r="3" spans="1:18" ht="13.5" x14ac:dyDescent="0.25">
      <c r="A3" s="1" t="s">
        <v>9</v>
      </c>
      <c r="B3" s="2"/>
      <c r="C3" s="3">
        <v>1</v>
      </c>
      <c r="D3" s="4"/>
      <c r="E3" s="3">
        <v>1</v>
      </c>
      <c r="F3" s="2"/>
      <c r="G3" s="5" t="s">
        <v>10</v>
      </c>
      <c r="H3" s="6">
        <v>1</v>
      </c>
      <c r="I3" s="3">
        <v>1</v>
      </c>
      <c r="J3" s="6">
        <v>1</v>
      </c>
      <c r="K3" s="7"/>
    </row>
    <row r="4" spans="1:18" ht="13.5" x14ac:dyDescent="0.25">
      <c r="A4" s="1" t="s">
        <v>11</v>
      </c>
      <c r="B4" s="2"/>
      <c r="C4" s="3">
        <v>1</v>
      </c>
      <c r="D4" s="4"/>
      <c r="E4" s="3">
        <f t="array" ref="E4">MIN(IF([1]_enum!$B:$B=D$7,[1]_enum!$D:$D))</f>
        <v>1</v>
      </c>
      <c r="F4" s="2"/>
      <c r="G4" s="5">
        <f>IF((LEN(G$7)-LEN(SUBSTITUTE(G$7,CHAR(34),"")))/LEN(CHAR(34))&gt;2,1,INDEX([1]TableIndex!$B:$B,MATCH(SUBSTITUTE(G$7,CHAR(34),""),[1]TableIndex!$A:$A,0),0))</f>
        <v>1</v>
      </c>
      <c r="H4" s="6" t="s">
        <v>12</v>
      </c>
      <c r="I4" s="6" t="s">
        <v>12</v>
      </c>
      <c r="J4" s="6" t="s">
        <v>12</v>
      </c>
      <c r="K4" s="7"/>
    </row>
    <row r="5" spans="1:18" ht="13.5" x14ac:dyDescent="0.25">
      <c r="A5" s="1" t="s">
        <v>13</v>
      </c>
      <c r="B5" s="2"/>
      <c r="C5" s="3">
        <v>99999999</v>
      </c>
      <c r="D5" s="4"/>
      <c r="E5" s="3">
        <f t="array" ref="E5">MAX(IF([1]_enum!$B:$B=D$7,[1]_enum!$D:$D))</f>
        <v>26</v>
      </c>
      <c r="F5" s="2"/>
      <c r="G5" s="5">
        <f>IF((LEN(G$7)-LEN(SUBSTITUTE(G$7,CHAR(34),"")))/LEN(CHAR(34))&gt;2,99999999,INDEX([1]TableIndex!$C:$C,MATCH(SUBSTITUTE(G$7,CHAR(34),""),[1]TableIndex!$A:$A,0),0))</f>
        <v>99999999</v>
      </c>
      <c r="H5" s="6" t="s">
        <v>12</v>
      </c>
      <c r="I5" s="6" t="s">
        <v>12</v>
      </c>
      <c r="J5" s="6" t="s">
        <v>12</v>
      </c>
      <c r="K5" s="7"/>
    </row>
    <row r="6" spans="1:18" ht="13.5" x14ac:dyDescent="0.25">
      <c r="A6" s="1" t="s">
        <v>14</v>
      </c>
      <c r="B6" s="2"/>
      <c r="C6" s="3" t="s">
        <v>12</v>
      </c>
      <c r="D6" s="4"/>
      <c r="E6" s="3" t="s">
        <v>12</v>
      </c>
      <c r="F6" s="2"/>
      <c r="G6" s="5" t="s">
        <v>12</v>
      </c>
      <c r="H6" s="6" t="s">
        <v>12</v>
      </c>
      <c r="I6" s="3" t="s">
        <v>12</v>
      </c>
      <c r="J6" s="6" t="s">
        <v>12</v>
      </c>
      <c r="K6" s="7"/>
    </row>
    <row r="7" spans="1:18" ht="13.5" x14ac:dyDescent="0.25">
      <c r="A7" s="1" t="s">
        <v>15</v>
      </c>
      <c r="B7" s="2"/>
      <c r="C7" s="3" t="s">
        <v>12</v>
      </c>
      <c r="D7" s="4" t="s">
        <v>16</v>
      </c>
      <c r="E7" s="3" t="s">
        <v>12</v>
      </c>
      <c r="F7" s="2"/>
      <c r="G7" s="5" t="s">
        <v>17</v>
      </c>
      <c r="H7" s="6" t="s">
        <v>12</v>
      </c>
      <c r="I7" s="3" t="s">
        <v>12</v>
      </c>
      <c r="J7" s="6" t="s">
        <v>12</v>
      </c>
      <c r="K7" s="7"/>
    </row>
    <row r="8" spans="1:18" ht="13.5" x14ac:dyDescent="0.25">
      <c r="A8" s="8">
        <v>91000000</v>
      </c>
      <c r="B8" s="9" t="s">
        <v>18</v>
      </c>
      <c r="C8" s="10">
        <v>1</v>
      </c>
      <c r="D8" s="11" t="s">
        <v>19</v>
      </c>
      <c r="E8" s="10">
        <f>IFERROR(VLOOKUP(D$7&amp;D8,[1]_enum!$A:$D,4,FALSE),"-")</f>
        <v>1</v>
      </c>
      <c r="F8" s="12" t="s">
        <v>20</v>
      </c>
      <c r="G8" s="10">
        <f>IFERROR(IF(E8=1,INDEX([1]Point!$A:$A,MATCH(F8,[1]Point!$B:$B,0)),
IF(E8=2,INDEX([1]Item!$A:$A,MATCH(F8,[1]Item!$B:$B,0)),
IF(E8=3,INDEX([1]DepartSupply!$A:$A,MATCH(F8,[1]DepartSupply!$B:$B,0)),
IF(E8=4,INDEX([1]TradeGoods!$A:$A,MATCH(F8,[1]TradeGoods!$B:$B,0)),
IF(E8=5,INDEX([1]CEquip!$A:$A,MATCH(F8,[1]CEquip!$B:$B,0)),
IF(E8=6,INDEX([1]Ship!$A:$A,MATCH(F8,[1]Ship!$C:$C,0)),
IF(E8=7,INDEX([1]Mate!$A:$A,MATCH(F8,[1]Mate!$C:$C,0)),
IF(E8=8,INDEX([1]ShipBlueprint!$A:$A,MATCH(F8,[1]ShipBlueprint!$B:$B,0)),
IF(E8=8,INDEX([1]ShipBlueprint!$A:$A,MATCH(F8,[1]ShipBlueprint!$B:$B,0)),
IF(E8=9,INDEX([1]ShipSlot!$A:$A,MATCH(F8,[1]ShipSlot!$B:$B,0)),
IF(E8=10,INDEX([1]Item!$A:$A,MATCH(F8,[1]Item!$B:$B,0)),
"-"))))))))))),"-")</f>
        <v>100001</v>
      </c>
      <c r="H8" s="13">
        <v>1</v>
      </c>
      <c r="I8" s="13">
        <v>1</v>
      </c>
      <c r="J8" s="13">
        <v>10000000</v>
      </c>
      <c r="K8" s="14">
        <f>SUMIF($B:$B,B8,$J:$J)</f>
        <v>10000000</v>
      </c>
    </row>
    <row r="9" spans="1:18" x14ac:dyDescent="0.2">
      <c r="L9" s="15"/>
      <c r="M9" s="15"/>
      <c r="N9" s="15"/>
      <c r="O9" s="15"/>
      <c r="P9" s="15"/>
      <c r="Q9" s="15"/>
      <c r="R9" s="15"/>
    </row>
    <row r="10" spans="1:18" ht="23.25" x14ac:dyDescent="0.2">
      <c r="A10" s="15" ph="1">
        <v>21300364</v>
      </c>
      <c r="B10" s="17" t="s">
        <v>1612</v>
      </c>
      <c r="C10" s="15" t="s" ph="1">
        <v>1654</v>
      </c>
      <c r="D10" s="15">
        <v>4000</v>
      </c>
      <c r="E10" s="15" ph="1">
        <v>10000</v>
      </c>
      <c r="F10" s="15" t="s" ph="1">
        <v>1655</v>
      </c>
      <c r="G10" s="15" t="str">
        <f>C10&amp;" 계약서"</f>
        <v>로푸 페레이라 계약서</v>
      </c>
      <c r="H10" s="15">
        <v>5</v>
      </c>
      <c r="I10" s="15">
        <v>10</v>
      </c>
      <c r="J10" s="15">
        <f>P10</f>
        <v>78456</v>
      </c>
      <c r="K10" s="15">
        <f t="shared" ref="K10:K73" si="0">AVERAGE(H10:I10)*D10</f>
        <v>30000</v>
      </c>
      <c r="L10">
        <f>SUMIF($B:$B,B10,$K:$K)/K10</f>
        <v>8300</v>
      </c>
      <c r="M10">
        <f>L10/SUMIF($B:$B,B10,$L:$L)</f>
        <v>7.8455986191746478E-3</v>
      </c>
      <c r="N10">
        <f t="shared" ref="N10:N73" si="1">ROUNDDOWN(10000000*M10,0)</f>
        <v>78455</v>
      </c>
      <c r="O10">
        <f>10000000-SUMIF($B:$B,B10,$N:$N)</f>
        <v>149</v>
      </c>
      <c r="P10" s="19">
        <f>IF(COUNTIF($B$9:B10,B10)&lt;=O10,N10+1,N10)</f>
        <v>78456</v>
      </c>
      <c r="Q10" s="20">
        <f>SUMIF($B:$B,B10,$P:$P)</f>
        <v>10000000</v>
      </c>
      <c r="R10">
        <f t="shared" ref="R10:R73" si="2">M10*K10</f>
        <v>235.36795857523944</v>
      </c>
    </row>
    <row r="11" spans="1:18" ht="23.25" x14ac:dyDescent="0.2">
      <c r="A11" s="15" ph="1">
        <v>21300359</v>
      </c>
      <c r="B11" s="17" t="s">
        <v>1612</v>
      </c>
      <c r="C11" s="15" t="s" ph="1">
        <v>1656</v>
      </c>
      <c r="D11" s="15">
        <v>4000</v>
      </c>
      <c r="E11" s="15" ph="1">
        <v>10000</v>
      </c>
      <c r="F11" s="15" t="s" ph="1">
        <v>1655</v>
      </c>
      <c r="G11" s="15" t="str">
        <f t="shared" ref="G11:G74" si="3">C11&amp;" 계약서"</f>
        <v>판필로 오리드 계약서</v>
      </c>
      <c r="H11" s="15">
        <v>5</v>
      </c>
      <c r="I11" s="15">
        <v>10</v>
      </c>
      <c r="J11" s="15">
        <f t="shared" ref="J11:J74" si="4">P11</f>
        <v>78456</v>
      </c>
      <c r="K11" s="15">
        <f t="shared" si="0"/>
        <v>30000</v>
      </c>
      <c r="L11">
        <f>SUMIF($B:$B,B11,$K:$K)/K11</f>
        <v>8300</v>
      </c>
      <c r="M11">
        <f>L11/SUMIF($B:$B,B11,$L:$L)</f>
        <v>7.8455986191746478E-3</v>
      </c>
      <c r="N11">
        <f t="shared" si="1"/>
        <v>78455</v>
      </c>
      <c r="O11">
        <f>10000000-SUMIF($B:$B,B11,$N:$N)</f>
        <v>149</v>
      </c>
      <c r="P11" s="19">
        <f>IF(COUNTIF($B$9:B11,B11)&lt;=O11,N11+1,N11)</f>
        <v>78456</v>
      </c>
      <c r="Q11" s="20">
        <f>SUMIF($B:$B,B11,$P:$P)</f>
        <v>10000000</v>
      </c>
      <c r="R11">
        <f t="shared" si="2"/>
        <v>235.36795857523944</v>
      </c>
    </row>
    <row r="12" spans="1:18" ht="23.25" x14ac:dyDescent="0.2">
      <c r="A12" s="15" ph="1">
        <v>21300373</v>
      </c>
      <c r="B12" s="17" t="s">
        <v>1612</v>
      </c>
      <c r="C12" s="15" t="s" ph="1">
        <v>1657</v>
      </c>
      <c r="D12" s="15">
        <v>4000</v>
      </c>
      <c r="E12" s="15" ph="1">
        <v>10000</v>
      </c>
      <c r="F12" s="15" t="s" ph="1">
        <v>1655</v>
      </c>
      <c r="G12" s="15" t="str">
        <f t="shared" si="3"/>
        <v>우준 카이프 계약서</v>
      </c>
      <c r="H12" s="15">
        <v>5</v>
      </c>
      <c r="I12" s="15">
        <v>10</v>
      </c>
      <c r="J12" s="15">
        <f t="shared" si="4"/>
        <v>78456</v>
      </c>
      <c r="K12" s="15">
        <f t="shared" si="0"/>
        <v>30000</v>
      </c>
      <c r="L12">
        <f>SUMIF($B:$B,B12,$K:$K)/K12</f>
        <v>8300</v>
      </c>
      <c r="M12">
        <f>L12/SUMIF($B:$B,B12,$L:$L)</f>
        <v>7.8455986191746478E-3</v>
      </c>
      <c r="N12">
        <f t="shared" si="1"/>
        <v>78455</v>
      </c>
      <c r="O12">
        <f>10000000-SUMIF($B:$B,B12,$N:$N)</f>
        <v>149</v>
      </c>
      <c r="P12" s="19">
        <f>IF(COUNTIF($B$9:B12,B12)&lt;=O12,N12+1,N12)</f>
        <v>78456</v>
      </c>
      <c r="Q12" s="20">
        <f>SUMIF($B:$B,B12,$P:$P)</f>
        <v>10000000</v>
      </c>
      <c r="R12">
        <f t="shared" si="2"/>
        <v>235.36795857523944</v>
      </c>
    </row>
    <row r="13" spans="1:18" ht="23.25" x14ac:dyDescent="0.2">
      <c r="A13" s="15" ph="1">
        <v>21300358</v>
      </c>
      <c r="B13" s="17" t="s">
        <v>1612</v>
      </c>
      <c r="C13" s="15" t="s" ph="1">
        <v>1658</v>
      </c>
      <c r="D13" s="15">
        <v>4000</v>
      </c>
      <c r="E13" s="15" ph="1">
        <v>10000</v>
      </c>
      <c r="F13" s="15" t="s" ph="1">
        <v>1655</v>
      </c>
      <c r="G13" s="15" t="str">
        <f t="shared" si="3"/>
        <v>모리스 레이든 계약서</v>
      </c>
      <c r="H13" s="15">
        <v>5</v>
      </c>
      <c r="I13" s="15">
        <v>10</v>
      </c>
      <c r="J13" s="15">
        <f t="shared" si="4"/>
        <v>78456</v>
      </c>
      <c r="K13" s="15">
        <f t="shared" si="0"/>
        <v>30000</v>
      </c>
      <c r="L13">
        <f>SUMIF($B:$B,B13,$K:$K)/K13</f>
        <v>8300</v>
      </c>
      <c r="M13">
        <f>L13/SUMIF($B:$B,B13,$L:$L)</f>
        <v>7.8455986191746478E-3</v>
      </c>
      <c r="N13">
        <f t="shared" si="1"/>
        <v>78455</v>
      </c>
      <c r="O13">
        <f>10000000-SUMIF($B:$B,B13,$N:$N)</f>
        <v>149</v>
      </c>
      <c r="P13" s="19">
        <f>IF(COUNTIF($B$9:B13,B13)&lt;=O13,N13+1,N13)</f>
        <v>78456</v>
      </c>
      <c r="Q13" s="20">
        <f>SUMIF($B:$B,B13,$P:$P)</f>
        <v>10000000</v>
      </c>
      <c r="R13">
        <f t="shared" si="2"/>
        <v>235.36795857523944</v>
      </c>
    </row>
    <row r="14" spans="1:18" ht="23.25" x14ac:dyDescent="0.2">
      <c r="A14" s="15" ph="1">
        <v>21300328</v>
      </c>
      <c r="B14" s="17" t="s">
        <v>1612</v>
      </c>
      <c r="C14" s="15" t="s" ph="1">
        <v>1659</v>
      </c>
      <c r="D14" s="15">
        <v>4000</v>
      </c>
      <c r="E14" s="15" ph="1">
        <v>10000</v>
      </c>
      <c r="F14" s="15" t="s" ph="1">
        <v>1655</v>
      </c>
      <c r="G14" s="15" t="str">
        <f t="shared" si="3"/>
        <v>에스테반 페론 계약서</v>
      </c>
      <c r="H14" s="15">
        <v>5</v>
      </c>
      <c r="I14" s="15">
        <v>10</v>
      </c>
      <c r="J14" s="15">
        <f t="shared" si="4"/>
        <v>78456</v>
      </c>
      <c r="K14" s="15">
        <f t="shared" si="0"/>
        <v>30000</v>
      </c>
      <c r="L14">
        <f>SUMIF($B:$B,B14,$K:$K)/K14</f>
        <v>8300</v>
      </c>
      <c r="M14">
        <f>L14/SUMIF($B:$B,B14,$L:$L)</f>
        <v>7.8455986191746478E-3</v>
      </c>
      <c r="N14">
        <f t="shared" si="1"/>
        <v>78455</v>
      </c>
      <c r="O14">
        <f>10000000-SUMIF($B:$B,B14,$N:$N)</f>
        <v>149</v>
      </c>
      <c r="P14" s="19">
        <f>IF(COUNTIF($B$9:B14,B14)&lt;=O14,N14+1,N14)</f>
        <v>78456</v>
      </c>
      <c r="Q14" s="20">
        <f>SUMIF($B:$B,B14,$P:$P)</f>
        <v>10000000</v>
      </c>
      <c r="R14">
        <f t="shared" si="2"/>
        <v>235.36795857523944</v>
      </c>
    </row>
    <row r="15" spans="1:18" ht="23.25" x14ac:dyDescent="0.2">
      <c r="A15" s="15" ph="1">
        <v>21300028</v>
      </c>
      <c r="B15" s="17" t="s">
        <v>1612</v>
      </c>
      <c r="C15" s="15" t="s" ph="1">
        <v>1660</v>
      </c>
      <c r="D15" s="15">
        <v>1000000</v>
      </c>
      <c r="E15" s="15" ph="1">
        <v>10000</v>
      </c>
      <c r="F15" s="15" t="s" ph="1">
        <v>1661</v>
      </c>
      <c r="G15" s="15" t="str">
        <f t="shared" si="3"/>
        <v>장 플뢰리 계약서</v>
      </c>
      <c r="H15" s="15">
        <v>5</v>
      </c>
      <c r="I15" s="15">
        <v>10</v>
      </c>
      <c r="J15" s="15">
        <f t="shared" si="4"/>
        <v>314</v>
      </c>
      <c r="K15" s="15">
        <f t="shared" si="0"/>
        <v>7500000</v>
      </c>
      <c r="L15">
        <f>SUMIF($B:$B,B15,$K:$K)/K15</f>
        <v>33.200000000000003</v>
      </c>
      <c r="M15">
        <f>L15/SUMIF($B:$B,B15,$L:$L)</f>
        <v>3.1382394476698592E-5</v>
      </c>
      <c r="N15">
        <f t="shared" si="1"/>
        <v>313</v>
      </c>
      <c r="O15">
        <f>10000000-SUMIF($B:$B,B15,$N:$N)</f>
        <v>149</v>
      </c>
      <c r="P15" s="19">
        <f>IF(COUNTIF($B$9:B15,B15)&lt;=O15,N15+1,N15)</f>
        <v>314</v>
      </c>
      <c r="Q15" s="20">
        <f>SUMIF($B:$B,B15,$P:$P)</f>
        <v>10000000</v>
      </c>
      <c r="R15">
        <f t="shared" si="2"/>
        <v>235.36795857523944</v>
      </c>
    </row>
    <row r="16" spans="1:18" ht="23.25" x14ac:dyDescent="0.2">
      <c r="A16" s="15" ph="1">
        <v>21300465</v>
      </c>
      <c r="B16" s="17" t="s">
        <v>1612</v>
      </c>
      <c r="C16" s="15" t="s" ph="1">
        <v>1662</v>
      </c>
      <c r="D16" s="15">
        <v>4000</v>
      </c>
      <c r="E16" s="15" ph="1">
        <v>10000</v>
      </c>
      <c r="F16" s="15" t="s" ph="1">
        <v>1655</v>
      </c>
      <c r="G16" s="15" t="str">
        <f t="shared" si="3"/>
        <v>후안 바스케스 계약서</v>
      </c>
      <c r="H16" s="15">
        <v>5</v>
      </c>
      <c r="I16" s="15">
        <v>10</v>
      </c>
      <c r="J16" s="15">
        <f t="shared" si="4"/>
        <v>78456</v>
      </c>
      <c r="K16" s="15">
        <f t="shared" si="0"/>
        <v>30000</v>
      </c>
      <c r="L16">
        <f>SUMIF($B:$B,B16,$K:$K)/K16</f>
        <v>8300</v>
      </c>
      <c r="M16">
        <f>L16/SUMIF($B:$B,B16,$L:$L)</f>
        <v>7.8455986191746478E-3</v>
      </c>
      <c r="N16">
        <f t="shared" si="1"/>
        <v>78455</v>
      </c>
      <c r="O16">
        <f>10000000-SUMIF($B:$B,B16,$N:$N)</f>
        <v>149</v>
      </c>
      <c r="P16" s="19">
        <f>IF(COUNTIF($B$9:B16,B16)&lt;=O16,N16+1,N16)</f>
        <v>78456</v>
      </c>
      <c r="Q16" s="20">
        <f>SUMIF($B:$B,B16,$P:$P)</f>
        <v>10000000</v>
      </c>
      <c r="R16">
        <f t="shared" si="2"/>
        <v>235.36795857523944</v>
      </c>
    </row>
    <row r="17" spans="1:18" ht="23.25" x14ac:dyDescent="0.2">
      <c r="A17" s="15" ph="1">
        <v>21300515</v>
      </c>
      <c r="B17" s="17" t="s">
        <v>1612</v>
      </c>
      <c r="C17" s="15" t="s" ph="1">
        <v>1663</v>
      </c>
      <c r="D17" s="15">
        <v>1000000</v>
      </c>
      <c r="E17" s="15" ph="1">
        <v>10000</v>
      </c>
      <c r="F17" s="15" t="s" ph="1">
        <v>1661</v>
      </c>
      <c r="G17" s="15" t="str">
        <f t="shared" si="3"/>
        <v>알베르트1 계약서</v>
      </c>
      <c r="H17" s="15">
        <v>5</v>
      </c>
      <c r="I17" s="15">
        <v>10</v>
      </c>
      <c r="J17" s="15">
        <f t="shared" si="4"/>
        <v>314</v>
      </c>
      <c r="K17" s="15">
        <f t="shared" si="0"/>
        <v>7500000</v>
      </c>
      <c r="L17">
        <f>SUMIF($B:$B,B17,$K:$K)/K17</f>
        <v>33.200000000000003</v>
      </c>
      <c r="M17">
        <f>L17/SUMIF($B:$B,B17,$L:$L)</f>
        <v>3.1382394476698592E-5</v>
      </c>
      <c r="N17">
        <f t="shared" si="1"/>
        <v>313</v>
      </c>
      <c r="O17">
        <f>10000000-SUMIF($B:$B,B17,$N:$N)</f>
        <v>149</v>
      </c>
      <c r="P17" s="19">
        <f>IF(COUNTIF($B$9:B17,B17)&lt;=O17,N17+1,N17)</f>
        <v>314</v>
      </c>
      <c r="Q17" s="20">
        <f>SUMIF($B:$B,B17,$P:$P)</f>
        <v>10000000</v>
      </c>
      <c r="R17">
        <f t="shared" si="2"/>
        <v>235.36795857523944</v>
      </c>
    </row>
    <row r="18" spans="1:18" ht="23.25" x14ac:dyDescent="0.2">
      <c r="A18" s="15" ph="1">
        <v>21300514</v>
      </c>
      <c r="B18" s="17" t="s">
        <v>1612</v>
      </c>
      <c r="C18" s="15" t="s" ph="1">
        <v>1664</v>
      </c>
      <c r="D18" s="15">
        <v>1000000</v>
      </c>
      <c r="E18" s="15" ph="1">
        <v>10000</v>
      </c>
      <c r="F18" s="15" t="s" ph="1">
        <v>1661</v>
      </c>
      <c r="G18" s="15" t="str">
        <f t="shared" si="3"/>
        <v>로베르토 에제키엘1 계약서</v>
      </c>
      <c r="H18" s="15">
        <v>5</v>
      </c>
      <c r="I18" s="15">
        <v>10</v>
      </c>
      <c r="J18" s="15">
        <f t="shared" si="4"/>
        <v>314</v>
      </c>
      <c r="K18" s="15">
        <f t="shared" si="0"/>
        <v>7500000</v>
      </c>
      <c r="L18">
        <f>SUMIF($B:$B,B18,$K:$K)/K18</f>
        <v>33.200000000000003</v>
      </c>
      <c r="M18">
        <f>L18/SUMIF($B:$B,B18,$L:$L)</f>
        <v>3.1382394476698592E-5</v>
      </c>
      <c r="N18">
        <f t="shared" si="1"/>
        <v>313</v>
      </c>
      <c r="O18">
        <f>10000000-SUMIF($B:$B,B18,$N:$N)</f>
        <v>149</v>
      </c>
      <c r="P18" s="19">
        <f>IF(COUNTIF($B$9:B18,B18)&lt;=O18,N18+1,N18)</f>
        <v>314</v>
      </c>
      <c r="Q18" s="20">
        <f>SUMIF($B:$B,B18,$P:$P)</f>
        <v>10000000</v>
      </c>
      <c r="R18">
        <f t="shared" si="2"/>
        <v>235.36795857523944</v>
      </c>
    </row>
    <row r="19" spans="1:18" ht="23.25" x14ac:dyDescent="0.2">
      <c r="A19" s="15" ph="1">
        <v>21300099</v>
      </c>
      <c r="B19" s="17" t="s">
        <v>1612</v>
      </c>
      <c r="C19" s="15" t="s" ph="1">
        <v>1665</v>
      </c>
      <c r="D19" s="15">
        <v>1000000</v>
      </c>
      <c r="E19" s="15" ph="1">
        <v>10000</v>
      </c>
      <c r="F19" s="15" t="s" ph="1">
        <v>1661</v>
      </c>
      <c r="G19" s="15" t="str">
        <f t="shared" si="3"/>
        <v>오즈월드 레밍톤 계약서</v>
      </c>
      <c r="H19" s="15">
        <v>5</v>
      </c>
      <c r="I19" s="15">
        <v>10</v>
      </c>
      <c r="J19" s="15">
        <f t="shared" si="4"/>
        <v>314</v>
      </c>
      <c r="K19" s="15">
        <f t="shared" si="0"/>
        <v>7500000</v>
      </c>
      <c r="L19">
        <f>SUMIF($B:$B,B19,$K:$K)/K19</f>
        <v>33.200000000000003</v>
      </c>
      <c r="M19">
        <f>L19/SUMIF($B:$B,B19,$L:$L)</f>
        <v>3.1382394476698592E-5</v>
      </c>
      <c r="N19">
        <f t="shared" si="1"/>
        <v>313</v>
      </c>
      <c r="O19">
        <f>10000000-SUMIF($B:$B,B19,$N:$N)</f>
        <v>149</v>
      </c>
      <c r="P19" s="19">
        <f>IF(COUNTIF($B$9:B19,B19)&lt;=O19,N19+1,N19)</f>
        <v>314</v>
      </c>
      <c r="Q19" s="20">
        <f>SUMIF($B:$B,B19,$P:$P)</f>
        <v>10000000</v>
      </c>
      <c r="R19">
        <f t="shared" si="2"/>
        <v>235.36795857523944</v>
      </c>
    </row>
    <row r="20" spans="1:18" ht="23.25" x14ac:dyDescent="0.2">
      <c r="A20" s="15" ph="1">
        <v>21300020</v>
      </c>
      <c r="B20" s="17" t="s">
        <v>1612</v>
      </c>
      <c r="C20" s="15" t="s" ph="1">
        <v>1666</v>
      </c>
      <c r="D20" s="15">
        <v>1000000</v>
      </c>
      <c r="E20" s="15" ph="1">
        <v>10000</v>
      </c>
      <c r="F20" s="15" t="s" ph="1">
        <v>1661</v>
      </c>
      <c r="G20" s="15" t="str">
        <f t="shared" si="3"/>
        <v>프랜시스 드레이크 계약서</v>
      </c>
      <c r="H20" s="15">
        <v>5</v>
      </c>
      <c r="I20" s="15">
        <v>10</v>
      </c>
      <c r="J20" s="15">
        <f t="shared" si="4"/>
        <v>314</v>
      </c>
      <c r="K20" s="15">
        <f t="shared" si="0"/>
        <v>7500000</v>
      </c>
      <c r="L20">
        <f>SUMIF($B:$B,B20,$K:$K)/K20</f>
        <v>33.200000000000003</v>
      </c>
      <c r="M20">
        <f>L20/SUMIF($B:$B,B20,$L:$L)</f>
        <v>3.1382394476698592E-5</v>
      </c>
      <c r="N20">
        <f t="shared" si="1"/>
        <v>313</v>
      </c>
      <c r="O20">
        <f>10000000-SUMIF($B:$B,B20,$N:$N)</f>
        <v>149</v>
      </c>
      <c r="P20" s="19">
        <f>IF(COUNTIF($B$9:B20,B20)&lt;=O20,N20+1,N20)</f>
        <v>314</v>
      </c>
      <c r="Q20" s="20">
        <f>SUMIF($B:$B,B20,$P:$P)</f>
        <v>10000000</v>
      </c>
      <c r="R20">
        <f t="shared" si="2"/>
        <v>235.36795857523944</v>
      </c>
    </row>
    <row r="21" spans="1:18" ht="23.25" x14ac:dyDescent="0.2">
      <c r="A21" s="15" ph="1">
        <v>21300070</v>
      </c>
      <c r="B21" s="17" t="s">
        <v>1612</v>
      </c>
      <c r="C21" s="15" t="s" ph="1">
        <v>1667</v>
      </c>
      <c r="D21" s="15">
        <v>1000000</v>
      </c>
      <c r="E21" s="15" ph="1">
        <v>10000</v>
      </c>
      <c r="F21" s="15" t="s" ph="1">
        <v>1661</v>
      </c>
      <c r="G21" s="15" t="str">
        <f t="shared" si="3"/>
        <v>제임스 쿡 계약서</v>
      </c>
      <c r="H21" s="15">
        <v>5</v>
      </c>
      <c r="I21" s="15">
        <v>10</v>
      </c>
      <c r="J21" s="15">
        <f t="shared" si="4"/>
        <v>314</v>
      </c>
      <c r="K21" s="15">
        <f t="shared" si="0"/>
        <v>7500000</v>
      </c>
      <c r="L21">
        <f>SUMIF($B:$B,B21,$K:$K)/K21</f>
        <v>33.200000000000003</v>
      </c>
      <c r="M21">
        <f>L21/SUMIF($B:$B,B21,$L:$L)</f>
        <v>3.1382394476698592E-5</v>
      </c>
      <c r="N21">
        <f t="shared" si="1"/>
        <v>313</v>
      </c>
      <c r="O21">
        <f>10000000-SUMIF($B:$B,B21,$N:$N)</f>
        <v>149</v>
      </c>
      <c r="P21" s="19">
        <f>IF(COUNTIF($B$9:B21,B21)&lt;=O21,N21+1,N21)</f>
        <v>314</v>
      </c>
      <c r="Q21" s="20">
        <f>SUMIF($B:$B,B21,$P:$P)</f>
        <v>10000000</v>
      </c>
      <c r="R21">
        <f t="shared" si="2"/>
        <v>235.36795857523944</v>
      </c>
    </row>
    <row r="22" spans="1:18" ht="23.25" x14ac:dyDescent="0.2">
      <c r="A22" s="15" ph="1">
        <v>21200001</v>
      </c>
      <c r="B22" s="17" t="s">
        <v>1612</v>
      </c>
      <c r="C22" s="15" t="s" ph="1">
        <v>1668</v>
      </c>
      <c r="D22" s="15">
        <v>1000000</v>
      </c>
      <c r="E22" s="15" ph="1">
        <v>1000</v>
      </c>
      <c r="F22" s="15" t="s" ph="1">
        <v>1661</v>
      </c>
      <c r="G22" s="15" t="str">
        <f t="shared" si="3"/>
        <v>조안 페레로 계약서</v>
      </c>
      <c r="H22" s="15">
        <v>5</v>
      </c>
      <c r="I22" s="15">
        <v>10</v>
      </c>
      <c r="J22" s="15">
        <f t="shared" si="4"/>
        <v>314</v>
      </c>
      <c r="K22" s="15">
        <f t="shared" si="0"/>
        <v>7500000</v>
      </c>
      <c r="L22">
        <f>SUMIF($B:$B,B22,$K:$K)/K22</f>
        <v>33.200000000000003</v>
      </c>
      <c r="M22">
        <f>L22/SUMIF($B:$B,B22,$L:$L)</f>
        <v>3.1382394476698592E-5</v>
      </c>
      <c r="N22">
        <f t="shared" si="1"/>
        <v>313</v>
      </c>
      <c r="O22">
        <f>10000000-SUMIF($B:$B,B22,$N:$N)</f>
        <v>149</v>
      </c>
      <c r="P22" s="19">
        <f>IF(COUNTIF($B$9:B22,B22)&lt;=O22,N22+1,N22)</f>
        <v>314</v>
      </c>
      <c r="Q22" s="20">
        <f>SUMIF($B:$B,B22,$P:$P)</f>
        <v>10000000</v>
      </c>
      <c r="R22">
        <f t="shared" si="2"/>
        <v>235.36795857523944</v>
      </c>
    </row>
    <row r="23" spans="1:18" ht="23.25" x14ac:dyDescent="0.2">
      <c r="A23" s="15" ph="1">
        <v>21300008</v>
      </c>
      <c r="B23" s="17" t="s">
        <v>1612</v>
      </c>
      <c r="C23" s="15" t="s" ph="1">
        <v>1669</v>
      </c>
      <c r="D23" s="15">
        <v>1000000</v>
      </c>
      <c r="E23" s="15" ph="1">
        <v>1000</v>
      </c>
      <c r="F23" s="15" t="s" ph="1">
        <v>1661</v>
      </c>
      <c r="G23" s="15" t="str">
        <f t="shared" si="3"/>
        <v>로코 알렘켈 계약서</v>
      </c>
      <c r="H23" s="15">
        <v>5</v>
      </c>
      <c r="I23" s="15">
        <v>10</v>
      </c>
      <c r="J23" s="15">
        <f t="shared" si="4"/>
        <v>314</v>
      </c>
      <c r="K23" s="15">
        <f t="shared" si="0"/>
        <v>7500000</v>
      </c>
      <c r="L23">
        <f>SUMIF($B:$B,B23,$K:$K)/K23</f>
        <v>33.200000000000003</v>
      </c>
      <c r="M23">
        <f>L23/SUMIF($B:$B,B23,$L:$L)</f>
        <v>3.1382394476698592E-5</v>
      </c>
      <c r="N23">
        <f t="shared" si="1"/>
        <v>313</v>
      </c>
      <c r="O23">
        <f>10000000-SUMIF($B:$B,B23,$N:$N)</f>
        <v>149</v>
      </c>
      <c r="P23" s="19">
        <f>IF(COUNTIF($B$9:B23,B23)&lt;=O23,N23+1,N23)</f>
        <v>314</v>
      </c>
      <c r="Q23" s="20">
        <f>SUMIF($B:$B,B23,$P:$P)</f>
        <v>10000000</v>
      </c>
      <c r="R23">
        <f t="shared" si="2"/>
        <v>235.36795857523944</v>
      </c>
    </row>
    <row r="24" spans="1:18" ht="23.25" x14ac:dyDescent="0.2">
      <c r="A24" s="15" ph="1">
        <v>21300147</v>
      </c>
      <c r="B24" s="17" t="s">
        <v>1612</v>
      </c>
      <c r="C24" s="15" t="s" ph="1">
        <v>1670</v>
      </c>
      <c r="D24" s="15">
        <v>20000</v>
      </c>
      <c r="E24" s="15" ph="1">
        <v>1000</v>
      </c>
      <c r="F24" s="15" t="s" ph="1">
        <v>1671</v>
      </c>
      <c r="G24" s="15" t="str">
        <f t="shared" si="3"/>
        <v>엔리코 마리오네 계약서</v>
      </c>
      <c r="H24" s="15">
        <v>5</v>
      </c>
      <c r="I24" s="15">
        <v>10</v>
      </c>
      <c r="J24" s="15">
        <f t="shared" si="4"/>
        <v>15692</v>
      </c>
      <c r="K24" s="15">
        <f t="shared" si="0"/>
        <v>150000</v>
      </c>
      <c r="L24">
        <f>SUMIF($B:$B,B24,$K:$K)/K24</f>
        <v>1660</v>
      </c>
      <c r="M24">
        <f>L24/SUMIF($B:$B,B24,$L:$L)</f>
        <v>1.5691197238349296E-3</v>
      </c>
      <c r="N24">
        <f t="shared" si="1"/>
        <v>15691</v>
      </c>
      <c r="O24">
        <f>10000000-SUMIF($B:$B,B24,$N:$N)</f>
        <v>149</v>
      </c>
      <c r="P24" s="19">
        <f>IF(COUNTIF($B$9:B24,B24)&lt;=O24,N24+1,N24)</f>
        <v>15692</v>
      </c>
      <c r="Q24" s="20">
        <f>SUMIF($B:$B,B24,$P:$P)</f>
        <v>10000000</v>
      </c>
      <c r="R24">
        <f t="shared" si="2"/>
        <v>235.36795857523944</v>
      </c>
    </row>
    <row r="25" spans="1:18" ht="23.25" x14ac:dyDescent="0.2">
      <c r="A25" s="15" ph="1">
        <v>21200002</v>
      </c>
      <c r="B25" s="17" t="s">
        <v>1612</v>
      </c>
      <c r="C25" s="15" t="s" ph="1">
        <v>1672</v>
      </c>
      <c r="D25" s="15">
        <v>1000000</v>
      </c>
      <c r="E25" s="15" ph="1">
        <v>1000</v>
      </c>
      <c r="F25" s="15" t="s" ph="1">
        <v>1661</v>
      </c>
      <c r="G25" s="15" t="str">
        <f t="shared" si="3"/>
        <v>카탈리나 에란초 계약서</v>
      </c>
      <c r="H25" s="15">
        <v>5</v>
      </c>
      <c r="I25" s="15">
        <v>10</v>
      </c>
      <c r="J25" s="15">
        <f t="shared" si="4"/>
        <v>314</v>
      </c>
      <c r="K25" s="15">
        <f t="shared" si="0"/>
        <v>7500000</v>
      </c>
      <c r="L25">
        <f>SUMIF($B:$B,B25,$K:$K)/K25</f>
        <v>33.200000000000003</v>
      </c>
      <c r="M25">
        <f>L25/SUMIF($B:$B,B25,$L:$L)</f>
        <v>3.1382394476698592E-5</v>
      </c>
      <c r="N25">
        <f t="shared" si="1"/>
        <v>313</v>
      </c>
      <c r="O25">
        <f>10000000-SUMIF($B:$B,B25,$N:$N)</f>
        <v>149</v>
      </c>
      <c r="P25" s="19">
        <f>IF(COUNTIF($B$9:B25,B25)&lt;=O25,N25+1,N25)</f>
        <v>314</v>
      </c>
      <c r="Q25" s="20">
        <f>SUMIF($B:$B,B25,$P:$P)</f>
        <v>10000000</v>
      </c>
      <c r="R25">
        <f t="shared" si="2"/>
        <v>235.36795857523944</v>
      </c>
    </row>
    <row r="26" spans="1:18" ht="23.25" x14ac:dyDescent="0.2">
      <c r="A26" s="15" ph="1">
        <v>21300146</v>
      </c>
      <c r="B26" s="17" t="s">
        <v>1612</v>
      </c>
      <c r="C26" s="15" t="s" ph="1">
        <v>1673</v>
      </c>
      <c r="D26" s="15">
        <v>20000</v>
      </c>
      <c r="E26" s="15" ph="1">
        <v>1000</v>
      </c>
      <c r="F26" s="15" t="s" ph="1">
        <v>1671</v>
      </c>
      <c r="G26" s="15" t="str">
        <f t="shared" si="3"/>
        <v>프랑코 사누드 계약서</v>
      </c>
      <c r="H26" s="15">
        <v>5</v>
      </c>
      <c r="I26" s="15">
        <v>10</v>
      </c>
      <c r="J26" s="15">
        <f t="shared" si="4"/>
        <v>15692</v>
      </c>
      <c r="K26" s="15">
        <f t="shared" si="0"/>
        <v>150000</v>
      </c>
      <c r="L26">
        <f>SUMIF($B:$B,B26,$K:$K)/K26</f>
        <v>1660</v>
      </c>
      <c r="M26">
        <f>L26/SUMIF($B:$B,B26,$L:$L)</f>
        <v>1.5691197238349296E-3</v>
      </c>
      <c r="N26">
        <f t="shared" si="1"/>
        <v>15691</v>
      </c>
      <c r="O26">
        <f>10000000-SUMIF($B:$B,B26,$N:$N)</f>
        <v>149</v>
      </c>
      <c r="P26" s="19">
        <f>IF(COUNTIF($B$9:B26,B26)&lt;=O26,N26+1,N26)</f>
        <v>15692</v>
      </c>
      <c r="Q26" s="20">
        <f>SUMIF($B:$B,B26,$P:$P)</f>
        <v>10000000</v>
      </c>
      <c r="R26">
        <f t="shared" si="2"/>
        <v>235.36795857523944</v>
      </c>
    </row>
    <row r="27" spans="1:18" ht="23.25" x14ac:dyDescent="0.2">
      <c r="A27" s="15" ph="1">
        <v>21300139</v>
      </c>
      <c r="B27" s="17" t="s">
        <v>1612</v>
      </c>
      <c r="C27" s="15" t="s" ph="1">
        <v>1674</v>
      </c>
      <c r="D27" s="15">
        <v>20000</v>
      </c>
      <c r="E27" s="15" ph="1">
        <v>1000</v>
      </c>
      <c r="F27" s="15" t="s" ph="1">
        <v>1671</v>
      </c>
      <c r="G27" s="15" t="str">
        <f t="shared" si="3"/>
        <v>안드레아 기지 계약서</v>
      </c>
      <c r="H27" s="15">
        <v>5</v>
      </c>
      <c r="I27" s="15">
        <v>10</v>
      </c>
      <c r="J27" s="15">
        <f t="shared" si="4"/>
        <v>15692</v>
      </c>
      <c r="K27" s="15">
        <f t="shared" si="0"/>
        <v>150000</v>
      </c>
      <c r="L27">
        <f>SUMIF($B:$B,B27,$K:$K)/K27</f>
        <v>1660</v>
      </c>
      <c r="M27">
        <f>L27/SUMIF($B:$B,B27,$L:$L)</f>
        <v>1.5691197238349296E-3</v>
      </c>
      <c r="N27">
        <f t="shared" si="1"/>
        <v>15691</v>
      </c>
      <c r="O27">
        <f>10000000-SUMIF($B:$B,B27,$N:$N)</f>
        <v>149</v>
      </c>
      <c r="P27" s="19">
        <f>IF(COUNTIF($B$9:B27,B27)&lt;=O27,N27+1,N27)</f>
        <v>15692</v>
      </c>
      <c r="Q27" s="20">
        <f>SUMIF($B:$B,B27,$P:$P)</f>
        <v>10000000</v>
      </c>
      <c r="R27">
        <f t="shared" si="2"/>
        <v>235.36795857523944</v>
      </c>
    </row>
    <row r="28" spans="1:18" ht="23.25" x14ac:dyDescent="0.2">
      <c r="A28" s="15" ph="1">
        <v>21200003</v>
      </c>
      <c r="B28" s="17" t="s">
        <v>1612</v>
      </c>
      <c r="C28" s="15" t="s" ph="1">
        <v>1675</v>
      </c>
      <c r="D28" s="15">
        <v>1000000</v>
      </c>
      <c r="E28" s="15" ph="1">
        <v>1000</v>
      </c>
      <c r="F28" s="15" t="s" ph="1">
        <v>1661</v>
      </c>
      <c r="G28" s="15" t="str">
        <f t="shared" si="3"/>
        <v>알 베자스 계약서</v>
      </c>
      <c r="H28" s="15">
        <v>5</v>
      </c>
      <c r="I28" s="15">
        <v>10</v>
      </c>
      <c r="J28" s="15">
        <f t="shared" si="4"/>
        <v>314</v>
      </c>
      <c r="K28" s="15">
        <f t="shared" si="0"/>
        <v>7500000</v>
      </c>
      <c r="L28">
        <f>SUMIF($B:$B,B28,$K:$K)/K28</f>
        <v>33.200000000000003</v>
      </c>
      <c r="M28">
        <f>L28/SUMIF($B:$B,B28,$L:$L)</f>
        <v>3.1382394476698592E-5</v>
      </c>
      <c r="N28">
        <f t="shared" si="1"/>
        <v>313</v>
      </c>
      <c r="O28">
        <f>10000000-SUMIF($B:$B,B28,$N:$N)</f>
        <v>149</v>
      </c>
      <c r="P28" s="19">
        <f>IF(COUNTIF($B$9:B28,B28)&lt;=O28,N28+1,N28)</f>
        <v>314</v>
      </c>
      <c r="Q28" s="20">
        <f>SUMIF($B:$B,B28,$P:$P)</f>
        <v>10000000</v>
      </c>
      <c r="R28">
        <f t="shared" si="2"/>
        <v>235.36795857523944</v>
      </c>
    </row>
    <row r="29" spans="1:18" ht="23.25" x14ac:dyDescent="0.2">
      <c r="A29" s="15" ph="1">
        <v>21300168</v>
      </c>
      <c r="B29" s="17" t="s">
        <v>1612</v>
      </c>
      <c r="C29" s="15" t="s" ph="1">
        <v>1676</v>
      </c>
      <c r="D29" s="15">
        <v>20000</v>
      </c>
      <c r="E29" s="15" ph="1">
        <v>1000</v>
      </c>
      <c r="F29" s="15" t="s" ph="1">
        <v>1671</v>
      </c>
      <c r="G29" s="15" t="str">
        <f t="shared" si="3"/>
        <v>자한 사림 계약서</v>
      </c>
      <c r="H29" s="15">
        <v>5</v>
      </c>
      <c r="I29" s="15">
        <v>10</v>
      </c>
      <c r="J29" s="15">
        <f t="shared" si="4"/>
        <v>15692</v>
      </c>
      <c r="K29" s="15">
        <f t="shared" si="0"/>
        <v>150000</v>
      </c>
      <c r="L29">
        <f>SUMIF($B:$B,B29,$K:$K)/K29</f>
        <v>1660</v>
      </c>
      <c r="M29">
        <f>L29/SUMIF($B:$B,B29,$L:$L)</f>
        <v>1.5691197238349296E-3</v>
      </c>
      <c r="N29">
        <f t="shared" si="1"/>
        <v>15691</v>
      </c>
      <c r="O29">
        <f>10000000-SUMIF($B:$B,B29,$N:$N)</f>
        <v>149</v>
      </c>
      <c r="P29" s="19">
        <f>IF(COUNTIF($B$9:B29,B29)&lt;=O29,N29+1,N29)</f>
        <v>15692</v>
      </c>
      <c r="Q29" s="20">
        <f>SUMIF($B:$B,B29,$P:$P)</f>
        <v>10000000</v>
      </c>
      <c r="R29">
        <f t="shared" si="2"/>
        <v>235.36795857523944</v>
      </c>
    </row>
    <row r="30" spans="1:18" ht="23.25" x14ac:dyDescent="0.2">
      <c r="A30" s="15" ph="1">
        <v>21200004</v>
      </c>
      <c r="B30" s="17" t="s">
        <v>1612</v>
      </c>
      <c r="C30" s="15" t="s" ph="1">
        <v>1677</v>
      </c>
      <c r="D30" s="15">
        <v>1000000</v>
      </c>
      <c r="E30" s="15" ph="1">
        <v>1000</v>
      </c>
      <c r="F30" s="15" t="s" ph="1">
        <v>1661</v>
      </c>
      <c r="G30" s="15" t="str">
        <f t="shared" si="3"/>
        <v>옷토 스피노라 계약서</v>
      </c>
      <c r="H30" s="15">
        <v>5</v>
      </c>
      <c r="I30" s="15">
        <v>10</v>
      </c>
      <c r="J30" s="15">
        <f t="shared" si="4"/>
        <v>314</v>
      </c>
      <c r="K30" s="15">
        <f t="shared" si="0"/>
        <v>7500000</v>
      </c>
      <c r="L30">
        <f>SUMIF($B:$B,B30,$K:$K)/K30</f>
        <v>33.200000000000003</v>
      </c>
      <c r="M30">
        <f>L30/SUMIF($B:$B,B30,$L:$L)</f>
        <v>3.1382394476698592E-5</v>
      </c>
      <c r="N30">
        <f t="shared" si="1"/>
        <v>313</v>
      </c>
      <c r="O30">
        <f>10000000-SUMIF($B:$B,B30,$N:$N)</f>
        <v>149</v>
      </c>
      <c r="P30" s="19">
        <f>IF(COUNTIF($B$9:B30,B30)&lt;=O30,N30+1,N30)</f>
        <v>314</v>
      </c>
      <c r="Q30" s="20">
        <f>SUMIF($B:$B,B30,$P:$P)</f>
        <v>10000000</v>
      </c>
      <c r="R30">
        <f t="shared" si="2"/>
        <v>235.36795857523944</v>
      </c>
    </row>
    <row r="31" spans="1:18" ht="23.25" x14ac:dyDescent="0.2">
      <c r="A31" s="15" ph="1">
        <v>21300160</v>
      </c>
      <c r="B31" s="17" t="s">
        <v>1612</v>
      </c>
      <c r="C31" s="15" t="s" ph="1">
        <v>1678</v>
      </c>
      <c r="D31" s="15">
        <v>20000</v>
      </c>
      <c r="E31" s="15" ph="1">
        <v>1000</v>
      </c>
      <c r="F31" s="15" t="s" ph="1">
        <v>1671</v>
      </c>
      <c r="G31" s="15" t="str">
        <f t="shared" si="3"/>
        <v>마슈 로이 계약서</v>
      </c>
      <c r="H31" s="15">
        <v>5</v>
      </c>
      <c r="I31" s="15">
        <v>10</v>
      </c>
      <c r="J31" s="15">
        <f t="shared" si="4"/>
        <v>15692</v>
      </c>
      <c r="K31" s="15">
        <f t="shared" si="0"/>
        <v>150000</v>
      </c>
      <c r="L31">
        <f>SUMIF($B:$B,B31,$K:$K)/K31</f>
        <v>1660</v>
      </c>
      <c r="M31">
        <f>L31/SUMIF($B:$B,B31,$L:$L)</f>
        <v>1.5691197238349296E-3</v>
      </c>
      <c r="N31">
        <f t="shared" si="1"/>
        <v>15691</v>
      </c>
      <c r="O31">
        <f>10000000-SUMIF($B:$B,B31,$N:$N)</f>
        <v>149</v>
      </c>
      <c r="P31" s="19">
        <f>IF(COUNTIF($B$9:B31,B31)&lt;=O31,N31+1,N31)</f>
        <v>15692</v>
      </c>
      <c r="Q31" s="20">
        <f>SUMIF($B:$B,B31,$P:$P)</f>
        <v>10000000</v>
      </c>
      <c r="R31">
        <f t="shared" si="2"/>
        <v>235.36795857523944</v>
      </c>
    </row>
    <row r="32" spans="1:18" ht="23.25" x14ac:dyDescent="0.2">
      <c r="A32" s="15" ph="1">
        <v>21200005</v>
      </c>
      <c r="B32" s="17" t="s">
        <v>1612</v>
      </c>
      <c r="C32" s="15" t="s" ph="1">
        <v>1679</v>
      </c>
      <c r="D32" s="15">
        <v>1000000</v>
      </c>
      <c r="E32" s="15" ph="1">
        <v>1000</v>
      </c>
      <c r="F32" s="15" t="s" ph="1">
        <v>1661</v>
      </c>
      <c r="G32" s="15" t="str">
        <f t="shared" si="3"/>
        <v>에르네스트 로페스 계약서</v>
      </c>
      <c r="H32" s="15">
        <v>5</v>
      </c>
      <c r="I32" s="15">
        <v>10</v>
      </c>
      <c r="J32" s="15">
        <f t="shared" si="4"/>
        <v>314</v>
      </c>
      <c r="K32" s="15">
        <f t="shared" si="0"/>
        <v>7500000</v>
      </c>
      <c r="L32">
        <f>SUMIF($B:$B,B32,$K:$K)/K32</f>
        <v>33.200000000000003</v>
      </c>
      <c r="M32">
        <f>L32/SUMIF($B:$B,B32,$L:$L)</f>
        <v>3.1382394476698592E-5</v>
      </c>
      <c r="N32">
        <f t="shared" si="1"/>
        <v>313</v>
      </c>
      <c r="O32">
        <f>10000000-SUMIF($B:$B,B32,$N:$N)</f>
        <v>149</v>
      </c>
      <c r="P32" s="19">
        <f>IF(COUNTIF($B$9:B32,B32)&lt;=O32,N32+1,N32)</f>
        <v>314</v>
      </c>
      <c r="Q32" s="20">
        <f>SUMIF($B:$B,B32,$P:$P)</f>
        <v>10000000</v>
      </c>
      <c r="R32">
        <f t="shared" si="2"/>
        <v>235.36795857523944</v>
      </c>
    </row>
    <row r="33" spans="1:18" ht="23.25" x14ac:dyDescent="0.2">
      <c r="A33" s="15" ph="1">
        <v>21300152</v>
      </c>
      <c r="B33" s="17" t="s">
        <v>1612</v>
      </c>
      <c r="C33" s="15" t="s" ph="1">
        <v>1680</v>
      </c>
      <c r="D33" s="15">
        <v>20000</v>
      </c>
      <c r="E33" s="15" ph="1">
        <v>1000</v>
      </c>
      <c r="F33" s="15" t="s" ph="1">
        <v>1671</v>
      </c>
      <c r="G33" s="15" t="str">
        <f t="shared" si="3"/>
        <v>로이드 스탓텐 계약서</v>
      </c>
      <c r="H33" s="15">
        <v>5</v>
      </c>
      <c r="I33" s="15">
        <v>10</v>
      </c>
      <c r="J33" s="15">
        <f t="shared" si="4"/>
        <v>15692</v>
      </c>
      <c r="K33" s="15">
        <f t="shared" si="0"/>
        <v>150000</v>
      </c>
      <c r="L33">
        <f>SUMIF($B:$B,B33,$K:$K)/K33</f>
        <v>1660</v>
      </c>
      <c r="M33">
        <f>L33/SUMIF($B:$B,B33,$L:$L)</f>
        <v>1.5691197238349296E-3</v>
      </c>
      <c r="N33">
        <f t="shared" si="1"/>
        <v>15691</v>
      </c>
      <c r="O33">
        <f>10000000-SUMIF($B:$B,B33,$N:$N)</f>
        <v>149</v>
      </c>
      <c r="P33" s="19">
        <f>IF(COUNTIF($B$9:B33,B33)&lt;=O33,N33+1,N33)</f>
        <v>15692</v>
      </c>
      <c r="Q33" s="20">
        <f>SUMIF($B:$B,B33,$P:$P)</f>
        <v>10000000</v>
      </c>
      <c r="R33">
        <f t="shared" si="2"/>
        <v>235.36795857523944</v>
      </c>
    </row>
    <row r="34" spans="1:18" ht="23.25" x14ac:dyDescent="0.2">
      <c r="A34" s="15" ph="1">
        <v>21300510</v>
      </c>
      <c r="B34" s="17" t="s">
        <v>1612</v>
      </c>
      <c r="C34" s="15" t="s" ph="1">
        <v>1681</v>
      </c>
      <c r="D34" s="15">
        <v>20000</v>
      </c>
      <c r="E34" s="15" ph="1">
        <v>1000</v>
      </c>
      <c r="F34" s="15" t="s" ph="1">
        <v>1671</v>
      </c>
      <c r="G34" s="15" t="str">
        <f t="shared" si="3"/>
        <v>파우라 계약서</v>
      </c>
      <c r="H34" s="15">
        <v>5</v>
      </c>
      <c r="I34" s="15">
        <v>10</v>
      </c>
      <c r="J34" s="15">
        <f t="shared" si="4"/>
        <v>15692</v>
      </c>
      <c r="K34" s="15">
        <f t="shared" si="0"/>
        <v>150000</v>
      </c>
      <c r="L34">
        <f>SUMIF($B:$B,B34,$K:$K)/K34</f>
        <v>1660</v>
      </c>
      <c r="M34">
        <f>L34/SUMIF($B:$B,B34,$L:$L)</f>
        <v>1.5691197238349296E-3</v>
      </c>
      <c r="N34">
        <f t="shared" si="1"/>
        <v>15691</v>
      </c>
      <c r="O34">
        <f>10000000-SUMIF($B:$B,B34,$N:$N)</f>
        <v>149</v>
      </c>
      <c r="P34" s="19">
        <f>IF(COUNTIF($B$9:B34,B34)&lt;=O34,N34+1,N34)</f>
        <v>15692</v>
      </c>
      <c r="Q34" s="20">
        <f>SUMIF($B:$B,B34,$P:$P)</f>
        <v>10000000</v>
      </c>
      <c r="R34">
        <f t="shared" si="2"/>
        <v>235.36795857523944</v>
      </c>
    </row>
    <row r="35" spans="1:18" ht="23.25" x14ac:dyDescent="0.2">
      <c r="A35" s="15" ph="1">
        <v>21300522</v>
      </c>
      <c r="B35" s="17" t="s">
        <v>1612</v>
      </c>
      <c r="C35" s="15" t="s" ph="1">
        <v>1682</v>
      </c>
      <c r="D35" s="15">
        <v>20000</v>
      </c>
      <c r="E35" s="15" ph="1">
        <v>1000</v>
      </c>
      <c r="F35" s="15" t="s" ph="1">
        <v>1671</v>
      </c>
      <c r="G35" s="15" t="str">
        <f t="shared" si="3"/>
        <v>사파1 계약서</v>
      </c>
      <c r="H35" s="15">
        <v>5</v>
      </c>
      <c r="I35" s="15">
        <v>10</v>
      </c>
      <c r="J35" s="15">
        <f t="shared" si="4"/>
        <v>15692</v>
      </c>
      <c r="K35" s="15">
        <f t="shared" si="0"/>
        <v>150000</v>
      </c>
      <c r="L35">
        <f>SUMIF($B:$B,B35,$K:$K)/K35</f>
        <v>1660</v>
      </c>
      <c r="M35">
        <f>L35/SUMIF($B:$B,B35,$L:$L)</f>
        <v>1.5691197238349296E-3</v>
      </c>
      <c r="N35">
        <f t="shared" si="1"/>
        <v>15691</v>
      </c>
      <c r="O35">
        <f>10000000-SUMIF($B:$B,B35,$N:$N)</f>
        <v>149</v>
      </c>
      <c r="P35" s="19">
        <f>IF(COUNTIF($B$9:B35,B35)&lt;=O35,N35+1,N35)</f>
        <v>15692</v>
      </c>
      <c r="Q35" s="20">
        <f>SUMIF($B:$B,B35,$P:$P)</f>
        <v>10000000</v>
      </c>
      <c r="R35">
        <f t="shared" si="2"/>
        <v>235.36795857523944</v>
      </c>
    </row>
    <row r="36" spans="1:18" ht="23.25" x14ac:dyDescent="0.2">
      <c r="A36" s="15" ph="1">
        <v>21300383</v>
      </c>
      <c r="B36" s="17" t="s">
        <v>1612</v>
      </c>
      <c r="C36" s="15" t="s" ph="1">
        <v>1683</v>
      </c>
      <c r="D36" s="15">
        <v>4000</v>
      </c>
      <c r="E36" s="15" ph="1">
        <v>600</v>
      </c>
      <c r="F36" s="15" t="s" ph="1">
        <v>1655</v>
      </c>
      <c r="G36" s="15" t="str">
        <f t="shared" si="3"/>
        <v>후안 세바스티안 엘카노 계약서</v>
      </c>
      <c r="H36" s="15">
        <v>5</v>
      </c>
      <c r="I36" s="15">
        <v>10</v>
      </c>
      <c r="J36" s="15">
        <f t="shared" si="4"/>
        <v>78456</v>
      </c>
      <c r="K36" s="15">
        <f t="shared" si="0"/>
        <v>30000</v>
      </c>
      <c r="L36">
        <f>SUMIF($B:$B,B36,$K:$K)/K36</f>
        <v>8300</v>
      </c>
      <c r="M36">
        <f>L36/SUMIF($B:$B,B36,$L:$L)</f>
        <v>7.8455986191746478E-3</v>
      </c>
      <c r="N36">
        <f t="shared" si="1"/>
        <v>78455</v>
      </c>
      <c r="O36">
        <f>10000000-SUMIF($B:$B,B36,$N:$N)</f>
        <v>149</v>
      </c>
      <c r="P36" s="19">
        <f>IF(COUNTIF($B$9:B36,B36)&lt;=O36,N36+1,N36)</f>
        <v>78456</v>
      </c>
      <c r="Q36" s="20">
        <f>SUMIF($B:$B,B36,$P:$P)</f>
        <v>10000000</v>
      </c>
      <c r="R36">
        <f t="shared" si="2"/>
        <v>235.36795857523944</v>
      </c>
    </row>
    <row r="37" spans="1:18" ht="23.25" x14ac:dyDescent="0.2">
      <c r="A37" s="15" ph="1">
        <v>21300390</v>
      </c>
      <c r="B37" s="17" t="s">
        <v>1612</v>
      </c>
      <c r="C37" s="15" t="s" ph="1">
        <v>1684</v>
      </c>
      <c r="D37" s="15">
        <v>4000</v>
      </c>
      <c r="E37" s="15" ph="1">
        <v>600</v>
      </c>
      <c r="F37" s="15" t="s" ph="1">
        <v>1655</v>
      </c>
      <c r="G37" s="15" t="str">
        <f t="shared" si="3"/>
        <v>얀 요스턴 판로덴스테인 계약서</v>
      </c>
      <c r="H37" s="15">
        <v>5</v>
      </c>
      <c r="I37" s="15">
        <v>10</v>
      </c>
      <c r="J37" s="15">
        <f t="shared" si="4"/>
        <v>78456</v>
      </c>
      <c r="K37" s="15">
        <f t="shared" si="0"/>
        <v>30000</v>
      </c>
      <c r="L37">
        <f>SUMIF($B:$B,B37,$K:$K)/K37</f>
        <v>8300</v>
      </c>
      <c r="M37">
        <f>L37/SUMIF($B:$B,B37,$L:$L)</f>
        <v>7.8455986191746478E-3</v>
      </c>
      <c r="N37">
        <f t="shared" si="1"/>
        <v>78455</v>
      </c>
      <c r="O37">
        <f>10000000-SUMIF($B:$B,B37,$N:$N)</f>
        <v>149</v>
      </c>
      <c r="P37" s="19">
        <f>IF(COUNTIF($B$9:B37,B37)&lt;=O37,N37+1,N37)</f>
        <v>78456</v>
      </c>
      <c r="Q37" s="20">
        <f>SUMIF($B:$B,B37,$P:$P)</f>
        <v>10000000</v>
      </c>
      <c r="R37">
        <f t="shared" si="2"/>
        <v>235.36795857523944</v>
      </c>
    </row>
    <row r="38" spans="1:18" ht="23.25" x14ac:dyDescent="0.2">
      <c r="A38" s="15" ph="1">
        <v>21300436</v>
      </c>
      <c r="B38" s="17" t="s">
        <v>1612</v>
      </c>
      <c r="C38" s="15" t="s" ph="1">
        <v>1685</v>
      </c>
      <c r="D38" s="15">
        <v>4000</v>
      </c>
      <c r="E38" s="15" ph="1">
        <v>600</v>
      </c>
      <c r="F38" s="15" t="s" ph="1">
        <v>1655</v>
      </c>
      <c r="G38" s="15" t="str">
        <f t="shared" si="3"/>
        <v>스미노쿠라 료이 계약서</v>
      </c>
      <c r="H38" s="15">
        <v>5</v>
      </c>
      <c r="I38" s="15">
        <v>10</v>
      </c>
      <c r="J38" s="15">
        <f t="shared" si="4"/>
        <v>78456</v>
      </c>
      <c r="K38" s="15">
        <f t="shared" si="0"/>
        <v>30000</v>
      </c>
      <c r="L38">
        <f>SUMIF($B:$B,B38,$K:$K)/K38</f>
        <v>8300</v>
      </c>
      <c r="M38">
        <f>L38/SUMIF($B:$B,B38,$L:$L)</f>
        <v>7.8455986191746478E-3</v>
      </c>
      <c r="N38">
        <f t="shared" si="1"/>
        <v>78455</v>
      </c>
      <c r="O38">
        <f>10000000-SUMIF($B:$B,B38,$N:$N)</f>
        <v>149</v>
      </c>
      <c r="P38" s="19">
        <f>IF(COUNTIF($B$9:B38,B38)&lt;=O38,N38+1,N38)</f>
        <v>78456</v>
      </c>
      <c r="Q38" s="20">
        <f>SUMIF($B:$B,B38,$P:$P)</f>
        <v>10000000</v>
      </c>
      <c r="R38">
        <f t="shared" si="2"/>
        <v>235.36795857523944</v>
      </c>
    </row>
    <row r="39" spans="1:18" ht="23.25" x14ac:dyDescent="0.2">
      <c r="A39" s="15" ph="1">
        <v>21300428</v>
      </c>
      <c r="B39" s="17" t="s">
        <v>1612</v>
      </c>
      <c r="C39" s="15" t="s" ph="1">
        <v>1686</v>
      </c>
      <c r="D39" s="15">
        <v>4000</v>
      </c>
      <c r="E39" s="15" ph="1">
        <v>600</v>
      </c>
      <c r="F39" s="15" t="s" ph="1">
        <v>1655</v>
      </c>
      <c r="G39" s="15" t="str">
        <f t="shared" si="3"/>
        <v>안토니우 드살다냐 계약서</v>
      </c>
      <c r="H39" s="15">
        <v>5</v>
      </c>
      <c r="I39" s="15">
        <v>10</v>
      </c>
      <c r="J39" s="15">
        <f t="shared" si="4"/>
        <v>78456</v>
      </c>
      <c r="K39" s="15">
        <f t="shared" si="0"/>
        <v>30000</v>
      </c>
      <c r="L39">
        <f>SUMIF($B:$B,B39,$K:$K)/K39</f>
        <v>8300</v>
      </c>
      <c r="M39">
        <f>L39/SUMIF($B:$B,B39,$L:$L)</f>
        <v>7.8455986191746478E-3</v>
      </c>
      <c r="N39">
        <f t="shared" si="1"/>
        <v>78455</v>
      </c>
      <c r="O39">
        <f>10000000-SUMIF($B:$B,B39,$N:$N)</f>
        <v>149</v>
      </c>
      <c r="P39" s="19">
        <f>IF(COUNTIF($B$9:B39,B39)&lt;=O39,N39+1,N39)</f>
        <v>78456</v>
      </c>
      <c r="Q39" s="20">
        <f>SUMIF($B:$B,B39,$P:$P)</f>
        <v>10000000</v>
      </c>
      <c r="R39">
        <f t="shared" si="2"/>
        <v>235.36795857523944</v>
      </c>
    </row>
    <row r="40" spans="1:18" ht="23.25" x14ac:dyDescent="0.2">
      <c r="A40" s="15" ph="1">
        <v>21300323</v>
      </c>
      <c r="B40" s="17" t="s">
        <v>1612</v>
      </c>
      <c r="C40" s="15" t="s" ph="1">
        <v>1687</v>
      </c>
      <c r="D40" s="15">
        <v>4000</v>
      </c>
      <c r="E40" s="15" ph="1">
        <v>600</v>
      </c>
      <c r="F40" s="15" t="s" ph="1">
        <v>1655</v>
      </c>
      <c r="G40" s="15" t="str">
        <f t="shared" si="3"/>
        <v>앤서니 셜리 계약서</v>
      </c>
      <c r="H40" s="15">
        <v>5</v>
      </c>
      <c r="I40" s="15">
        <v>10</v>
      </c>
      <c r="J40" s="15">
        <f t="shared" si="4"/>
        <v>78456</v>
      </c>
      <c r="K40" s="15">
        <f t="shared" si="0"/>
        <v>30000</v>
      </c>
      <c r="L40">
        <f>SUMIF($B:$B,B40,$K:$K)/K40</f>
        <v>8300</v>
      </c>
      <c r="M40">
        <f>L40/SUMIF($B:$B,B40,$L:$L)</f>
        <v>7.8455986191746478E-3</v>
      </c>
      <c r="N40">
        <f t="shared" si="1"/>
        <v>78455</v>
      </c>
      <c r="O40">
        <f>10000000-SUMIF($B:$B,B40,$N:$N)</f>
        <v>149</v>
      </c>
      <c r="P40" s="19">
        <f>IF(COUNTIF($B$9:B40,B40)&lt;=O40,N40+1,N40)</f>
        <v>78456</v>
      </c>
      <c r="Q40" s="20">
        <f>SUMIF($B:$B,B40,$P:$P)</f>
        <v>10000000</v>
      </c>
      <c r="R40">
        <f t="shared" si="2"/>
        <v>235.36795857523944</v>
      </c>
    </row>
    <row r="41" spans="1:18" ht="23.25" x14ac:dyDescent="0.2">
      <c r="A41" s="15" ph="1">
        <v>21300437</v>
      </c>
      <c r="B41" s="17" t="s">
        <v>1612</v>
      </c>
      <c r="C41" s="15" t="s" ph="1">
        <v>1688</v>
      </c>
      <c r="D41" s="15">
        <v>4000</v>
      </c>
      <c r="E41" s="15" ph="1">
        <v>600</v>
      </c>
      <c r="F41" s="15" t="s" ph="1">
        <v>1655</v>
      </c>
      <c r="G41" s="15" t="str">
        <f t="shared" si="3"/>
        <v>하바 카툰 계약서</v>
      </c>
      <c r="H41" s="15">
        <v>5</v>
      </c>
      <c r="I41" s="15">
        <v>10</v>
      </c>
      <c r="J41" s="15">
        <f t="shared" si="4"/>
        <v>78456</v>
      </c>
      <c r="K41" s="15">
        <f t="shared" si="0"/>
        <v>30000</v>
      </c>
      <c r="L41">
        <f>SUMIF($B:$B,B41,$K:$K)/K41</f>
        <v>8300</v>
      </c>
      <c r="M41">
        <f>L41/SUMIF($B:$B,B41,$L:$L)</f>
        <v>7.8455986191746478E-3</v>
      </c>
      <c r="N41">
        <f t="shared" si="1"/>
        <v>78455</v>
      </c>
      <c r="O41">
        <f>10000000-SUMIF($B:$B,B41,$N:$N)</f>
        <v>149</v>
      </c>
      <c r="P41" s="19">
        <f>IF(COUNTIF($B$9:B41,B41)&lt;=O41,N41+1,N41)</f>
        <v>78456</v>
      </c>
      <c r="Q41" s="20">
        <f>SUMIF($B:$B,B41,$P:$P)</f>
        <v>10000000</v>
      </c>
      <c r="R41">
        <f t="shared" si="2"/>
        <v>235.36795857523944</v>
      </c>
    </row>
    <row r="42" spans="1:18" ht="23.25" x14ac:dyDescent="0.2">
      <c r="A42" s="15" ph="1">
        <v>21300357</v>
      </c>
      <c r="B42" s="17" t="s">
        <v>1612</v>
      </c>
      <c r="C42" s="15" t="s" ph="1">
        <v>1689</v>
      </c>
      <c r="D42" s="15">
        <v>4000</v>
      </c>
      <c r="E42" s="15" ph="1">
        <v>600</v>
      </c>
      <c r="F42" s="15" t="s" ph="1">
        <v>1655</v>
      </c>
      <c r="G42" s="15" t="str">
        <f t="shared" si="3"/>
        <v>마누엘 페레스트렐루 계약서</v>
      </c>
      <c r="H42" s="15">
        <v>5</v>
      </c>
      <c r="I42" s="15">
        <v>10</v>
      </c>
      <c r="J42" s="15">
        <f t="shared" si="4"/>
        <v>78456</v>
      </c>
      <c r="K42" s="15">
        <f t="shared" si="0"/>
        <v>30000</v>
      </c>
      <c r="L42">
        <f>SUMIF($B:$B,B42,$K:$K)/K42</f>
        <v>8300</v>
      </c>
      <c r="M42">
        <f>L42/SUMIF($B:$B,B42,$L:$L)</f>
        <v>7.8455986191746478E-3</v>
      </c>
      <c r="N42">
        <f t="shared" si="1"/>
        <v>78455</v>
      </c>
      <c r="O42">
        <f>10000000-SUMIF($B:$B,B42,$N:$N)</f>
        <v>149</v>
      </c>
      <c r="P42" s="19">
        <f>IF(COUNTIF($B$9:B42,B42)&lt;=O42,N42+1,N42)</f>
        <v>78456</v>
      </c>
      <c r="Q42" s="20">
        <f>SUMIF($B:$B,B42,$P:$P)</f>
        <v>10000000</v>
      </c>
      <c r="R42">
        <f t="shared" si="2"/>
        <v>235.36795857523944</v>
      </c>
    </row>
    <row r="43" spans="1:18" ht="23.25" x14ac:dyDescent="0.2">
      <c r="A43" s="15" ph="1">
        <v>21300392</v>
      </c>
      <c r="B43" s="17" t="s">
        <v>1612</v>
      </c>
      <c r="C43" s="15" t="s" ph="1">
        <v>1690</v>
      </c>
      <c r="D43" s="15">
        <v>4000</v>
      </c>
      <c r="E43" s="15" ph="1">
        <v>600</v>
      </c>
      <c r="F43" s="15" t="s" ph="1">
        <v>1655</v>
      </c>
      <c r="G43" s="15" t="str">
        <f t="shared" si="3"/>
        <v>디오구 캉 계약서</v>
      </c>
      <c r="H43" s="15">
        <v>5</v>
      </c>
      <c r="I43" s="15">
        <v>10</v>
      </c>
      <c r="J43" s="15">
        <f t="shared" si="4"/>
        <v>78456</v>
      </c>
      <c r="K43" s="15">
        <f t="shared" si="0"/>
        <v>30000</v>
      </c>
      <c r="L43">
        <f>SUMIF($B:$B,B43,$K:$K)/K43</f>
        <v>8300</v>
      </c>
      <c r="M43">
        <f>L43/SUMIF($B:$B,B43,$L:$L)</f>
        <v>7.8455986191746478E-3</v>
      </c>
      <c r="N43">
        <f t="shared" si="1"/>
        <v>78455</v>
      </c>
      <c r="O43">
        <f>10000000-SUMIF($B:$B,B43,$N:$N)</f>
        <v>149</v>
      </c>
      <c r="P43" s="19">
        <f>IF(COUNTIF($B$9:B43,B43)&lt;=O43,N43+1,N43)</f>
        <v>78456</v>
      </c>
      <c r="Q43" s="20">
        <f>SUMIF($B:$B,B43,$P:$P)</f>
        <v>10000000</v>
      </c>
      <c r="R43">
        <f t="shared" si="2"/>
        <v>235.36795857523944</v>
      </c>
    </row>
    <row r="44" spans="1:18" ht="23.25" x14ac:dyDescent="0.2">
      <c r="A44" s="15" ph="1">
        <v>21300412</v>
      </c>
      <c r="B44" s="17" t="s">
        <v>1612</v>
      </c>
      <c r="C44" s="15" t="s" ph="1">
        <v>1691</v>
      </c>
      <c r="D44" s="15">
        <v>4000</v>
      </c>
      <c r="E44" s="15" ph="1">
        <v>600</v>
      </c>
      <c r="F44" s="15" t="s" ph="1">
        <v>1655</v>
      </c>
      <c r="G44" s="15" t="str">
        <f t="shared" si="3"/>
        <v>세바스찬 캐벗 계약서</v>
      </c>
      <c r="H44" s="15">
        <v>5</v>
      </c>
      <c r="I44" s="15">
        <v>10</v>
      </c>
      <c r="J44" s="15">
        <f t="shared" si="4"/>
        <v>78456</v>
      </c>
      <c r="K44" s="15">
        <f t="shared" si="0"/>
        <v>30000</v>
      </c>
      <c r="L44">
        <f>SUMIF($B:$B,B44,$K:$K)/K44</f>
        <v>8300</v>
      </c>
      <c r="M44">
        <f>L44/SUMIF($B:$B,B44,$L:$L)</f>
        <v>7.8455986191746478E-3</v>
      </c>
      <c r="N44">
        <f t="shared" si="1"/>
        <v>78455</v>
      </c>
      <c r="O44">
        <f>10000000-SUMIF($B:$B,B44,$N:$N)</f>
        <v>149</v>
      </c>
      <c r="P44" s="19">
        <f>IF(COUNTIF($B$9:B44,B44)&lt;=O44,N44+1,N44)</f>
        <v>78456</v>
      </c>
      <c r="Q44" s="20">
        <f>SUMIF($B:$B,B44,$P:$P)</f>
        <v>10000000</v>
      </c>
      <c r="R44">
        <f t="shared" si="2"/>
        <v>235.36795857523944</v>
      </c>
    </row>
    <row r="45" spans="1:18" ht="23.25" x14ac:dyDescent="0.2">
      <c r="A45" s="15" ph="1">
        <v>21300433</v>
      </c>
      <c r="B45" s="17" t="s">
        <v>1612</v>
      </c>
      <c r="C45" s="15" t="s" ph="1">
        <v>1692</v>
      </c>
      <c r="D45" s="15">
        <v>4000</v>
      </c>
      <c r="E45" s="15" ph="1">
        <v>600</v>
      </c>
      <c r="F45" s="15" t="s" ph="1">
        <v>1655</v>
      </c>
      <c r="G45" s="15" t="str">
        <f t="shared" si="3"/>
        <v>헨리 미들턴 계약서</v>
      </c>
      <c r="H45" s="15">
        <v>5</v>
      </c>
      <c r="I45" s="15">
        <v>10</v>
      </c>
      <c r="J45" s="15">
        <f t="shared" si="4"/>
        <v>78456</v>
      </c>
      <c r="K45" s="15">
        <f t="shared" si="0"/>
        <v>30000</v>
      </c>
      <c r="L45">
        <f>SUMIF($B:$B,B45,$K:$K)/K45</f>
        <v>8300</v>
      </c>
      <c r="M45">
        <f>L45/SUMIF($B:$B,B45,$L:$L)</f>
        <v>7.8455986191746478E-3</v>
      </c>
      <c r="N45">
        <f t="shared" si="1"/>
        <v>78455</v>
      </c>
      <c r="O45">
        <f>10000000-SUMIF($B:$B,B45,$N:$N)</f>
        <v>149</v>
      </c>
      <c r="P45" s="19">
        <f>IF(COUNTIF($B$9:B45,B45)&lt;=O45,N45+1,N45)</f>
        <v>78456</v>
      </c>
      <c r="Q45" s="20">
        <f>SUMIF($B:$B,B45,$P:$P)</f>
        <v>10000000</v>
      </c>
      <c r="R45">
        <f t="shared" si="2"/>
        <v>235.36795857523944</v>
      </c>
    </row>
    <row r="46" spans="1:18" ht="23.25" x14ac:dyDescent="0.2">
      <c r="A46" s="15" ph="1">
        <v>21300443</v>
      </c>
      <c r="B46" s="17" t="s">
        <v>1612</v>
      </c>
      <c r="C46" s="15" t="s" ph="1">
        <v>1693</v>
      </c>
      <c r="D46" s="15">
        <v>4000</v>
      </c>
      <c r="E46" s="15" ph="1">
        <v>600</v>
      </c>
      <c r="F46" s="15" t="s" ph="1">
        <v>1655</v>
      </c>
      <c r="G46" s="15" t="str">
        <f t="shared" si="3"/>
        <v>루도비코 데바르테마 계약서</v>
      </c>
      <c r="H46" s="15">
        <v>5</v>
      </c>
      <c r="I46" s="15">
        <v>10</v>
      </c>
      <c r="J46" s="15">
        <f t="shared" si="4"/>
        <v>78456</v>
      </c>
      <c r="K46" s="15">
        <f t="shared" si="0"/>
        <v>30000</v>
      </c>
      <c r="L46">
        <f>SUMIF($B:$B,B46,$K:$K)/K46</f>
        <v>8300</v>
      </c>
      <c r="M46">
        <f>L46/SUMIF($B:$B,B46,$L:$L)</f>
        <v>7.8455986191746478E-3</v>
      </c>
      <c r="N46">
        <f t="shared" si="1"/>
        <v>78455</v>
      </c>
      <c r="O46">
        <f>10000000-SUMIF($B:$B,B46,$N:$N)</f>
        <v>149</v>
      </c>
      <c r="P46" s="19">
        <f>IF(COUNTIF($B$9:B46,B46)&lt;=O46,N46+1,N46)</f>
        <v>78456</v>
      </c>
      <c r="Q46" s="20">
        <f>SUMIF($B:$B,B46,$P:$P)</f>
        <v>10000000</v>
      </c>
      <c r="R46">
        <f t="shared" si="2"/>
        <v>235.36795857523944</v>
      </c>
    </row>
    <row r="47" spans="1:18" ht="23.25" x14ac:dyDescent="0.2">
      <c r="A47" s="15" ph="1">
        <v>21300488</v>
      </c>
      <c r="B47" s="17" t="s">
        <v>1612</v>
      </c>
      <c r="C47" s="15" t="s" ph="1">
        <v>1694</v>
      </c>
      <c r="D47" s="15">
        <v>4000</v>
      </c>
      <c r="E47" s="15" ph="1">
        <v>600</v>
      </c>
      <c r="F47" s="15" t="s" ph="1">
        <v>1655</v>
      </c>
      <c r="G47" s="15" t="str">
        <f t="shared" si="3"/>
        <v>타라바이 계약서</v>
      </c>
      <c r="H47" s="15">
        <v>5</v>
      </c>
      <c r="I47" s="15">
        <v>10</v>
      </c>
      <c r="J47" s="15">
        <f t="shared" si="4"/>
        <v>78456</v>
      </c>
      <c r="K47" s="15">
        <f t="shared" si="0"/>
        <v>30000</v>
      </c>
      <c r="L47">
        <f>SUMIF($B:$B,B47,$K:$K)/K47</f>
        <v>8300</v>
      </c>
      <c r="M47">
        <f>L47/SUMIF($B:$B,B47,$L:$L)</f>
        <v>7.8455986191746478E-3</v>
      </c>
      <c r="N47">
        <f t="shared" si="1"/>
        <v>78455</v>
      </c>
      <c r="O47">
        <f>10000000-SUMIF($B:$B,B47,$N:$N)</f>
        <v>149</v>
      </c>
      <c r="P47" s="19">
        <f>IF(COUNTIF($B$9:B47,B47)&lt;=O47,N47+1,N47)</f>
        <v>78456</v>
      </c>
      <c r="Q47" s="20">
        <f>SUMIF($B:$B,B47,$P:$P)</f>
        <v>10000000</v>
      </c>
      <c r="R47">
        <f t="shared" si="2"/>
        <v>235.36795857523944</v>
      </c>
    </row>
    <row r="48" spans="1:18" ht="23.25" x14ac:dyDescent="0.2">
      <c r="A48" s="15" ph="1">
        <v>21300501</v>
      </c>
      <c r="B48" s="17" t="s">
        <v>1612</v>
      </c>
      <c r="C48" s="15" t="s" ph="1">
        <v>1695</v>
      </c>
      <c r="D48" s="15">
        <v>4000</v>
      </c>
      <c r="E48" s="15" ph="1">
        <v>600</v>
      </c>
      <c r="F48" s="15" t="s" ph="1">
        <v>1655</v>
      </c>
      <c r="G48" s="15" t="str">
        <f t="shared" si="3"/>
        <v>아나 마리아 데소토 계약서</v>
      </c>
      <c r="H48" s="15">
        <v>5</v>
      </c>
      <c r="I48" s="15">
        <v>10</v>
      </c>
      <c r="J48" s="15">
        <f t="shared" si="4"/>
        <v>78456</v>
      </c>
      <c r="K48" s="15">
        <f t="shared" si="0"/>
        <v>30000</v>
      </c>
      <c r="L48">
        <f>SUMIF($B:$B,B48,$K:$K)/K48</f>
        <v>8300</v>
      </c>
      <c r="M48">
        <f>L48/SUMIF($B:$B,B48,$L:$L)</f>
        <v>7.8455986191746478E-3</v>
      </c>
      <c r="N48">
        <f t="shared" si="1"/>
        <v>78455</v>
      </c>
      <c r="O48">
        <f>10000000-SUMIF($B:$B,B48,$N:$N)</f>
        <v>149</v>
      </c>
      <c r="P48" s="19">
        <f>IF(COUNTIF($B$9:B48,B48)&lt;=O48,N48+1,N48)</f>
        <v>78456</v>
      </c>
      <c r="Q48" s="20">
        <f>SUMIF($B:$B,B48,$P:$P)</f>
        <v>10000000</v>
      </c>
      <c r="R48">
        <f t="shared" si="2"/>
        <v>235.36795857523944</v>
      </c>
    </row>
    <row r="49" spans="1:18" ht="23.25" x14ac:dyDescent="0.2">
      <c r="A49" s="15" ph="1">
        <v>21300399</v>
      </c>
      <c r="B49" s="17" t="s">
        <v>1612</v>
      </c>
      <c r="C49" s="15" t="s" ph="1">
        <v>1696</v>
      </c>
      <c r="D49" s="15">
        <v>4000</v>
      </c>
      <c r="E49" s="15" ph="1">
        <v>600</v>
      </c>
      <c r="F49" s="15" t="s" ph="1">
        <v>1655</v>
      </c>
      <c r="G49" s="15" t="str">
        <f t="shared" si="3"/>
        <v>디에고 데니쿠에사 계약서</v>
      </c>
      <c r="H49" s="15">
        <v>5</v>
      </c>
      <c r="I49" s="15">
        <v>10</v>
      </c>
      <c r="J49" s="15">
        <f t="shared" si="4"/>
        <v>78456</v>
      </c>
      <c r="K49" s="15">
        <f t="shared" si="0"/>
        <v>30000</v>
      </c>
      <c r="L49">
        <f>SUMIF($B:$B,B49,$K:$K)/K49</f>
        <v>8300</v>
      </c>
      <c r="M49">
        <f>L49/SUMIF($B:$B,B49,$L:$L)</f>
        <v>7.8455986191746478E-3</v>
      </c>
      <c r="N49">
        <f t="shared" si="1"/>
        <v>78455</v>
      </c>
      <c r="O49">
        <f>10000000-SUMIF($B:$B,B49,$N:$N)</f>
        <v>149</v>
      </c>
      <c r="P49" s="19">
        <f>IF(COUNTIF($B$9:B49,B49)&lt;=O49,N49+1,N49)</f>
        <v>78456</v>
      </c>
      <c r="Q49" s="20">
        <f>SUMIF($B:$B,B49,$P:$P)</f>
        <v>10000000</v>
      </c>
      <c r="R49">
        <f t="shared" si="2"/>
        <v>235.36795857523944</v>
      </c>
    </row>
    <row r="50" spans="1:18" ht="23.25" x14ac:dyDescent="0.2">
      <c r="A50" s="15" ph="1">
        <v>21300387</v>
      </c>
      <c r="B50" s="17" t="s">
        <v>1612</v>
      </c>
      <c r="C50" s="15" t="s" ph="1">
        <v>1697</v>
      </c>
      <c r="D50" s="15">
        <v>4000</v>
      </c>
      <c r="E50" s="15" ph="1">
        <v>600</v>
      </c>
      <c r="F50" s="15" t="s" ph="1">
        <v>1655</v>
      </c>
      <c r="G50" s="15" t="str">
        <f t="shared" si="3"/>
        <v>페드로 데키로스 계약서</v>
      </c>
      <c r="H50" s="15">
        <v>5</v>
      </c>
      <c r="I50" s="15">
        <v>10</v>
      </c>
      <c r="J50" s="15">
        <f t="shared" si="4"/>
        <v>78456</v>
      </c>
      <c r="K50" s="15">
        <f t="shared" si="0"/>
        <v>30000</v>
      </c>
      <c r="L50">
        <f>SUMIF($B:$B,B50,$K:$K)/K50</f>
        <v>8300</v>
      </c>
      <c r="M50">
        <f>L50/SUMIF($B:$B,B50,$L:$L)</f>
        <v>7.8455986191746478E-3</v>
      </c>
      <c r="N50">
        <f t="shared" si="1"/>
        <v>78455</v>
      </c>
      <c r="O50">
        <f>10000000-SUMIF($B:$B,B50,$N:$N)</f>
        <v>149</v>
      </c>
      <c r="P50" s="19">
        <f>IF(COUNTIF($B$9:B50,B50)&lt;=O50,N50+1,N50)</f>
        <v>78456</v>
      </c>
      <c r="Q50" s="20">
        <f>SUMIF($B:$B,B50,$P:$P)</f>
        <v>10000000</v>
      </c>
      <c r="R50">
        <f t="shared" si="2"/>
        <v>235.36795857523944</v>
      </c>
    </row>
    <row r="51" spans="1:18" ht="23.25" x14ac:dyDescent="0.2">
      <c r="A51" s="15" ph="1">
        <v>21300307</v>
      </c>
      <c r="B51" s="17" t="s">
        <v>1612</v>
      </c>
      <c r="C51" s="15" t="s" ph="1">
        <v>1698</v>
      </c>
      <c r="D51" s="15">
        <v>4000</v>
      </c>
      <c r="E51" s="15" ph="1">
        <v>600</v>
      </c>
      <c r="F51" s="15" t="s" ph="1">
        <v>1655</v>
      </c>
      <c r="G51" s="15" t="str">
        <f t="shared" si="3"/>
        <v>마리아 바르톨라 계약서</v>
      </c>
      <c r="H51" s="15">
        <v>5</v>
      </c>
      <c r="I51" s="15">
        <v>10</v>
      </c>
      <c r="J51" s="15">
        <f t="shared" si="4"/>
        <v>78456</v>
      </c>
      <c r="K51" s="15">
        <f t="shared" si="0"/>
        <v>30000</v>
      </c>
      <c r="L51">
        <f>SUMIF($B:$B,B51,$K:$K)/K51</f>
        <v>8300</v>
      </c>
      <c r="M51">
        <f>L51/SUMIF($B:$B,B51,$L:$L)</f>
        <v>7.8455986191746478E-3</v>
      </c>
      <c r="N51">
        <f t="shared" si="1"/>
        <v>78455</v>
      </c>
      <c r="O51">
        <f>10000000-SUMIF($B:$B,B51,$N:$N)</f>
        <v>149</v>
      </c>
      <c r="P51" s="19">
        <f>IF(COUNTIF($B$9:B51,B51)&lt;=O51,N51+1,N51)</f>
        <v>78456</v>
      </c>
      <c r="Q51" s="20">
        <f>SUMIF($B:$B,B51,$P:$P)</f>
        <v>10000000</v>
      </c>
      <c r="R51">
        <f t="shared" si="2"/>
        <v>235.36795857523944</v>
      </c>
    </row>
    <row r="52" spans="1:18" ht="23.25" x14ac:dyDescent="0.2">
      <c r="A52" s="15" ph="1">
        <v>21300385</v>
      </c>
      <c r="B52" s="17" t="s">
        <v>1612</v>
      </c>
      <c r="C52" s="15" t="s" ph="1">
        <v>1699</v>
      </c>
      <c r="D52" s="15">
        <v>4000</v>
      </c>
      <c r="E52" s="15" ph="1">
        <v>600</v>
      </c>
      <c r="F52" s="15" t="s" ph="1">
        <v>1655</v>
      </c>
      <c r="G52" s="15" t="str">
        <f t="shared" si="3"/>
        <v>곤살로 데케사다 계약서</v>
      </c>
      <c r="H52" s="15">
        <v>5</v>
      </c>
      <c r="I52" s="15">
        <v>10</v>
      </c>
      <c r="J52" s="15">
        <f t="shared" si="4"/>
        <v>78456</v>
      </c>
      <c r="K52" s="15">
        <f t="shared" si="0"/>
        <v>30000</v>
      </c>
      <c r="L52">
        <f>SUMIF($B:$B,B52,$K:$K)/K52</f>
        <v>8300</v>
      </c>
      <c r="M52">
        <f>L52/SUMIF($B:$B,B52,$L:$L)</f>
        <v>7.8455986191746478E-3</v>
      </c>
      <c r="N52">
        <f t="shared" si="1"/>
        <v>78455</v>
      </c>
      <c r="O52">
        <f>10000000-SUMIF($B:$B,B52,$N:$N)</f>
        <v>149</v>
      </c>
      <c r="P52" s="19">
        <f>IF(COUNTIF($B$9:B52,B52)&lt;=O52,N52+1,N52)</f>
        <v>78456</v>
      </c>
      <c r="Q52" s="20">
        <f>SUMIF($B:$B,B52,$P:$P)</f>
        <v>10000000</v>
      </c>
      <c r="R52">
        <f t="shared" si="2"/>
        <v>235.36795857523944</v>
      </c>
    </row>
    <row r="53" spans="1:18" ht="23.25" x14ac:dyDescent="0.2">
      <c r="A53" s="15" ph="1">
        <v>21300337</v>
      </c>
      <c r="B53" s="17" t="s">
        <v>1612</v>
      </c>
      <c r="C53" s="15" t="s" ph="1">
        <v>1700</v>
      </c>
      <c r="D53" s="15">
        <v>4000</v>
      </c>
      <c r="E53" s="15" ph="1">
        <v>600</v>
      </c>
      <c r="F53" s="15" t="s" ph="1">
        <v>1655</v>
      </c>
      <c r="G53" s="15" t="str">
        <f t="shared" si="3"/>
        <v>게오르크 폰슈파이어 계약서</v>
      </c>
      <c r="H53" s="15">
        <v>5</v>
      </c>
      <c r="I53" s="15">
        <v>10</v>
      </c>
      <c r="J53" s="15">
        <f t="shared" si="4"/>
        <v>78456</v>
      </c>
      <c r="K53" s="15">
        <f t="shared" si="0"/>
        <v>30000</v>
      </c>
      <c r="L53">
        <f>SUMIF($B:$B,B53,$K:$K)/K53</f>
        <v>8300</v>
      </c>
      <c r="M53">
        <f>L53/SUMIF($B:$B,B53,$L:$L)</f>
        <v>7.8455986191746478E-3</v>
      </c>
      <c r="N53">
        <f t="shared" si="1"/>
        <v>78455</v>
      </c>
      <c r="O53">
        <f>10000000-SUMIF($B:$B,B53,$N:$N)</f>
        <v>149</v>
      </c>
      <c r="P53" s="19">
        <f>IF(COUNTIF($B$9:B53,B53)&lt;=O53,N53+1,N53)</f>
        <v>78456</v>
      </c>
      <c r="Q53" s="20">
        <f>SUMIF($B:$B,B53,$P:$P)</f>
        <v>10000000</v>
      </c>
      <c r="R53">
        <f t="shared" si="2"/>
        <v>235.36795857523944</v>
      </c>
    </row>
    <row r="54" spans="1:18" ht="23.25" x14ac:dyDescent="0.2">
      <c r="A54" s="15" ph="1">
        <v>21300321</v>
      </c>
      <c r="B54" s="17" t="s">
        <v>1612</v>
      </c>
      <c r="C54" s="15" t="s" ph="1">
        <v>1701</v>
      </c>
      <c r="D54" s="15">
        <v>4000</v>
      </c>
      <c r="E54" s="15" ph="1">
        <v>600</v>
      </c>
      <c r="F54" s="15" t="s" ph="1">
        <v>1655</v>
      </c>
      <c r="G54" s="15" t="str">
        <f t="shared" si="3"/>
        <v>알론소 데멘도사 계약서</v>
      </c>
      <c r="H54" s="15">
        <v>5</v>
      </c>
      <c r="I54" s="15">
        <v>10</v>
      </c>
      <c r="J54" s="15">
        <f t="shared" si="4"/>
        <v>78456</v>
      </c>
      <c r="K54" s="15">
        <f t="shared" si="0"/>
        <v>30000</v>
      </c>
      <c r="L54">
        <f>SUMIF($B:$B,B54,$K:$K)/K54</f>
        <v>8300</v>
      </c>
      <c r="M54">
        <f>L54/SUMIF($B:$B,B54,$L:$L)</f>
        <v>7.8455986191746478E-3</v>
      </c>
      <c r="N54">
        <f t="shared" si="1"/>
        <v>78455</v>
      </c>
      <c r="O54">
        <f>10000000-SUMIF($B:$B,B54,$N:$N)</f>
        <v>149</v>
      </c>
      <c r="P54" s="19">
        <f>IF(COUNTIF($B$9:B54,B54)&lt;=O54,N54+1,N54)</f>
        <v>78456</v>
      </c>
      <c r="Q54" s="20">
        <f>SUMIF($B:$B,B54,$P:$P)</f>
        <v>10000000</v>
      </c>
      <c r="R54">
        <f t="shared" si="2"/>
        <v>235.36795857523944</v>
      </c>
    </row>
    <row r="55" spans="1:18" ht="23.25" x14ac:dyDescent="0.2">
      <c r="A55" s="15" ph="1">
        <v>21300408</v>
      </c>
      <c r="B55" s="17" t="s">
        <v>1612</v>
      </c>
      <c r="C55" s="15" t="s" ph="1">
        <v>1702</v>
      </c>
      <c r="D55" s="15">
        <v>4000</v>
      </c>
      <c r="E55" s="15" ph="1">
        <v>600</v>
      </c>
      <c r="F55" s="15" t="s" ph="1">
        <v>1655</v>
      </c>
      <c r="G55" s="15" t="str">
        <f t="shared" si="3"/>
        <v>에르난도 데소토 계약서</v>
      </c>
      <c r="H55" s="15">
        <v>5</v>
      </c>
      <c r="I55" s="15">
        <v>10</v>
      </c>
      <c r="J55" s="15">
        <f t="shared" si="4"/>
        <v>78456</v>
      </c>
      <c r="K55" s="15">
        <f t="shared" si="0"/>
        <v>30000</v>
      </c>
      <c r="L55">
        <f>SUMIF($B:$B,B55,$K:$K)/K55</f>
        <v>8300</v>
      </c>
      <c r="M55">
        <f>L55/SUMIF($B:$B,B55,$L:$L)</f>
        <v>7.8455986191746478E-3</v>
      </c>
      <c r="N55">
        <f t="shared" si="1"/>
        <v>78455</v>
      </c>
      <c r="O55">
        <f>10000000-SUMIF($B:$B,B55,$N:$N)</f>
        <v>149</v>
      </c>
      <c r="P55" s="19">
        <f>IF(COUNTIF($B$9:B55,B55)&lt;=O55,N55+1,N55)</f>
        <v>78456</v>
      </c>
      <c r="Q55" s="20">
        <f>SUMIF($B:$B,B55,$P:$P)</f>
        <v>10000000</v>
      </c>
      <c r="R55">
        <f t="shared" si="2"/>
        <v>235.36795857523944</v>
      </c>
    </row>
    <row r="56" spans="1:18" ht="23.25" x14ac:dyDescent="0.2">
      <c r="A56" s="15" ph="1">
        <v>21300440</v>
      </c>
      <c r="B56" s="17" t="s">
        <v>1612</v>
      </c>
      <c r="C56" s="15" t="s" ph="1">
        <v>1703</v>
      </c>
      <c r="D56" s="15">
        <v>4000</v>
      </c>
      <c r="E56" s="15" ph="1">
        <v>600</v>
      </c>
      <c r="F56" s="15" t="s" ph="1">
        <v>1655</v>
      </c>
      <c r="G56" s="15" t="str">
        <f t="shared" si="3"/>
        <v>프란시스코 데헤레스 계약서</v>
      </c>
      <c r="H56" s="15">
        <v>5</v>
      </c>
      <c r="I56" s="15">
        <v>10</v>
      </c>
      <c r="J56" s="15">
        <f t="shared" si="4"/>
        <v>78456</v>
      </c>
      <c r="K56" s="15">
        <f t="shared" si="0"/>
        <v>30000</v>
      </c>
      <c r="L56">
        <f>SUMIF($B:$B,B56,$K:$K)/K56</f>
        <v>8300</v>
      </c>
      <c r="M56">
        <f>L56/SUMIF($B:$B,B56,$L:$L)</f>
        <v>7.8455986191746478E-3</v>
      </c>
      <c r="N56">
        <f t="shared" si="1"/>
        <v>78455</v>
      </c>
      <c r="O56">
        <f>10000000-SUMIF($B:$B,B56,$N:$N)</f>
        <v>149</v>
      </c>
      <c r="P56" s="19">
        <f>IF(COUNTIF($B$9:B56,B56)&lt;=O56,N56+1,N56)</f>
        <v>78456</v>
      </c>
      <c r="Q56" s="20">
        <f>SUMIF($B:$B,B56,$P:$P)</f>
        <v>10000000</v>
      </c>
      <c r="R56">
        <f t="shared" si="2"/>
        <v>235.36795857523944</v>
      </c>
    </row>
    <row r="57" spans="1:18" ht="23.25" x14ac:dyDescent="0.2">
      <c r="A57" s="15" ph="1">
        <v>21300322</v>
      </c>
      <c r="B57" s="17" t="s">
        <v>1612</v>
      </c>
      <c r="C57" s="15" t="s" ph="1">
        <v>1704</v>
      </c>
      <c r="D57" s="15">
        <v>4000</v>
      </c>
      <c r="E57" s="15" ph="1">
        <v>600</v>
      </c>
      <c r="F57" s="15" t="s" ph="1">
        <v>1655</v>
      </c>
      <c r="G57" s="15" t="str">
        <f t="shared" si="3"/>
        <v>암브로지우스 에힝어 계약서</v>
      </c>
      <c r="H57" s="15">
        <v>5</v>
      </c>
      <c r="I57" s="15">
        <v>10</v>
      </c>
      <c r="J57" s="15">
        <f t="shared" si="4"/>
        <v>78456</v>
      </c>
      <c r="K57" s="15">
        <f t="shared" si="0"/>
        <v>30000</v>
      </c>
      <c r="L57">
        <f>SUMIF($B:$B,B57,$K:$K)/K57</f>
        <v>8300</v>
      </c>
      <c r="M57">
        <f>L57/SUMIF($B:$B,B57,$L:$L)</f>
        <v>7.8455986191746478E-3</v>
      </c>
      <c r="N57">
        <f t="shared" si="1"/>
        <v>78455</v>
      </c>
      <c r="O57">
        <f>10000000-SUMIF($B:$B,B57,$N:$N)</f>
        <v>149</v>
      </c>
      <c r="P57" s="19">
        <f>IF(COUNTIF($B$9:B57,B57)&lt;=O57,N57+1,N57)</f>
        <v>78456</v>
      </c>
      <c r="Q57" s="20">
        <f>SUMIF($B:$B,B57,$P:$P)</f>
        <v>10000000</v>
      </c>
      <c r="R57">
        <f t="shared" si="2"/>
        <v>235.36795857523944</v>
      </c>
    </row>
    <row r="58" spans="1:18" ht="23.25" x14ac:dyDescent="0.2">
      <c r="A58" s="15" ph="1">
        <v>21300458</v>
      </c>
      <c r="B58" s="17" t="s">
        <v>1612</v>
      </c>
      <c r="C58" s="15" t="s" ph="1">
        <v>1705</v>
      </c>
      <c r="D58" s="15">
        <v>4000</v>
      </c>
      <c r="E58" s="15" ph="1">
        <v>600</v>
      </c>
      <c r="F58" s="15" t="s" ph="1">
        <v>1655</v>
      </c>
      <c r="G58" s="15" t="str">
        <f t="shared" si="3"/>
        <v>그레고리오 세스페데스 계약서</v>
      </c>
      <c r="H58" s="15">
        <v>5</v>
      </c>
      <c r="I58" s="15">
        <v>10</v>
      </c>
      <c r="J58" s="15">
        <f t="shared" si="4"/>
        <v>78456</v>
      </c>
      <c r="K58" s="15">
        <f t="shared" si="0"/>
        <v>30000</v>
      </c>
      <c r="L58">
        <f>SUMIF($B:$B,B58,$K:$K)/K58</f>
        <v>8300</v>
      </c>
      <c r="M58">
        <f>L58/SUMIF($B:$B,B58,$L:$L)</f>
        <v>7.8455986191746478E-3</v>
      </c>
      <c r="N58">
        <f t="shared" si="1"/>
        <v>78455</v>
      </c>
      <c r="O58">
        <f>10000000-SUMIF($B:$B,B58,$N:$N)</f>
        <v>149</v>
      </c>
      <c r="P58" s="19">
        <f>IF(COUNTIF($B$9:B58,B58)&lt;=O58,N58+1,N58)</f>
        <v>78456</v>
      </c>
      <c r="Q58" s="20">
        <f>SUMIF($B:$B,B58,$P:$P)</f>
        <v>10000000</v>
      </c>
      <c r="R58">
        <f t="shared" si="2"/>
        <v>235.36795857523944</v>
      </c>
    </row>
    <row r="59" spans="1:18" ht="23.25" x14ac:dyDescent="0.2">
      <c r="A59" s="15" ph="1">
        <v>21300303</v>
      </c>
      <c r="B59" s="17" t="s">
        <v>1612</v>
      </c>
      <c r="C59" s="15" t="s" ph="1">
        <v>1706</v>
      </c>
      <c r="D59" s="15">
        <v>4000</v>
      </c>
      <c r="E59" s="15" ph="1">
        <v>600</v>
      </c>
      <c r="F59" s="15" t="s" ph="1">
        <v>1655</v>
      </c>
      <c r="G59" s="15" t="str">
        <f t="shared" si="3"/>
        <v>타네커 스코닝스 계약서</v>
      </c>
      <c r="H59" s="15">
        <v>5</v>
      </c>
      <c r="I59" s="15">
        <v>10</v>
      </c>
      <c r="J59" s="15">
        <f t="shared" si="4"/>
        <v>78456</v>
      </c>
      <c r="K59" s="15">
        <f t="shared" si="0"/>
        <v>30000</v>
      </c>
      <c r="L59">
        <f>SUMIF($B:$B,B59,$K:$K)/K59</f>
        <v>8300</v>
      </c>
      <c r="M59">
        <f>L59/SUMIF($B:$B,B59,$L:$L)</f>
        <v>7.8455986191746478E-3</v>
      </c>
      <c r="N59">
        <f t="shared" si="1"/>
        <v>78455</v>
      </c>
      <c r="O59">
        <f>10000000-SUMIF($B:$B,B59,$N:$N)</f>
        <v>149</v>
      </c>
      <c r="P59" s="19">
        <f>IF(COUNTIF($B$9:B59,B59)&lt;=O59,N59+1,N59)</f>
        <v>78456</v>
      </c>
      <c r="Q59" s="20">
        <f>SUMIF($B:$B,B59,$P:$P)</f>
        <v>10000000</v>
      </c>
      <c r="R59">
        <f t="shared" si="2"/>
        <v>235.36795857523944</v>
      </c>
    </row>
    <row r="60" spans="1:18" ht="23.25" x14ac:dyDescent="0.2">
      <c r="A60" s="15" ph="1">
        <v>21300308</v>
      </c>
      <c r="B60" s="17" t="s">
        <v>1612</v>
      </c>
      <c r="C60" s="15" t="s" ph="1">
        <v>1707</v>
      </c>
      <c r="D60" s="15">
        <v>4000</v>
      </c>
      <c r="E60" s="15" ph="1">
        <v>600</v>
      </c>
      <c r="F60" s="15" t="s" ph="1">
        <v>1655</v>
      </c>
      <c r="G60" s="15" t="str">
        <f t="shared" si="3"/>
        <v>시도니아 폰보르크 계약서</v>
      </c>
      <c r="H60" s="15">
        <v>5</v>
      </c>
      <c r="I60" s="15">
        <v>10</v>
      </c>
      <c r="J60" s="15">
        <f t="shared" si="4"/>
        <v>78456</v>
      </c>
      <c r="K60" s="15">
        <f t="shared" si="0"/>
        <v>30000</v>
      </c>
      <c r="L60">
        <f>SUMIF($B:$B,B60,$K:$K)/K60</f>
        <v>8300</v>
      </c>
      <c r="M60">
        <f>L60/SUMIF($B:$B,B60,$L:$L)</f>
        <v>7.8455986191746478E-3</v>
      </c>
      <c r="N60">
        <f t="shared" si="1"/>
        <v>78455</v>
      </c>
      <c r="O60">
        <f>10000000-SUMIF($B:$B,B60,$N:$N)</f>
        <v>149</v>
      </c>
      <c r="P60" s="19">
        <f>IF(COUNTIF($B$9:B60,B60)&lt;=O60,N60+1,N60)</f>
        <v>78456</v>
      </c>
      <c r="Q60" s="20">
        <f>SUMIF($B:$B,B60,$P:$P)</f>
        <v>10000000</v>
      </c>
      <c r="R60">
        <f t="shared" si="2"/>
        <v>235.36795857523944</v>
      </c>
    </row>
    <row r="61" spans="1:18" ht="23.25" x14ac:dyDescent="0.2">
      <c r="A61" s="15" ph="1">
        <v>21300311</v>
      </c>
      <c r="B61" s="17" t="s">
        <v>1612</v>
      </c>
      <c r="C61" s="15" t="s" ph="1">
        <v>1708</v>
      </c>
      <c r="D61" s="15">
        <v>4000</v>
      </c>
      <c r="E61" s="15" ph="1">
        <v>600</v>
      </c>
      <c r="F61" s="15" t="s" ph="1">
        <v>1655</v>
      </c>
      <c r="G61" s="15" t="str">
        <f t="shared" si="3"/>
        <v>카타리나 헤노트 계약서</v>
      </c>
      <c r="H61" s="15">
        <v>5</v>
      </c>
      <c r="I61" s="15">
        <v>10</v>
      </c>
      <c r="J61" s="15">
        <f t="shared" si="4"/>
        <v>78456</v>
      </c>
      <c r="K61" s="15">
        <f t="shared" si="0"/>
        <v>30000</v>
      </c>
      <c r="L61">
        <f>SUMIF($B:$B,B61,$K:$K)/K61</f>
        <v>8300</v>
      </c>
      <c r="M61">
        <f>L61/SUMIF($B:$B,B61,$L:$L)</f>
        <v>7.8455986191746478E-3</v>
      </c>
      <c r="N61">
        <f t="shared" si="1"/>
        <v>78455</v>
      </c>
      <c r="O61">
        <f>10000000-SUMIF($B:$B,B61,$N:$N)</f>
        <v>149</v>
      </c>
      <c r="P61" s="19">
        <f>IF(COUNTIF($B$9:B61,B61)&lt;=O61,N61+1,N61)</f>
        <v>78456</v>
      </c>
      <c r="Q61" s="20">
        <f>SUMIF($B:$B,B61,$P:$P)</f>
        <v>10000000</v>
      </c>
      <c r="R61">
        <f t="shared" si="2"/>
        <v>235.36795857523944</v>
      </c>
    </row>
    <row r="62" spans="1:18" ht="23.25" x14ac:dyDescent="0.2">
      <c r="A62" s="15" ph="1">
        <v>21300416</v>
      </c>
      <c r="B62" s="17" t="s">
        <v>1612</v>
      </c>
      <c r="C62" s="15" t="s" ph="1">
        <v>1709</v>
      </c>
      <c r="D62" s="15">
        <v>4000</v>
      </c>
      <c r="E62" s="15" ph="1">
        <v>600</v>
      </c>
      <c r="F62" s="15" t="s" ph="1">
        <v>1655</v>
      </c>
      <c r="G62" s="15" t="str">
        <f t="shared" si="3"/>
        <v>기도 데라베사리스 계약서</v>
      </c>
      <c r="H62" s="15">
        <v>5</v>
      </c>
      <c r="I62" s="15">
        <v>10</v>
      </c>
      <c r="J62" s="15">
        <f t="shared" si="4"/>
        <v>78456</v>
      </c>
      <c r="K62" s="15">
        <f t="shared" si="0"/>
        <v>30000</v>
      </c>
      <c r="L62">
        <f>SUMIF($B:$B,B62,$K:$K)/K62</f>
        <v>8300</v>
      </c>
      <c r="M62">
        <f>L62/SUMIF($B:$B,B62,$L:$L)</f>
        <v>7.8455986191746478E-3</v>
      </c>
      <c r="N62">
        <f t="shared" si="1"/>
        <v>78455</v>
      </c>
      <c r="O62">
        <f>10000000-SUMIF($B:$B,B62,$N:$N)</f>
        <v>149</v>
      </c>
      <c r="P62" s="19">
        <f>IF(COUNTIF($B$9:B62,B62)&lt;=O62,N62+1,N62)</f>
        <v>78456</v>
      </c>
      <c r="Q62" s="20">
        <f>SUMIF($B:$B,B62,$P:$P)</f>
        <v>10000000</v>
      </c>
      <c r="R62">
        <f t="shared" si="2"/>
        <v>235.36795857523944</v>
      </c>
    </row>
    <row r="63" spans="1:18" ht="23.25" x14ac:dyDescent="0.2">
      <c r="A63" s="15" ph="1">
        <v>21300326</v>
      </c>
      <c r="B63" s="17" t="s">
        <v>1612</v>
      </c>
      <c r="C63" s="15" t="s" ph="1">
        <v>1710</v>
      </c>
      <c r="D63" s="15">
        <v>4000</v>
      </c>
      <c r="E63" s="15" ph="1">
        <v>600</v>
      </c>
      <c r="F63" s="15" t="s" ph="1">
        <v>1655</v>
      </c>
      <c r="G63" s="15" t="str">
        <f t="shared" si="3"/>
        <v>베니토 고메스 계약서</v>
      </c>
      <c r="H63" s="15">
        <v>5</v>
      </c>
      <c r="I63" s="15">
        <v>10</v>
      </c>
      <c r="J63" s="15">
        <f t="shared" si="4"/>
        <v>78456</v>
      </c>
      <c r="K63" s="15">
        <f t="shared" si="0"/>
        <v>30000</v>
      </c>
      <c r="L63">
        <f>SUMIF($B:$B,B63,$K:$K)/K63</f>
        <v>8300</v>
      </c>
      <c r="M63">
        <f>L63/SUMIF($B:$B,B63,$L:$L)</f>
        <v>7.8455986191746478E-3</v>
      </c>
      <c r="N63">
        <f t="shared" si="1"/>
        <v>78455</v>
      </c>
      <c r="O63">
        <f>10000000-SUMIF($B:$B,B63,$N:$N)</f>
        <v>149</v>
      </c>
      <c r="P63" s="19">
        <f>IF(COUNTIF($B$9:B63,B63)&lt;=O63,N63+1,N63)</f>
        <v>78456</v>
      </c>
      <c r="Q63" s="20">
        <f>SUMIF($B:$B,B63,$P:$P)</f>
        <v>10000000</v>
      </c>
      <c r="R63">
        <f t="shared" si="2"/>
        <v>235.36795857523944</v>
      </c>
    </row>
    <row r="64" spans="1:18" ht="23.25" x14ac:dyDescent="0.2">
      <c r="A64" s="15" ph="1">
        <v>21300330</v>
      </c>
      <c r="B64" s="17" t="s">
        <v>1612</v>
      </c>
      <c r="C64" s="15" t="s" ph="1">
        <v>1711</v>
      </c>
      <c r="D64" s="15">
        <v>4000</v>
      </c>
      <c r="E64" s="15" ph="1">
        <v>600</v>
      </c>
      <c r="F64" s="15" t="s" ph="1">
        <v>1655</v>
      </c>
      <c r="G64" s="15" t="str">
        <f t="shared" si="3"/>
        <v>프란시스쿠 알바레스 계약서</v>
      </c>
      <c r="H64" s="15">
        <v>5</v>
      </c>
      <c r="I64" s="15">
        <v>10</v>
      </c>
      <c r="J64" s="15">
        <f t="shared" si="4"/>
        <v>78456</v>
      </c>
      <c r="K64" s="15">
        <f t="shared" si="0"/>
        <v>30000</v>
      </c>
      <c r="L64">
        <f>SUMIF($B:$B,B64,$K:$K)/K64</f>
        <v>8300</v>
      </c>
      <c r="M64">
        <f>L64/SUMIF($B:$B,B64,$L:$L)</f>
        <v>7.8455986191746478E-3</v>
      </c>
      <c r="N64">
        <f t="shared" si="1"/>
        <v>78455</v>
      </c>
      <c r="O64">
        <f>10000000-SUMIF($B:$B,B64,$N:$N)</f>
        <v>149</v>
      </c>
      <c r="P64" s="19">
        <f>IF(COUNTIF($B$9:B64,B64)&lt;=O64,N64+1,N64)</f>
        <v>78456</v>
      </c>
      <c r="Q64" s="20">
        <f>SUMIF($B:$B,B64,$P:$P)</f>
        <v>10000000</v>
      </c>
      <c r="R64">
        <f t="shared" si="2"/>
        <v>235.36795857523944</v>
      </c>
    </row>
    <row r="65" spans="1:18" ht="23.25" x14ac:dyDescent="0.2">
      <c r="A65" s="15" ph="1">
        <v>21300332</v>
      </c>
      <c r="B65" s="17" t="s">
        <v>1612</v>
      </c>
      <c r="C65" s="15" t="s" ph="1">
        <v>1712</v>
      </c>
      <c r="D65" s="15">
        <v>4000</v>
      </c>
      <c r="E65" s="15" ph="1">
        <v>600</v>
      </c>
      <c r="F65" s="15" t="s" ph="1">
        <v>1655</v>
      </c>
      <c r="G65" s="15" t="str">
        <f t="shared" si="3"/>
        <v>디에구 소사 계약서</v>
      </c>
      <c r="H65" s="15">
        <v>5</v>
      </c>
      <c r="I65" s="15">
        <v>10</v>
      </c>
      <c r="J65" s="15">
        <f t="shared" si="4"/>
        <v>78456</v>
      </c>
      <c r="K65" s="15">
        <f t="shared" si="0"/>
        <v>30000</v>
      </c>
      <c r="L65">
        <f>SUMIF($B:$B,B65,$K:$K)/K65</f>
        <v>8300</v>
      </c>
      <c r="M65">
        <f>L65/SUMIF($B:$B,B65,$L:$L)</f>
        <v>7.8455986191746478E-3</v>
      </c>
      <c r="N65">
        <f t="shared" si="1"/>
        <v>78455</v>
      </c>
      <c r="O65">
        <f>10000000-SUMIF($B:$B,B65,$N:$N)</f>
        <v>149</v>
      </c>
      <c r="P65" s="19">
        <f>IF(COUNTIF($B$9:B65,B65)&lt;=O65,N65+1,N65)</f>
        <v>78456</v>
      </c>
      <c r="Q65" s="20">
        <f>SUMIF($B:$B,B65,$P:$P)</f>
        <v>10000000</v>
      </c>
      <c r="R65">
        <f t="shared" si="2"/>
        <v>235.36795857523944</v>
      </c>
    </row>
    <row r="66" spans="1:18" ht="23.25" x14ac:dyDescent="0.2">
      <c r="A66" s="15" ph="1">
        <v>21300333</v>
      </c>
      <c r="B66" s="17" t="s">
        <v>1612</v>
      </c>
      <c r="C66" s="15" t="s" ph="1">
        <v>1713</v>
      </c>
      <c r="D66" s="15">
        <v>4000</v>
      </c>
      <c r="E66" s="15" ph="1">
        <v>600</v>
      </c>
      <c r="F66" s="15" t="s" ph="1">
        <v>1655</v>
      </c>
      <c r="G66" s="15" t="str">
        <f t="shared" si="3"/>
        <v>곤잘루 실베이라 계약서</v>
      </c>
      <c r="H66" s="15">
        <v>5</v>
      </c>
      <c r="I66" s="15">
        <v>10</v>
      </c>
      <c r="J66" s="15">
        <f t="shared" si="4"/>
        <v>78456</v>
      </c>
      <c r="K66" s="15">
        <f t="shared" si="0"/>
        <v>30000</v>
      </c>
      <c r="L66">
        <f>SUMIF($B:$B,B66,$K:$K)/K66</f>
        <v>8300</v>
      </c>
      <c r="M66">
        <f>L66/SUMIF($B:$B,B66,$L:$L)</f>
        <v>7.8455986191746478E-3</v>
      </c>
      <c r="N66">
        <f t="shared" si="1"/>
        <v>78455</v>
      </c>
      <c r="O66">
        <f>10000000-SUMIF($B:$B,B66,$N:$N)</f>
        <v>149</v>
      </c>
      <c r="P66" s="19">
        <f>IF(COUNTIF($B$9:B66,B66)&lt;=O66,N66+1,N66)</f>
        <v>78456</v>
      </c>
      <c r="Q66" s="20">
        <f>SUMIF($B:$B,B66,$P:$P)</f>
        <v>10000000</v>
      </c>
      <c r="R66">
        <f t="shared" si="2"/>
        <v>235.36795857523944</v>
      </c>
    </row>
    <row r="67" spans="1:18" ht="23.25" x14ac:dyDescent="0.2">
      <c r="A67" s="15" ph="1">
        <v>21300338</v>
      </c>
      <c r="B67" s="17" t="s">
        <v>1612</v>
      </c>
      <c r="C67" s="15" t="s" ph="1">
        <v>1714</v>
      </c>
      <c r="D67" s="15">
        <v>4000</v>
      </c>
      <c r="E67" s="15" ph="1">
        <v>600</v>
      </c>
      <c r="F67" s="15" t="s" ph="1">
        <v>1655</v>
      </c>
      <c r="G67" s="15" t="str">
        <f t="shared" si="3"/>
        <v>조반니 베세리스 계약서</v>
      </c>
      <c r="H67" s="15">
        <v>5</v>
      </c>
      <c r="I67" s="15">
        <v>10</v>
      </c>
      <c r="J67" s="15">
        <f t="shared" si="4"/>
        <v>78456</v>
      </c>
      <c r="K67" s="15">
        <f t="shared" si="0"/>
        <v>30000</v>
      </c>
      <c r="L67">
        <f>SUMIF($B:$B,B67,$K:$K)/K67</f>
        <v>8300</v>
      </c>
      <c r="M67">
        <f>L67/SUMIF($B:$B,B67,$L:$L)</f>
        <v>7.8455986191746478E-3</v>
      </c>
      <c r="N67">
        <f t="shared" si="1"/>
        <v>78455</v>
      </c>
      <c r="O67">
        <f>10000000-SUMIF($B:$B,B67,$N:$N)</f>
        <v>149</v>
      </c>
      <c r="P67" s="19">
        <f>IF(COUNTIF($B$9:B67,B67)&lt;=O67,N67+1,N67)</f>
        <v>78456</v>
      </c>
      <c r="Q67" s="20">
        <f>SUMIF($B:$B,B67,$P:$P)</f>
        <v>10000000</v>
      </c>
      <c r="R67">
        <f t="shared" si="2"/>
        <v>235.36795857523944</v>
      </c>
    </row>
    <row r="68" spans="1:18" ht="23.25" x14ac:dyDescent="0.2">
      <c r="A68" s="15" ph="1">
        <v>21300340</v>
      </c>
      <c r="B68" s="17" t="s">
        <v>1612</v>
      </c>
      <c r="C68" s="15" t="s" ph="1">
        <v>1715</v>
      </c>
      <c r="D68" s="15">
        <v>4000</v>
      </c>
      <c r="E68" s="15" ph="1">
        <v>600</v>
      </c>
      <c r="F68" s="15" t="s" ph="1">
        <v>1655</v>
      </c>
      <c r="G68" s="15" t="str">
        <f t="shared" si="3"/>
        <v>귀도 벤조 계약서</v>
      </c>
      <c r="H68" s="15">
        <v>5</v>
      </c>
      <c r="I68" s="15">
        <v>10</v>
      </c>
      <c r="J68" s="15">
        <f t="shared" si="4"/>
        <v>78456</v>
      </c>
      <c r="K68" s="15">
        <f t="shared" si="0"/>
        <v>30000</v>
      </c>
      <c r="L68">
        <f>SUMIF($B:$B,B68,$K:$K)/K68</f>
        <v>8300</v>
      </c>
      <c r="M68">
        <f>L68/SUMIF($B:$B,B68,$L:$L)</f>
        <v>7.8455986191746478E-3</v>
      </c>
      <c r="N68">
        <f t="shared" si="1"/>
        <v>78455</v>
      </c>
      <c r="O68">
        <f>10000000-SUMIF($B:$B,B68,$N:$N)</f>
        <v>149</v>
      </c>
      <c r="P68" s="19">
        <f>IF(COUNTIF($B$9:B68,B68)&lt;=O68,N68+1,N68)</f>
        <v>78456</v>
      </c>
      <c r="Q68" s="20">
        <f>SUMIF($B:$B,B68,$P:$P)</f>
        <v>10000000</v>
      </c>
      <c r="R68">
        <f t="shared" si="2"/>
        <v>235.36795857523944</v>
      </c>
    </row>
    <row r="69" spans="1:18" ht="23.25" x14ac:dyDescent="0.2">
      <c r="A69" s="15" ph="1">
        <v>21300341</v>
      </c>
      <c r="B69" s="17" t="s">
        <v>1612</v>
      </c>
      <c r="C69" s="15" t="s" ph="1">
        <v>1716</v>
      </c>
      <c r="D69" s="15">
        <v>4000</v>
      </c>
      <c r="E69" s="15" ph="1">
        <v>600</v>
      </c>
      <c r="F69" s="15" t="s" ph="1">
        <v>1655</v>
      </c>
      <c r="G69" s="15" t="str">
        <f t="shared" si="3"/>
        <v>앤서니 존슨 계약서</v>
      </c>
      <c r="H69" s="15">
        <v>5</v>
      </c>
      <c r="I69" s="15">
        <v>10</v>
      </c>
      <c r="J69" s="15">
        <f t="shared" si="4"/>
        <v>78456</v>
      </c>
      <c r="K69" s="15">
        <f t="shared" si="0"/>
        <v>30000</v>
      </c>
      <c r="L69">
        <f>SUMIF($B:$B,B69,$K:$K)/K69</f>
        <v>8300</v>
      </c>
      <c r="M69">
        <f>L69/SUMIF($B:$B,B69,$L:$L)</f>
        <v>7.8455986191746478E-3</v>
      </c>
      <c r="N69">
        <f t="shared" si="1"/>
        <v>78455</v>
      </c>
      <c r="O69">
        <f>10000000-SUMIF($B:$B,B69,$N:$N)</f>
        <v>149</v>
      </c>
      <c r="P69" s="19">
        <f>IF(COUNTIF($B$9:B69,B69)&lt;=O69,N69+1,N69)</f>
        <v>78456</v>
      </c>
      <c r="Q69" s="20">
        <f>SUMIF($B:$B,B69,$P:$P)</f>
        <v>10000000</v>
      </c>
      <c r="R69">
        <f t="shared" si="2"/>
        <v>235.36795857523944</v>
      </c>
    </row>
    <row r="70" spans="1:18" ht="23.25" x14ac:dyDescent="0.2">
      <c r="A70" s="15" ph="1">
        <v>21300344</v>
      </c>
      <c r="B70" s="17" t="s">
        <v>1612</v>
      </c>
      <c r="C70" s="15" t="s" ph="1">
        <v>1717</v>
      </c>
      <c r="D70" s="15">
        <v>4000</v>
      </c>
      <c r="E70" s="15" ph="1">
        <v>600</v>
      </c>
      <c r="F70" s="15" t="s" ph="1">
        <v>1655</v>
      </c>
      <c r="G70" s="15" t="str">
        <f t="shared" si="3"/>
        <v>휘호 올잭 계약서</v>
      </c>
      <c r="H70" s="15">
        <v>5</v>
      </c>
      <c r="I70" s="15">
        <v>10</v>
      </c>
      <c r="J70" s="15">
        <f t="shared" si="4"/>
        <v>78456</v>
      </c>
      <c r="K70" s="15">
        <f t="shared" si="0"/>
        <v>30000</v>
      </c>
      <c r="L70">
        <f>SUMIF($B:$B,B70,$K:$K)/K70</f>
        <v>8300</v>
      </c>
      <c r="M70">
        <f>L70/SUMIF($B:$B,B70,$L:$L)</f>
        <v>7.8455986191746478E-3</v>
      </c>
      <c r="N70">
        <f t="shared" si="1"/>
        <v>78455</v>
      </c>
      <c r="O70">
        <f>10000000-SUMIF($B:$B,B70,$N:$N)</f>
        <v>149</v>
      </c>
      <c r="P70" s="19">
        <f>IF(COUNTIF($B$9:B70,B70)&lt;=O70,N70+1,N70)</f>
        <v>78456</v>
      </c>
      <c r="Q70" s="20">
        <f>SUMIF($B:$B,B70,$P:$P)</f>
        <v>10000000</v>
      </c>
      <c r="R70">
        <f t="shared" si="2"/>
        <v>235.36795857523944</v>
      </c>
    </row>
    <row r="71" spans="1:18" ht="23.25" x14ac:dyDescent="0.2">
      <c r="A71" s="15" ph="1">
        <v>21300350</v>
      </c>
      <c r="B71" s="17" t="s">
        <v>1612</v>
      </c>
      <c r="C71" s="15" t="s" ph="1">
        <v>1718</v>
      </c>
      <c r="D71" s="15">
        <v>4000</v>
      </c>
      <c r="E71" s="15" ph="1">
        <v>600</v>
      </c>
      <c r="F71" s="15" t="s" ph="1">
        <v>1655</v>
      </c>
      <c r="G71" s="15" t="str">
        <f t="shared" si="3"/>
        <v>발보아 오리드 계약서</v>
      </c>
      <c r="H71" s="15">
        <v>5</v>
      </c>
      <c r="I71" s="15">
        <v>10</v>
      </c>
      <c r="J71" s="15">
        <f t="shared" si="4"/>
        <v>78456</v>
      </c>
      <c r="K71" s="15">
        <f t="shared" si="0"/>
        <v>30000</v>
      </c>
      <c r="L71">
        <f>SUMIF($B:$B,B71,$K:$K)/K71</f>
        <v>8300</v>
      </c>
      <c r="M71">
        <f>L71/SUMIF($B:$B,B71,$L:$L)</f>
        <v>7.8455986191746478E-3</v>
      </c>
      <c r="N71">
        <f t="shared" si="1"/>
        <v>78455</v>
      </c>
      <c r="O71">
        <f>10000000-SUMIF($B:$B,B71,$N:$N)</f>
        <v>149</v>
      </c>
      <c r="P71" s="19">
        <f>IF(COUNTIF($B$9:B71,B71)&lt;=O71,N71+1,N71)</f>
        <v>78456</v>
      </c>
      <c r="Q71" s="20">
        <f>SUMIF($B:$B,B71,$P:$P)</f>
        <v>10000000</v>
      </c>
      <c r="R71">
        <f t="shared" si="2"/>
        <v>235.36795857523944</v>
      </c>
    </row>
    <row r="72" spans="1:18" ht="23.25" x14ac:dyDescent="0.2">
      <c r="A72" s="15" ph="1">
        <v>21300354</v>
      </c>
      <c r="B72" s="17" t="s">
        <v>1612</v>
      </c>
      <c r="C72" s="15" t="s" ph="1">
        <v>1719</v>
      </c>
      <c r="D72" s="15">
        <v>4000</v>
      </c>
      <c r="E72" s="15" ph="1">
        <v>600</v>
      </c>
      <c r="F72" s="15" t="s" ph="1">
        <v>1655</v>
      </c>
      <c r="G72" s="15" t="str">
        <f t="shared" si="3"/>
        <v>로런스 에드워드 계약서</v>
      </c>
      <c r="H72" s="15">
        <v>5</v>
      </c>
      <c r="I72" s="15">
        <v>10</v>
      </c>
      <c r="J72" s="15">
        <f t="shared" si="4"/>
        <v>78456</v>
      </c>
      <c r="K72" s="15">
        <f t="shared" si="0"/>
        <v>30000</v>
      </c>
      <c r="L72">
        <f>SUMIF($B:$B,B72,$K:$K)/K72</f>
        <v>8300</v>
      </c>
      <c r="M72">
        <f>L72/SUMIF($B:$B,B72,$L:$L)</f>
        <v>7.8455986191746478E-3</v>
      </c>
      <c r="N72">
        <f t="shared" si="1"/>
        <v>78455</v>
      </c>
      <c r="O72">
        <f>10000000-SUMIF($B:$B,B72,$N:$N)</f>
        <v>149</v>
      </c>
      <c r="P72" s="19">
        <f>IF(COUNTIF($B$9:B72,B72)&lt;=O72,N72+1,N72)</f>
        <v>78456</v>
      </c>
      <c r="Q72" s="20">
        <f>SUMIF($B:$B,B72,$P:$P)</f>
        <v>10000000</v>
      </c>
      <c r="R72">
        <f t="shared" si="2"/>
        <v>235.36795857523944</v>
      </c>
    </row>
    <row r="73" spans="1:18" ht="23.25" x14ac:dyDescent="0.2">
      <c r="A73" s="15" ph="1">
        <v>21300355</v>
      </c>
      <c r="B73" s="17" t="s">
        <v>1612</v>
      </c>
      <c r="C73" s="15" t="s" ph="1">
        <v>1720</v>
      </c>
      <c r="D73" s="15">
        <v>4000</v>
      </c>
      <c r="E73" s="15" ph="1">
        <v>600</v>
      </c>
      <c r="F73" s="15" t="s" ph="1">
        <v>1655</v>
      </c>
      <c r="G73" s="15" t="str">
        <f t="shared" si="3"/>
        <v>피터르 벤후크 계약서</v>
      </c>
      <c r="H73" s="15">
        <v>5</v>
      </c>
      <c r="I73" s="15">
        <v>10</v>
      </c>
      <c r="J73" s="15">
        <f t="shared" si="4"/>
        <v>78456</v>
      </c>
      <c r="K73" s="15">
        <f t="shared" si="0"/>
        <v>30000</v>
      </c>
      <c r="L73">
        <f>SUMIF($B:$B,B73,$K:$K)/K73</f>
        <v>8300</v>
      </c>
      <c r="M73">
        <f>L73/SUMIF($B:$B,B73,$L:$L)</f>
        <v>7.8455986191746478E-3</v>
      </c>
      <c r="N73">
        <f t="shared" si="1"/>
        <v>78455</v>
      </c>
      <c r="O73">
        <f>10000000-SUMIF($B:$B,B73,$N:$N)</f>
        <v>149</v>
      </c>
      <c r="P73" s="19">
        <f>IF(COUNTIF($B$9:B73,B73)&lt;=O73,N73+1,N73)</f>
        <v>78456</v>
      </c>
      <c r="Q73" s="20">
        <f>SUMIF($B:$B,B73,$P:$P)</f>
        <v>10000000</v>
      </c>
      <c r="R73">
        <f t="shared" si="2"/>
        <v>235.36795857523944</v>
      </c>
    </row>
    <row r="74" spans="1:18" ht="23.25" x14ac:dyDescent="0.2">
      <c r="A74" s="15" ph="1">
        <v>21300362</v>
      </c>
      <c r="B74" s="17" t="s">
        <v>1612</v>
      </c>
      <c r="C74" s="15" t="s" ph="1">
        <v>1721</v>
      </c>
      <c r="D74" s="15">
        <v>4000</v>
      </c>
      <c r="E74" s="15" ph="1">
        <v>600</v>
      </c>
      <c r="F74" s="15" t="s" ph="1">
        <v>1655</v>
      </c>
      <c r="G74" s="15" t="str">
        <f t="shared" si="3"/>
        <v>로버트 와일드 계약서</v>
      </c>
      <c r="H74" s="15">
        <v>5</v>
      </c>
      <c r="I74" s="15">
        <v>10</v>
      </c>
      <c r="J74" s="15">
        <f t="shared" si="4"/>
        <v>78456</v>
      </c>
      <c r="K74" s="15">
        <f t="shared" ref="K74:K137" si="5">AVERAGE(H74:I74)*D74</f>
        <v>30000</v>
      </c>
      <c r="L74">
        <f>SUMIF($B:$B,B74,$K:$K)/K74</f>
        <v>8300</v>
      </c>
      <c r="M74">
        <f>L74/SUMIF($B:$B,B74,$L:$L)</f>
        <v>7.8455986191746478E-3</v>
      </c>
      <c r="N74">
        <f t="shared" ref="N74:N137" si="6">ROUNDDOWN(10000000*M74,0)</f>
        <v>78455</v>
      </c>
      <c r="O74">
        <f>10000000-SUMIF($B:$B,B74,$N:$N)</f>
        <v>149</v>
      </c>
      <c r="P74" s="19">
        <f>IF(COUNTIF($B$9:B74,B74)&lt;=O74,N74+1,N74)</f>
        <v>78456</v>
      </c>
      <c r="Q74" s="20">
        <f>SUMIF($B:$B,B74,$P:$P)</f>
        <v>10000000</v>
      </c>
      <c r="R74">
        <f t="shared" ref="R74:R137" si="7">M74*K74</f>
        <v>235.36795857523944</v>
      </c>
    </row>
    <row r="75" spans="1:18" ht="23.25" x14ac:dyDescent="0.2">
      <c r="A75" s="15" ph="1">
        <v>21300366</v>
      </c>
      <c r="B75" s="17" t="s">
        <v>1612</v>
      </c>
      <c r="C75" s="15" t="s" ph="1">
        <v>1722</v>
      </c>
      <c r="D75" s="15">
        <v>4000</v>
      </c>
      <c r="E75" s="15" ph="1">
        <v>600</v>
      </c>
      <c r="F75" s="15" t="s" ph="1">
        <v>1655</v>
      </c>
      <c r="G75" s="15" t="str">
        <f t="shared" ref="G75:G138" si="8">C75&amp;" 계약서"</f>
        <v>카밀로 사보나롤라 계약서</v>
      </c>
      <c r="H75" s="15">
        <v>5</v>
      </c>
      <c r="I75" s="15">
        <v>10</v>
      </c>
      <c r="J75" s="15">
        <f t="shared" ref="J75:J138" si="9">P75</f>
        <v>78456</v>
      </c>
      <c r="K75" s="15">
        <f t="shared" si="5"/>
        <v>30000</v>
      </c>
      <c r="L75">
        <f>SUMIF($B:$B,B75,$K:$K)/K75</f>
        <v>8300</v>
      </c>
      <c r="M75">
        <f>L75/SUMIF($B:$B,B75,$L:$L)</f>
        <v>7.8455986191746478E-3</v>
      </c>
      <c r="N75">
        <f t="shared" si="6"/>
        <v>78455</v>
      </c>
      <c r="O75">
        <f>10000000-SUMIF($B:$B,B75,$N:$N)</f>
        <v>149</v>
      </c>
      <c r="P75" s="19">
        <f>IF(COUNTIF($B$9:B75,B75)&lt;=O75,N75+1,N75)</f>
        <v>78456</v>
      </c>
      <c r="Q75" s="20">
        <f>SUMIF($B:$B,B75,$P:$P)</f>
        <v>10000000</v>
      </c>
      <c r="R75">
        <f t="shared" si="7"/>
        <v>235.36795857523944</v>
      </c>
    </row>
    <row r="76" spans="1:18" ht="23.25" x14ac:dyDescent="0.2">
      <c r="A76" s="15" ph="1">
        <v>21300368</v>
      </c>
      <c r="B76" s="17" t="s">
        <v>1612</v>
      </c>
      <c r="C76" s="15" t="s" ph="1">
        <v>1723</v>
      </c>
      <c r="D76" s="15">
        <v>4000</v>
      </c>
      <c r="E76" s="15" ph="1">
        <v>600</v>
      </c>
      <c r="F76" s="15" t="s" ph="1">
        <v>1655</v>
      </c>
      <c r="G76" s="15" t="str">
        <f t="shared" si="8"/>
        <v>빅터 러셀 계약서</v>
      </c>
      <c r="H76" s="15">
        <v>5</v>
      </c>
      <c r="I76" s="15">
        <v>10</v>
      </c>
      <c r="J76" s="15">
        <f t="shared" si="9"/>
        <v>78456</v>
      </c>
      <c r="K76" s="15">
        <f t="shared" si="5"/>
        <v>30000</v>
      </c>
      <c r="L76">
        <f>SUMIF($B:$B,B76,$K:$K)/K76</f>
        <v>8300</v>
      </c>
      <c r="M76">
        <f>L76/SUMIF($B:$B,B76,$L:$L)</f>
        <v>7.8455986191746478E-3</v>
      </c>
      <c r="N76">
        <f t="shared" si="6"/>
        <v>78455</v>
      </c>
      <c r="O76">
        <f>10000000-SUMIF($B:$B,B76,$N:$N)</f>
        <v>149</v>
      </c>
      <c r="P76" s="19">
        <f>IF(COUNTIF($B$9:B76,B76)&lt;=O76,N76+1,N76)</f>
        <v>78456</v>
      </c>
      <c r="Q76" s="20">
        <f>SUMIF($B:$B,B76,$P:$P)</f>
        <v>10000000</v>
      </c>
      <c r="R76">
        <f t="shared" si="7"/>
        <v>235.36795857523944</v>
      </c>
    </row>
    <row r="77" spans="1:18" ht="23.25" x14ac:dyDescent="0.2">
      <c r="A77" s="15" ph="1">
        <v>21300369</v>
      </c>
      <c r="B77" s="17" t="s">
        <v>1612</v>
      </c>
      <c r="C77" s="15" t="s" ph="1">
        <v>1724</v>
      </c>
      <c r="D77" s="15">
        <v>4000</v>
      </c>
      <c r="E77" s="15" ph="1">
        <v>600</v>
      </c>
      <c r="F77" s="15" t="s" ph="1">
        <v>1655</v>
      </c>
      <c r="G77" s="15" t="str">
        <f t="shared" si="8"/>
        <v>귀친 케말 계약서</v>
      </c>
      <c r="H77" s="15">
        <v>5</v>
      </c>
      <c r="I77" s="15">
        <v>10</v>
      </c>
      <c r="J77" s="15">
        <f t="shared" si="9"/>
        <v>78456</v>
      </c>
      <c r="K77" s="15">
        <f t="shared" si="5"/>
        <v>30000</v>
      </c>
      <c r="L77">
        <f>SUMIF($B:$B,B77,$K:$K)/K77</f>
        <v>8300</v>
      </c>
      <c r="M77">
        <f>L77/SUMIF($B:$B,B77,$L:$L)</f>
        <v>7.8455986191746478E-3</v>
      </c>
      <c r="N77">
        <f t="shared" si="6"/>
        <v>78455</v>
      </c>
      <c r="O77">
        <f>10000000-SUMIF($B:$B,B77,$N:$N)</f>
        <v>149</v>
      </c>
      <c r="P77" s="19">
        <f>IF(COUNTIF($B$9:B77,B77)&lt;=O77,N77+1,N77)</f>
        <v>78456</v>
      </c>
      <c r="Q77" s="20">
        <f>SUMIF($B:$B,B77,$P:$P)</f>
        <v>10000000</v>
      </c>
      <c r="R77">
        <f t="shared" si="7"/>
        <v>235.36795857523944</v>
      </c>
    </row>
    <row r="78" spans="1:18" ht="23.25" x14ac:dyDescent="0.2">
      <c r="A78" s="15" ph="1">
        <v>21300371</v>
      </c>
      <c r="B78" s="17" t="s">
        <v>1612</v>
      </c>
      <c r="C78" s="15" t="s" ph="1">
        <v>1725</v>
      </c>
      <c r="D78" s="15">
        <v>4000</v>
      </c>
      <c r="E78" s="15" ph="1">
        <v>600</v>
      </c>
      <c r="F78" s="15" t="s" ph="1">
        <v>1655</v>
      </c>
      <c r="G78" s="15" t="str">
        <f t="shared" si="8"/>
        <v>윌리엄 클라이브 계약서</v>
      </c>
      <c r="H78" s="15">
        <v>5</v>
      </c>
      <c r="I78" s="15">
        <v>10</v>
      </c>
      <c r="J78" s="15">
        <f t="shared" si="9"/>
        <v>78456</v>
      </c>
      <c r="K78" s="15">
        <f t="shared" si="5"/>
        <v>30000</v>
      </c>
      <c r="L78">
        <f>SUMIF($B:$B,B78,$K:$K)/K78</f>
        <v>8300</v>
      </c>
      <c r="M78">
        <f>L78/SUMIF($B:$B,B78,$L:$L)</f>
        <v>7.8455986191746478E-3</v>
      </c>
      <c r="N78">
        <f t="shared" si="6"/>
        <v>78455</v>
      </c>
      <c r="O78">
        <f>10000000-SUMIF($B:$B,B78,$N:$N)</f>
        <v>149</v>
      </c>
      <c r="P78" s="19">
        <f>IF(COUNTIF($B$9:B78,B78)&lt;=O78,N78+1,N78)</f>
        <v>78456</v>
      </c>
      <c r="Q78" s="20">
        <f>SUMIF($B:$B,B78,$P:$P)</f>
        <v>10000000</v>
      </c>
      <c r="R78">
        <f t="shared" si="7"/>
        <v>235.36795857523944</v>
      </c>
    </row>
    <row r="79" spans="1:18" ht="23.25" x14ac:dyDescent="0.2">
      <c r="A79" s="15" ph="1">
        <v>21300374</v>
      </c>
      <c r="B79" s="17" t="s">
        <v>1612</v>
      </c>
      <c r="C79" s="15" t="s" ph="1">
        <v>1726</v>
      </c>
      <c r="D79" s="15">
        <v>4000</v>
      </c>
      <c r="E79" s="15" ph="1">
        <v>600</v>
      </c>
      <c r="F79" s="15" t="s" ph="1">
        <v>1655</v>
      </c>
      <c r="G79" s="15" t="str">
        <f t="shared" si="8"/>
        <v>자가노스 베이 계약서</v>
      </c>
      <c r="H79" s="15">
        <v>5</v>
      </c>
      <c r="I79" s="15">
        <v>10</v>
      </c>
      <c r="J79" s="15">
        <f t="shared" si="9"/>
        <v>78456</v>
      </c>
      <c r="K79" s="15">
        <f t="shared" si="5"/>
        <v>30000</v>
      </c>
      <c r="L79">
        <f>SUMIF($B:$B,B79,$K:$K)/K79</f>
        <v>8300</v>
      </c>
      <c r="M79">
        <f>L79/SUMIF($B:$B,B79,$L:$L)</f>
        <v>7.8455986191746478E-3</v>
      </c>
      <c r="N79">
        <f t="shared" si="6"/>
        <v>78455</v>
      </c>
      <c r="O79">
        <f>10000000-SUMIF($B:$B,B79,$N:$N)</f>
        <v>149</v>
      </c>
      <c r="P79" s="19">
        <f>IF(COUNTIF($B$9:B79,B79)&lt;=O79,N79+1,N79)</f>
        <v>78456</v>
      </c>
      <c r="Q79" s="20">
        <f>SUMIF($B:$B,B79,$P:$P)</f>
        <v>10000000</v>
      </c>
      <c r="R79">
        <f t="shared" si="7"/>
        <v>235.36795857523944</v>
      </c>
    </row>
    <row r="80" spans="1:18" ht="23.25" x14ac:dyDescent="0.2">
      <c r="A80" s="15" ph="1">
        <v>21300381</v>
      </c>
      <c r="B80" s="17" t="s">
        <v>1612</v>
      </c>
      <c r="C80" s="15" t="s" ph="1">
        <v>1727</v>
      </c>
      <c r="D80" s="15">
        <v>4000</v>
      </c>
      <c r="E80" s="15" ph="1">
        <v>600</v>
      </c>
      <c r="F80" s="15" t="s" ph="1">
        <v>1655</v>
      </c>
      <c r="G80" s="15" t="str">
        <f t="shared" si="8"/>
        <v>장안순 계약서</v>
      </c>
      <c r="H80" s="15">
        <v>5</v>
      </c>
      <c r="I80" s="15">
        <v>10</v>
      </c>
      <c r="J80" s="15">
        <f t="shared" si="9"/>
        <v>78456</v>
      </c>
      <c r="K80" s="15">
        <f t="shared" si="5"/>
        <v>30000</v>
      </c>
      <c r="L80">
        <f>SUMIF($B:$B,B80,$K:$K)/K80</f>
        <v>8300</v>
      </c>
      <c r="M80">
        <f>L80/SUMIF($B:$B,B80,$L:$L)</f>
        <v>7.8455986191746478E-3</v>
      </c>
      <c r="N80">
        <f t="shared" si="6"/>
        <v>78455</v>
      </c>
      <c r="O80">
        <f>10000000-SUMIF($B:$B,B80,$N:$N)</f>
        <v>149</v>
      </c>
      <c r="P80" s="19">
        <f>IF(COUNTIF($B$9:B80,B80)&lt;=O80,N80+1,N80)</f>
        <v>78456</v>
      </c>
      <c r="Q80" s="20">
        <f>SUMIF($B:$B,B80,$P:$P)</f>
        <v>10000000</v>
      </c>
      <c r="R80">
        <f t="shared" si="7"/>
        <v>235.36795857523944</v>
      </c>
    </row>
    <row r="81" spans="1:18" ht="23.25" x14ac:dyDescent="0.2">
      <c r="A81" s="15" ph="1">
        <v>21300466</v>
      </c>
      <c r="B81" s="17" t="s">
        <v>1612</v>
      </c>
      <c r="C81" s="15" t="s" ph="1">
        <v>1728</v>
      </c>
      <c r="D81" s="15">
        <v>4000</v>
      </c>
      <c r="E81" s="15" ph="1">
        <v>600</v>
      </c>
      <c r="F81" s="15" t="s" ph="1">
        <v>1655</v>
      </c>
      <c r="G81" s="15" t="str">
        <f t="shared" si="8"/>
        <v>알베로 스킬라치 계약서</v>
      </c>
      <c r="H81" s="15">
        <v>5</v>
      </c>
      <c r="I81" s="15">
        <v>10</v>
      </c>
      <c r="J81" s="15">
        <f t="shared" si="9"/>
        <v>78456</v>
      </c>
      <c r="K81" s="15">
        <f t="shared" si="5"/>
        <v>30000</v>
      </c>
      <c r="L81">
        <f>SUMIF($B:$B,B81,$K:$K)/K81</f>
        <v>8300</v>
      </c>
      <c r="M81">
        <f>L81/SUMIF($B:$B,B81,$L:$L)</f>
        <v>7.8455986191746478E-3</v>
      </c>
      <c r="N81">
        <f t="shared" si="6"/>
        <v>78455</v>
      </c>
      <c r="O81">
        <f>10000000-SUMIF($B:$B,B81,$N:$N)</f>
        <v>149</v>
      </c>
      <c r="P81" s="19">
        <f>IF(COUNTIF($B$9:B81,B81)&lt;=O81,N81+1,N81)</f>
        <v>78456</v>
      </c>
      <c r="Q81" s="20">
        <f>SUMIF($B:$B,B81,$P:$P)</f>
        <v>10000000</v>
      </c>
      <c r="R81">
        <f t="shared" si="7"/>
        <v>235.36795857523944</v>
      </c>
    </row>
    <row r="82" spans="1:18" ht="23.25" x14ac:dyDescent="0.2">
      <c r="A82" s="15" ph="1">
        <v>21300484</v>
      </c>
      <c r="B82" s="17" t="s">
        <v>1612</v>
      </c>
      <c r="C82" s="15" t="s" ph="1">
        <v>1729</v>
      </c>
      <c r="D82" s="15">
        <v>4000</v>
      </c>
      <c r="E82" s="15" ph="1">
        <v>600</v>
      </c>
      <c r="F82" s="15" t="s" ph="1">
        <v>1655</v>
      </c>
      <c r="G82" s="15" t="str">
        <f t="shared" si="8"/>
        <v>콘라드 계약서</v>
      </c>
      <c r="H82" s="15">
        <v>5</v>
      </c>
      <c r="I82" s="15">
        <v>10</v>
      </c>
      <c r="J82" s="15">
        <f t="shared" si="9"/>
        <v>78456</v>
      </c>
      <c r="K82" s="15">
        <f t="shared" si="5"/>
        <v>30000</v>
      </c>
      <c r="L82">
        <f>SUMIF($B:$B,B82,$K:$K)/K82</f>
        <v>8300</v>
      </c>
      <c r="M82">
        <f>L82/SUMIF($B:$B,B82,$L:$L)</f>
        <v>7.8455986191746478E-3</v>
      </c>
      <c r="N82">
        <f t="shared" si="6"/>
        <v>78455</v>
      </c>
      <c r="O82">
        <f>10000000-SUMIF($B:$B,B82,$N:$N)</f>
        <v>149</v>
      </c>
      <c r="P82" s="19">
        <f>IF(COUNTIF($B$9:B82,B82)&lt;=O82,N82+1,N82)</f>
        <v>78456</v>
      </c>
      <c r="Q82" s="20">
        <f>SUMIF($B:$B,B82,$P:$P)</f>
        <v>10000000</v>
      </c>
      <c r="R82">
        <f t="shared" si="7"/>
        <v>235.36795857523944</v>
      </c>
    </row>
    <row r="83" spans="1:18" ht="23.25" x14ac:dyDescent="0.2">
      <c r="A83" s="15" ph="1">
        <v>21300299</v>
      </c>
      <c r="B83" s="17" t="s">
        <v>1612</v>
      </c>
      <c r="C83" s="15" t="s" ph="1">
        <v>1730</v>
      </c>
      <c r="D83" s="15">
        <v>4000</v>
      </c>
      <c r="E83" s="15" ph="1">
        <v>600</v>
      </c>
      <c r="F83" s="15" t="s" ph="1">
        <v>1655</v>
      </c>
      <c r="G83" s="15" t="str">
        <f t="shared" si="8"/>
        <v>아나 얀선스 계약서</v>
      </c>
      <c r="H83" s="15">
        <v>5</v>
      </c>
      <c r="I83" s="15">
        <v>10</v>
      </c>
      <c r="J83" s="15">
        <f t="shared" si="9"/>
        <v>78456</v>
      </c>
      <c r="K83" s="15">
        <f t="shared" si="5"/>
        <v>30000</v>
      </c>
      <c r="L83">
        <f>SUMIF($B:$B,B83,$K:$K)/K83</f>
        <v>8300</v>
      </c>
      <c r="M83">
        <f>L83/SUMIF($B:$B,B83,$L:$L)</f>
        <v>7.8455986191746478E-3</v>
      </c>
      <c r="N83">
        <f t="shared" si="6"/>
        <v>78455</v>
      </c>
      <c r="O83">
        <f>10000000-SUMIF($B:$B,B83,$N:$N)</f>
        <v>149</v>
      </c>
      <c r="P83" s="19">
        <f>IF(COUNTIF($B$9:B83,B83)&lt;=O83,N83+1,N83)</f>
        <v>78456</v>
      </c>
      <c r="Q83" s="20">
        <f>SUMIF($B:$B,B83,$P:$P)</f>
        <v>10000000</v>
      </c>
      <c r="R83">
        <f t="shared" si="7"/>
        <v>235.36795857523944</v>
      </c>
    </row>
    <row r="84" spans="1:18" ht="23.25" x14ac:dyDescent="0.2">
      <c r="A84" s="15" ph="1">
        <v>21300300</v>
      </c>
      <c r="B84" s="17" t="s">
        <v>1612</v>
      </c>
      <c r="C84" s="15" t="s" ph="1">
        <v>1731</v>
      </c>
      <c r="D84" s="15">
        <v>4000</v>
      </c>
      <c r="E84" s="15" ph="1">
        <v>600</v>
      </c>
      <c r="F84" s="15" t="s" ph="1">
        <v>1655</v>
      </c>
      <c r="G84" s="15" t="str">
        <f t="shared" si="8"/>
        <v>발푸리 인나마 계약서</v>
      </c>
      <c r="H84" s="15">
        <v>5</v>
      </c>
      <c r="I84" s="15">
        <v>10</v>
      </c>
      <c r="J84" s="15">
        <f t="shared" si="9"/>
        <v>78456</v>
      </c>
      <c r="K84" s="15">
        <f t="shared" si="5"/>
        <v>30000</v>
      </c>
      <c r="L84">
        <f>SUMIF($B:$B,B84,$K:$K)/K84</f>
        <v>8300</v>
      </c>
      <c r="M84">
        <f>L84/SUMIF($B:$B,B84,$L:$L)</f>
        <v>7.8455986191746478E-3</v>
      </c>
      <c r="N84">
        <f t="shared" si="6"/>
        <v>78455</v>
      </c>
      <c r="O84">
        <f>10000000-SUMIF($B:$B,B84,$N:$N)</f>
        <v>149</v>
      </c>
      <c r="P84" s="19">
        <f>IF(COUNTIF($B$9:B84,B84)&lt;=O84,N84+1,N84)</f>
        <v>78456</v>
      </c>
      <c r="Q84" s="20">
        <f>SUMIF($B:$B,B84,$P:$P)</f>
        <v>10000000</v>
      </c>
      <c r="R84">
        <f t="shared" si="7"/>
        <v>235.36795857523944</v>
      </c>
    </row>
    <row r="85" spans="1:18" ht="23.25" x14ac:dyDescent="0.2">
      <c r="A85" s="15" ph="1">
        <v>21300301</v>
      </c>
      <c r="B85" s="17" t="s">
        <v>1612</v>
      </c>
      <c r="C85" s="15" t="s" ph="1">
        <v>1732</v>
      </c>
      <c r="D85" s="15">
        <v>4000</v>
      </c>
      <c r="E85" s="15" ph="1">
        <v>600</v>
      </c>
      <c r="F85" s="15" t="s" ph="1">
        <v>1655</v>
      </c>
      <c r="G85" s="15" t="str">
        <f t="shared" si="8"/>
        <v>카리나 물티알라 계약서</v>
      </c>
      <c r="H85" s="15">
        <v>5</v>
      </c>
      <c r="I85" s="15">
        <v>10</v>
      </c>
      <c r="J85" s="15">
        <f t="shared" si="9"/>
        <v>78456</v>
      </c>
      <c r="K85" s="15">
        <f t="shared" si="5"/>
        <v>30000</v>
      </c>
      <c r="L85">
        <f>SUMIF($B:$B,B85,$K:$K)/K85</f>
        <v>8300</v>
      </c>
      <c r="M85">
        <f>L85/SUMIF($B:$B,B85,$L:$L)</f>
        <v>7.8455986191746478E-3</v>
      </c>
      <c r="N85">
        <f t="shared" si="6"/>
        <v>78455</v>
      </c>
      <c r="O85">
        <f>10000000-SUMIF($B:$B,B85,$N:$N)</f>
        <v>149</v>
      </c>
      <c r="P85" s="19">
        <f>IF(COUNTIF($B$9:B85,B85)&lt;=O85,N85+1,N85)</f>
        <v>78456</v>
      </c>
      <c r="Q85" s="20">
        <f>SUMIF($B:$B,B85,$P:$P)</f>
        <v>10000000</v>
      </c>
      <c r="R85">
        <f t="shared" si="7"/>
        <v>235.36795857523944</v>
      </c>
    </row>
    <row r="86" spans="1:18" ht="23.25" x14ac:dyDescent="0.2">
      <c r="A86" s="15" ph="1">
        <v>21300304</v>
      </c>
      <c r="B86" s="17" t="s">
        <v>1612</v>
      </c>
      <c r="C86" s="15" t="s" ph="1">
        <v>1733</v>
      </c>
      <c r="D86" s="15">
        <v>4000</v>
      </c>
      <c r="E86" s="15" ph="1">
        <v>600</v>
      </c>
      <c r="F86" s="15" t="s" ph="1">
        <v>1655</v>
      </c>
      <c r="G86" s="15" t="str">
        <f t="shared" si="8"/>
        <v>엘리자베스 바튼 계약서</v>
      </c>
      <c r="H86" s="15">
        <v>5</v>
      </c>
      <c r="I86" s="15">
        <v>10</v>
      </c>
      <c r="J86" s="15">
        <f t="shared" si="9"/>
        <v>78456</v>
      </c>
      <c r="K86" s="15">
        <f t="shared" si="5"/>
        <v>30000</v>
      </c>
      <c r="L86">
        <f>SUMIF($B:$B,B86,$K:$K)/K86</f>
        <v>8300</v>
      </c>
      <c r="M86">
        <f>L86/SUMIF($B:$B,B86,$L:$L)</f>
        <v>7.8455986191746478E-3</v>
      </c>
      <c r="N86">
        <f t="shared" si="6"/>
        <v>78455</v>
      </c>
      <c r="O86">
        <f>10000000-SUMIF($B:$B,B86,$N:$N)</f>
        <v>149</v>
      </c>
      <c r="P86" s="19">
        <f>IF(COUNTIF($B$9:B86,B86)&lt;=O86,N86+1,N86)</f>
        <v>78456</v>
      </c>
      <c r="Q86" s="20">
        <f>SUMIF($B:$B,B86,$P:$P)</f>
        <v>10000000</v>
      </c>
      <c r="R86">
        <f t="shared" si="7"/>
        <v>235.36795857523944</v>
      </c>
    </row>
    <row r="87" spans="1:18" ht="23.25" x14ac:dyDescent="0.2">
      <c r="A87" s="15" ph="1">
        <v>21300305</v>
      </c>
      <c r="B87" s="17" t="s">
        <v>1612</v>
      </c>
      <c r="C87" s="15" t="s" ph="1">
        <v>1734</v>
      </c>
      <c r="D87" s="15">
        <v>4000</v>
      </c>
      <c r="E87" s="15" ph="1">
        <v>600</v>
      </c>
      <c r="F87" s="15" t="s" ph="1">
        <v>1655</v>
      </c>
      <c r="G87" s="15" t="str">
        <f t="shared" si="8"/>
        <v>잔 드샹탈 계약서</v>
      </c>
      <c r="H87" s="15">
        <v>5</v>
      </c>
      <c r="I87" s="15">
        <v>10</v>
      </c>
      <c r="J87" s="15">
        <f t="shared" si="9"/>
        <v>78456</v>
      </c>
      <c r="K87" s="15">
        <f t="shared" si="5"/>
        <v>30000</v>
      </c>
      <c r="L87">
        <f>SUMIF($B:$B,B87,$K:$K)/K87</f>
        <v>8300</v>
      </c>
      <c r="M87">
        <f>L87/SUMIF($B:$B,B87,$L:$L)</f>
        <v>7.8455986191746478E-3</v>
      </c>
      <c r="N87">
        <f t="shared" si="6"/>
        <v>78455</v>
      </c>
      <c r="O87">
        <f>10000000-SUMIF($B:$B,B87,$N:$N)</f>
        <v>149</v>
      </c>
      <c r="P87" s="19">
        <f>IF(COUNTIF($B$9:B87,B87)&lt;=O87,N87+1,N87)</f>
        <v>78456</v>
      </c>
      <c r="Q87" s="20">
        <f>SUMIF($B:$B,B87,$P:$P)</f>
        <v>10000000</v>
      </c>
      <c r="R87">
        <f t="shared" si="7"/>
        <v>235.36795857523944</v>
      </c>
    </row>
    <row r="88" spans="1:18" ht="23.25" x14ac:dyDescent="0.2">
      <c r="A88" s="15" ph="1">
        <v>21300306</v>
      </c>
      <c r="B88" s="17" t="s">
        <v>1612</v>
      </c>
      <c r="C88" s="15" t="s" ph="1">
        <v>1735</v>
      </c>
      <c r="D88" s="15">
        <v>4000</v>
      </c>
      <c r="E88" s="15" ph="1">
        <v>600</v>
      </c>
      <c r="F88" s="15" t="s" ph="1">
        <v>1655</v>
      </c>
      <c r="G88" s="15" t="str">
        <f t="shared" si="8"/>
        <v>아사르파이 계약서</v>
      </c>
      <c r="H88" s="15">
        <v>5</v>
      </c>
      <c r="I88" s="15">
        <v>10</v>
      </c>
      <c r="J88" s="15">
        <f t="shared" si="9"/>
        <v>78456</v>
      </c>
      <c r="K88" s="15">
        <f t="shared" si="5"/>
        <v>30000</v>
      </c>
      <c r="L88">
        <f>SUMIF($B:$B,B88,$K:$K)/K88</f>
        <v>8300</v>
      </c>
      <c r="M88">
        <f>L88/SUMIF($B:$B,B88,$L:$L)</f>
        <v>7.8455986191746478E-3</v>
      </c>
      <c r="N88">
        <f t="shared" si="6"/>
        <v>78455</v>
      </c>
      <c r="O88">
        <f>10000000-SUMIF($B:$B,B88,$N:$N)</f>
        <v>149</v>
      </c>
      <c r="P88" s="19">
        <f>IF(COUNTIF($B$9:B88,B88)&lt;=O88,N88+1,N88)</f>
        <v>78456</v>
      </c>
      <c r="Q88" s="20">
        <f>SUMIF($B:$B,B88,$P:$P)</f>
        <v>10000000</v>
      </c>
      <c r="R88">
        <f t="shared" si="7"/>
        <v>235.36795857523944</v>
      </c>
    </row>
    <row r="89" spans="1:18" ht="23.25" x14ac:dyDescent="0.2">
      <c r="A89" s="15" ph="1">
        <v>21300315</v>
      </c>
      <c r="B89" s="17" t="s">
        <v>1612</v>
      </c>
      <c r="C89" s="15" t="s" ph="1">
        <v>1736</v>
      </c>
      <c r="D89" s="15">
        <v>4000</v>
      </c>
      <c r="E89" s="15" ph="1">
        <v>600</v>
      </c>
      <c r="F89" s="15" t="s" ph="1">
        <v>1655</v>
      </c>
      <c r="G89" s="15" t="str">
        <f t="shared" si="8"/>
        <v>이사벨라 휘트니 계약서</v>
      </c>
      <c r="H89" s="15">
        <v>5</v>
      </c>
      <c r="I89" s="15">
        <v>10</v>
      </c>
      <c r="J89" s="15">
        <f t="shared" si="9"/>
        <v>78456</v>
      </c>
      <c r="K89" s="15">
        <f t="shared" si="5"/>
        <v>30000</v>
      </c>
      <c r="L89">
        <f>SUMIF($B:$B,B89,$K:$K)/K89</f>
        <v>8300</v>
      </c>
      <c r="M89">
        <f>L89/SUMIF($B:$B,B89,$L:$L)</f>
        <v>7.8455986191746478E-3</v>
      </c>
      <c r="N89">
        <f t="shared" si="6"/>
        <v>78455</v>
      </c>
      <c r="O89">
        <f>10000000-SUMIF($B:$B,B89,$N:$N)</f>
        <v>149</v>
      </c>
      <c r="P89" s="19">
        <f>IF(COUNTIF($B$9:B89,B89)&lt;=O89,N89+1,N89)</f>
        <v>78456</v>
      </c>
      <c r="Q89" s="20">
        <f>SUMIF($B:$B,B89,$P:$P)</f>
        <v>10000000</v>
      </c>
      <c r="R89">
        <f t="shared" si="7"/>
        <v>235.36795857523944</v>
      </c>
    </row>
    <row r="90" spans="1:18" ht="23.25" x14ac:dyDescent="0.2">
      <c r="A90" s="15" ph="1">
        <v>21300316</v>
      </c>
      <c r="B90" s="17" t="s">
        <v>1612</v>
      </c>
      <c r="C90" s="15" t="s" ph="1">
        <v>1737</v>
      </c>
      <c r="D90" s="15">
        <v>4000</v>
      </c>
      <c r="E90" s="15" ph="1">
        <v>600</v>
      </c>
      <c r="F90" s="15" t="s" ph="1">
        <v>1655</v>
      </c>
      <c r="G90" s="15" t="str">
        <f t="shared" si="8"/>
        <v>케나우 하셀라르 계약서</v>
      </c>
      <c r="H90" s="15">
        <v>5</v>
      </c>
      <c r="I90" s="15">
        <v>10</v>
      </c>
      <c r="J90" s="15">
        <f t="shared" si="9"/>
        <v>78456</v>
      </c>
      <c r="K90" s="15">
        <f t="shared" si="5"/>
        <v>30000</v>
      </c>
      <c r="L90">
        <f>SUMIF($B:$B,B90,$K:$K)/K90</f>
        <v>8300</v>
      </c>
      <c r="M90">
        <f>L90/SUMIF($B:$B,B90,$L:$L)</f>
        <v>7.8455986191746478E-3</v>
      </c>
      <c r="N90">
        <f t="shared" si="6"/>
        <v>78455</v>
      </c>
      <c r="O90">
        <f>10000000-SUMIF($B:$B,B90,$N:$N)</f>
        <v>149</v>
      </c>
      <c r="P90" s="19">
        <f>IF(COUNTIF($B$9:B90,B90)&lt;=O90,N90+1,N90)</f>
        <v>78456</v>
      </c>
      <c r="Q90" s="20">
        <f>SUMIF($B:$B,B90,$P:$P)</f>
        <v>10000000</v>
      </c>
      <c r="R90">
        <f t="shared" si="7"/>
        <v>235.36795857523944</v>
      </c>
    </row>
    <row r="91" spans="1:18" ht="23.25" x14ac:dyDescent="0.2">
      <c r="A91" s="15" ph="1">
        <v>21300335</v>
      </c>
      <c r="B91" s="17" t="s">
        <v>1612</v>
      </c>
      <c r="C91" s="15" t="s" ph="1">
        <v>1738</v>
      </c>
      <c r="D91" s="15">
        <v>4000</v>
      </c>
      <c r="E91" s="15" ph="1">
        <v>600</v>
      </c>
      <c r="F91" s="15" t="s" ph="1">
        <v>1655</v>
      </c>
      <c r="G91" s="15" t="str">
        <f t="shared" si="8"/>
        <v>조반니 라무시오 계약서</v>
      </c>
      <c r="H91" s="15">
        <v>5</v>
      </c>
      <c r="I91" s="15">
        <v>10</v>
      </c>
      <c r="J91" s="15">
        <f t="shared" si="9"/>
        <v>78456</v>
      </c>
      <c r="K91" s="15">
        <f t="shared" si="5"/>
        <v>30000</v>
      </c>
      <c r="L91">
        <f>SUMIF($B:$B,B91,$K:$K)/K91</f>
        <v>8300</v>
      </c>
      <c r="M91">
        <f>L91/SUMIF($B:$B,B91,$L:$L)</f>
        <v>7.8455986191746478E-3</v>
      </c>
      <c r="N91">
        <f t="shared" si="6"/>
        <v>78455</v>
      </c>
      <c r="O91">
        <f>10000000-SUMIF($B:$B,B91,$N:$N)</f>
        <v>149</v>
      </c>
      <c r="P91" s="19">
        <f>IF(COUNTIF($B$9:B91,B91)&lt;=O91,N91+1,N91)</f>
        <v>78456</v>
      </c>
      <c r="Q91" s="20">
        <f>SUMIF($B:$B,B91,$P:$P)</f>
        <v>10000000</v>
      </c>
      <c r="R91">
        <f t="shared" si="7"/>
        <v>235.36795857523944</v>
      </c>
    </row>
    <row r="92" spans="1:18" ht="23.25" x14ac:dyDescent="0.2">
      <c r="A92" s="15" ph="1">
        <v>21300363</v>
      </c>
      <c r="B92" s="17" t="s">
        <v>1612</v>
      </c>
      <c r="C92" s="15" t="s" ph="1">
        <v>1739</v>
      </c>
      <c r="D92" s="15">
        <v>4000</v>
      </c>
      <c r="E92" s="15" ph="1">
        <v>600</v>
      </c>
      <c r="F92" s="15" t="s" ph="1">
        <v>1655</v>
      </c>
      <c r="G92" s="15" t="str">
        <f t="shared" si="8"/>
        <v>주앙 드카스트루 계약서</v>
      </c>
      <c r="H92" s="15">
        <v>5</v>
      </c>
      <c r="I92" s="15">
        <v>10</v>
      </c>
      <c r="J92" s="15">
        <f t="shared" si="9"/>
        <v>78456</v>
      </c>
      <c r="K92" s="15">
        <f t="shared" si="5"/>
        <v>30000</v>
      </c>
      <c r="L92">
        <f>SUMIF($B:$B,B92,$K:$K)/K92</f>
        <v>8300</v>
      </c>
      <c r="M92">
        <f>L92/SUMIF($B:$B,B92,$L:$L)</f>
        <v>7.8455986191746478E-3</v>
      </c>
      <c r="N92">
        <f t="shared" si="6"/>
        <v>78455</v>
      </c>
      <c r="O92">
        <f>10000000-SUMIF($B:$B,B92,$N:$N)</f>
        <v>149</v>
      </c>
      <c r="P92" s="19">
        <f>IF(COUNTIF($B$9:B92,B92)&lt;=O92,N92+1,N92)</f>
        <v>78456</v>
      </c>
      <c r="Q92" s="20">
        <f>SUMIF($B:$B,B92,$P:$P)</f>
        <v>10000000</v>
      </c>
      <c r="R92">
        <f t="shared" si="7"/>
        <v>235.36795857523944</v>
      </c>
    </row>
    <row r="93" spans="1:18" ht="23.25" x14ac:dyDescent="0.2">
      <c r="A93" s="15" ph="1">
        <v>21300384</v>
      </c>
      <c r="B93" s="17" t="s">
        <v>1612</v>
      </c>
      <c r="C93" s="15" t="s" ph="1">
        <v>1740</v>
      </c>
      <c r="D93" s="15">
        <v>4000</v>
      </c>
      <c r="E93" s="15" ph="1">
        <v>600</v>
      </c>
      <c r="F93" s="15" t="s" ph="1">
        <v>1655</v>
      </c>
      <c r="G93" s="15" t="str">
        <f t="shared" si="8"/>
        <v>프란시스코 하비에르 계약서</v>
      </c>
      <c r="H93" s="15">
        <v>5</v>
      </c>
      <c r="I93" s="15">
        <v>10</v>
      </c>
      <c r="J93" s="15">
        <f t="shared" si="9"/>
        <v>78456</v>
      </c>
      <c r="K93" s="15">
        <f t="shared" si="5"/>
        <v>30000</v>
      </c>
      <c r="L93">
        <f>SUMIF($B:$B,B93,$K:$K)/K93</f>
        <v>8300</v>
      </c>
      <c r="M93">
        <f>L93/SUMIF($B:$B,B93,$L:$L)</f>
        <v>7.8455986191746478E-3</v>
      </c>
      <c r="N93">
        <f t="shared" si="6"/>
        <v>78455</v>
      </c>
      <c r="O93">
        <f>10000000-SUMIF($B:$B,B93,$N:$N)</f>
        <v>149</v>
      </c>
      <c r="P93" s="19">
        <f>IF(COUNTIF($B$9:B93,B93)&lt;=O93,N93+1,N93)</f>
        <v>78456</v>
      </c>
      <c r="Q93" s="20">
        <f>SUMIF($B:$B,B93,$P:$P)</f>
        <v>10000000</v>
      </c>
      <c r="R93">
        <f t="shared" si="7"/>
        <v>235.36795857523944</v>
      </c>
    </row>
    <row r="94" spans="1:18" ht="23.25" x14ac:dyDescent="0.2">
      <c r="A94" s="15" ph="1">
        <v>21300386</v>
      </c>
      <c r="B94" s="17" t="s">
        <v>1612</v>
      </c>
      <c r="C94" s="15" t="s" ph="1">
        <v>1741</v>
      </c>
      <c r="D94" s="15">
        <v>4000</v>
      </c>
      <c r="E94" s="15" ph="1">
        <v>600</v>
      </c>
      <c r="F94" s="15" t="s" ph="1">
        <v>1655</v>
      </c>
      <c r="G94" s="15" t="str">
        <f t="shared" si="8"/>
        <v>세바스티안 비스카이노 계약서</v>
      </c>
      <c r="H94" s="15">
        <v>5</v>
      </c>
      <c r="I94" s="15">
        <v>10</v>
      </c>
      <c r="J94" s="15">
        <f t="shared" si="9"/>
        <v>78456</v>
      </c>
      <c r="K94" s="15">
        <f t="shared" si="5"/>
        <v>30000</v>
      </c>
      <c r="L94">
        <f>SUMIF($B:$B,B94,$K:$K)/K94</f>
        <v>8300</v>
      </c>
      <c r="M94">
        <f>L94/SUMIF($B:$B,B94,$L:$L)</f>
        <v>7.8455986191746478E-3</v>
      </c>
      <c r="N94">
        <f t="shared" si="6"/>
        <v>78455</v>
      </c>
      <c r="O94">
        <f>10000000-SUMIF($B:$B,B94,$N:$N)</f>
        <v>149</v>
      </c>
      <c r="P94" s="19">
        <f>IF(COUNTIF($B$9:B94,B94)&lt;=O94,N94+1,N94)</f>
        <v>78456</v>
      </c>
      <c r="Q94" s="20">
        <f>SUMIF($B:$B,B94,$P:$P)</f>
        <v>10000000</v>
      </c>
      <c r="R94">
        <f t="shared" si="7"/>
        <v>235.36795857523944</v>
      </c>
    </row>
    <row r="95" spans="1:18" ht="23.25" x14ac:dyDescent="0.2">
      <c r="A95" s="15" ph="1">
        <v>21300391</v>
      </c>
      <c r="B95" s="17" t="s">
        <v>1612</v>
      </c>
      <c r="C95" s="15" t="s" ph="1">
        <v>1742</v>
      </c>
      <c r="D95" s="15">
        <v>4000</v>
      </c>
      <c r="E95" s="15" ph="1">
        <v>600</v>
      </c>
      <c r="F95" s="15" t="s" ph="1">
        <v>1655</v>
      </c>
      <c r="G95" s="15" t="str">
        <f t="shared" si="8"/>
        <v>페르낭 고메스 다미나 계약서</v>
      </c>
      <c r="H95" s="15">
        <v>5</v>
      </c>
      <c r="I95" s="15">
        <v>10</v>
      </c>
      <c r="J95" s="15">
        <f t="shared" si="9"/>
        <v>78456</v>
      </c>
      <c r="K95" s="15">
        <f t="shared" si="5"/>
        <v>30000</v>
      </c>
      <c r="L95">
        <f>SUMIF($B:$B,B95,$K:$K)/K95</f>
        <v>8300</v>
      </c>
      <c r="M95">
        <f>L95/SUMIF($B:$B,B95,$L:$L)</f>
        <v>7.8455986191746478E-3</v>
      </c>
      <c r="N95">
        <f t="shared" si="6"/>
        <v>78455</v>
      </c>
      <c r="O95">
        <f>10000000-SUMIF($B:$B,B95,$N:$N)</f>
        <v>149</v>
      </c>
      <c r="P95" s="19">
        <f>IF(COUNTIF($B$9:B95,B95)&lt;=O95,N95+1,N95)</f>
        <v>78456</v>
      </c>
      <c r="Q95" s="20">
        <f>SUMIF($B:$B,B95,$P:$P)</f>
        <v>10000000</v>
      </c>
      <c r="R95">
        <f t="shared" si="7"/>
        <v>235.36795857523944</v>
      </c>
    </row>
    <row r="96" spans="1:18" ht="23.25" x14ac:dyDescent="0.2">
      <c r="A96" s="15" ph="1">
        <v>21300398</v>
      </c>
      <c r="B96" s="17" t="s">
        <v>1612</v>
      </c>
      <c r="C96" s="15" t="s" ph="1">
        <v>1743</v>
      </c>
      <c r="D96" s="15">
        <v>4000</v>
      </c>
      <c r="E96" s="15" ph="1">
        <v>600</v>
      </c>
      <c r="F96" s="15" t="s" ph="1">
        <v>1655</v>
      </c>
      <c r="G96" s="15" t="str">
        <f t="shared" si="8"/>
        <v>조르즈 알바르스 계약서</v>
      </c>
      <c r="H96" s="15">
        <v>5</v>
      </c>
      <c r="I96" s="15">
        <v>10</v>
      </c>
      <c r="J96" s="15">
        <f t="shared" si="9"/>
        <v>78456</v>
      </c>
      <c r="K96" s="15">
        <f t="shared" si="5"/>
        <v>30000</v>
      </c>
      <c r="L96">
        <f>SUMIF($B:$B,B96,$K:$K)/K96</f>
        <v>8300</v>
      </c>
      <c r="M96">
        <f>L96/SUMIF($B:$B,B96,$L:$L)</f>
        <v>7.8455986191746478E-3</v>
      </c>
      <c r="N96">
        <f t="shared" si="6"/>
        <v>78455</v>
      </c>
      <c r="O96">
        <f>10000000-SUMIF($B:$B,B96,$N:$N)</f>
        <v>149</v>
      </c>
      <c r="P96" s="19">
        <f>IF(COUNTIF($B$9:B96,B96)&lt;=O96,N96+1,N96)</f>
        <v>78456</v>
      </c>
      <c r="Q96" s="20">
        <f>SUMIF($B:$B,B96,$P:$P)</f>
        <v>10000000</v>
      </c>
      <c r="R96">
        <f t="shared" si="7"/>
        <v>235.36795857523944</v>
      </c>
    </row>
    <row r="97" spans="1:18" ht="23.25" x14ac:dyDescent="0.2">
      <c r="A97" s="15" ph="1">
        <v>21300400</v>
      </c>
      <c r="B97" s="17" t="s">
        <v>1612</v>
      </c>
      <c r="C97" s="15" t="s" ph="1">
        <v>1744</v>
      </c>
      <c r="D97" s="15">
        <v>4000</v>
      </c>
      <c r="E97" s="15" ph="1">
        <v>600</v>
      </c>
      <c r="F97" s="15" t="s" ph="1">
        <v>1655</v>
      </c>
      <c r="G97" s="15" t="str">
        <f t="shared" si="8"/>
        <v>미르자 아지즈 코카 계약서</v>
      </c>
      <c r="H97" s="15">
        <v>5</v>
      </c>
      <c r="I97" s="15">
        <v>10</v>
      </c>
      <c r="J97" s="15">
        <f t="shared" si="9"/>
        <v>78456</v>
      </c>
      <c r="K97" s="15">
        <f t="shared" si="5"/>
        <v>30000</v>
      </c>
      <c r="L97">
        <f>SUMIF($B:$B,B97,$K:$K)/K97</f>
        <v>8300</v>
      </c>
      <c r="M97">
        <f>L97/SUMIF($B:$B,B97,$L:$L)</f>
        <v>7.8455986191746478E-3</v>
      </c>
      <c r="N97">
        <f t="shared" si="6"/>
        <v>78455</v>
      </c>
      <c r="O97">
        <f>10000000-SUMIF($B:$B,B97,$N:$N)</f>
        <v>149</v>
      </c>
      <c r="P97" s="19">
        <f>IF(COUNTIF($B$9:B97,B97)&lt;=O97,N97+1,N97)</f>
        <v>78456</v>
      </c>
      <c r="Q97" s="20">
        <f>SUMIF($B:$B,B97,$P:$P)</f>
        <v>10000000</v>
      </c>
      <c r="R97">
        <f t="shared" si="7"/>
        <v>235.36795857523944</v>
      </c>
    </row>
    <row r="98" spans="1:18" ht="23.25" x14ac:dyDescent="0.2">
      <c r="A98" s="15" ph="1">
        <v>21300402</v>
      </c>
      <c r="B98" s="17" t="s">
        <v>1612</v>
      </c>
      <c r="C98" s="15" t="s" ph="1">
        <v>1745</v>
      </c>
      <c r="D98" s="15">
        <v>4000</v>
      </c>
      <c r="E98" s="15" ph="1">
        <v>600</v>
      </c>
      <c r="F98" s="15" t="s" ph="1">
        <v>1655</v>
      </c>
      <c r="G98" s="15" t="str">
        <f t="shared" si="8"/>
        <v>판필로 데나르바에스 계약서</v>
      </c>
      <c r="H98" s="15">
        <v>5</v>
      </c>
      <c r="I98" s="15">
        <v>10</v>
      </c>
      <c r="J98" s="15">
        <f t="shared" si="9"/>
        <v>78456</v>
      </c>
      <c r="K98" s="15">
        <f t="shared" si="5"/>
        <v>30000</v>
      </c>
      <c r="L98">
        <f>SUMIF($B:$B,B98,$K:$K)/K98</f>
        <v>8300</v>
      </c>
      <c r="M98">
        <f>L98/SUMIF($B:$B,B98,$L:$L)</f>
        <v>7.8455986191746478E-3</v>
      </c>
      <c r="N98">
        <f t="shared" si="6"/>
        <v>78455</v>
      </c>
      <c r="O98">
        <f>10000000-SUMIF($B:$B,B98,$N:$N)</f>
        <v>149</v>
      </c>
      <c r="P98" s="19">
        <f>IF(COUNTIF($B$9:B98,B98)&lt;=O98,N98+1,N98)</f>
        <v>78456</v>
      </c>
      <c r="Q98" s="20">
        <f>SUMIF($B:$B,B98,$P:$P)</f>
        <v>10000000</v>
      </c>
      <c r="R98">
        <f t="shared" si="7"/>
        <v>235.36795857523944</v>
      </c>
    </row>
    <row r="99" spans="1:18" ht="23.25" x14ac:dyDescent="0.2">
      <c r="A99" s="15" ph="1">
        <v>21300403</v>
      </c>
      <c r="B99" s="17" t="s">
        <v>1612</v>
      </c>
      <c r="C99" s="15" t="s" ph="1">
        <v>1746</v>
      </c>
      <c r="D99" s="15">
        <v>4000</v>
      </c>
      <c r="E99" s="15" ph="1">
        <v>600</v>
      </c>
      <c r="F99" s="15" t="s" ph="1">
        <v>1655</v>
      </c>
      <c r="G99" s="15" t="str">
        <f t="shared" si="8"/>
        <v>알론소 알바레스 데피네다 계약서</v>
      </c>
      <c r="H99" s="15">
        <v>5</v>
      </c>
      <c r="I99" s="15">
        <v>10</v>
      </c>
      <c r="J99" s="15">
        <f t="shared" si="9"/>
        <v>78456</v>
      </c>
      <c r="K99" s="15">
        <f t="shared" si="5"/>
        <v>30000</v>
      </c>
      <c r="L99">
        <f>SUMIF($B:$B,B99,$K:$K)/K99</f>
        <v>8300</v>
      </c>
      <c r="M99">
        <f>L99/SUMIF($B:$B,B99,$L:$L)</f>
        <v>7.8455986191746478E-3</v>
      </c>
      <c r="N99">
        <f t="shared" si="6"/>
        <v>78455</v>
      </c>
      <c r="O99">
        <f>10000000-SUMIF($B:$B,B99,$N:$N)</f>
        <v>149</v>
      </c>
      <c r="P99" s="19">
        <f>IF(COUNTIF($B$9:B99,B99)&lt;=O99,N99+1,N99)</f>
        <v>78456</v>
      </c>
      <c r="Q99" s="20">
        <f>SUMIF($B:$B,B99,$P:$P)</f>
        <v>10000000</v>
      </c>
      <c r="R99">
        <f t="shared" si="7"/>
        <v>235.36795857523944</v>
      </c>
    </row>
    <row r="100" spans="1:18" ht="23.25" x14ac:dyDescent="0.2">
      <c r="A100" s="15" ph="1">
        <v>21300404</v>
      </c>
      <c r="B100" s="17" t="s">
        <v>1612</v>
      </c>
      <c r="C100" s="15" t="s" ph="1">
        <v>1747</v>
      </c>
      <c r="D100" s="15">
        <v>4000</v>
      </c>
      <c r="E100" s="15" ph="1">
        <v>600</v>
      </c>
      <c r="F100" s="15" t="s" ph="1">
        <v>1655</v>
      </c>
      <c r="G100" s="15" t="str">
        <f t="shared" si="8"/>
        <v>쿠스라우 미르자 계약서</v>
      </c>
      <c r="H100" s="15">
        <v>5</v>
      </c>
      <c r="I100" s="15">
        <v>10</v>
      </c>
      <c r="J100" s="15">
        <f t="shared" si="9"/>
        <v>78456</v>
      </c>
      <c r="K100" s="15">
        <f t="shared" si="5"/>
        <v>30000</v>
      </c>
      <c r="L100">
        <f>SUMIF($B:$B,B100,$K:$K)/K100</f>
        <v>8300</v>
      </c>
      <c r="M100">
        <f>L100/SUMIF($B:$B,B100,$L:$L)</f>
        <v>7.8455986191746478E-3</v>
      </c>
      <c r="N100">
        <f t="shared" si="6"/>
        <v>78455</v>
      </c>
      <c r="O100">
        <f>10000000-SUMIF($B:$B,B100,$N:$N)</f>
        <v>149</v>
      </c>
      <c r="P100" s="19">
        <f>IF(COUNTIF($B$9:B100,B100)&lt;=O100,N100+1,N100)</f>
        <v>78456</v>
      </c>
      <c r="Q100" s="20">
        <f>SUMIF($B:$B,B100,$P:$P)</f>
        <v>10000000</v>
      </c>
      <c r="R100">
        <f t="shared" si="7"/>
        <v>235.36795857523944</v>
      </c>
    </row>
    <row r="101" spans="1:18" ht="23.25" x14ac:dyDescent="0.2">
      <c r="A101" s="15" ph="1">
        <v>21300405</v>
      </c>
      <c r="B101" s="17" t="s">
        <v>1612</v>
      </c>
      <c r="C101" s="15" t="s" ph="1">
        <v>1748</v>
      </c>
      <c r="D101" s="15">
        <v>4000</v>
      </c>
      <c r="E101" s="15" ph="1">
        <v>600</v>
      </c>
      <c r="F101" s="15" t="s" ph="1">
        <v>1655</v>
      </c>
      <c r="G101" s="15" t="str">
        <f t="shared" si="8"/>
        <v>후안 데그리할바 계약서</v>
      </c>
      <c r="H101" s="15">
        <v>5</v>
      </c>
      <c r="I101" s="15">
        <v>10</v>
      </c>
      <c r="J101" s="15">
        <f t="shared" si="9"/>
        <v>78456</v>
      </c>
      <c r="K101" s="15">
        <f t="shared" si="5"/>
        <v>30000</v>
      </c>
      <c r="L101">
        <f>SUMIF($B:$B,B101,$K:$K)/K101</f>
        <v>8300</v>
      </c>
      <c r="M101">
        <f>L101/SUMIF($B:$B,B101,$L:$L)</f>
        <v>7.8455986191746478E-3</v>
      </c>
      <c r="N101">
        <f t="shared" si="6"/>
        <v>78455</v>
      </c>
      <c r="O101">
        <f>10000000-SUMIF($B:$B,B101,$N:$N)</f>
        <v>149</v>
      </c>
      <c r="P101" s="19">
        <f>IF(COUNTIF($B$9:B101,B101)&lt;=O101,N101+1,N101)</f>
        <v>78456</v>
      </c>
      <c r="Q101" s="20">
        <f>SUMIF($B:$B,B101,$P:$P)</f>
        <v>10000000</v>
      </c>
      <c r="R101">
        <f t="shared" si="7"/>
        <v>235.36795857523944</v>
      </c>
    </row>
    <row r="102" spans="1:18" ht="23.25" x14ac:dyDescent="0.2">
      <c r="A102" s="15" ph="1">
        <v>21300410</v>
      </c>
      <c r="B102" s="17" t="s">
        <v>1612</v>
      </c>
      <c r="C102" s="15" t="s" ph="1">
        <v>1749</v>
      </c>
      <c r="D102" s="15">
        <v>4000</v>
      </c>
      <c r="E102" s="15" ph="1">
        <v>600</v>
      </c>
      <c r="F102" s="15" t="s" ph="1">
        <v>1655</v>
      </c>
      <c r="G102" s="15" t="str">
        <f t="shared" si="8"/>
        <v>마르코스 데니사 계약서</v>
      </c>
      <c r="H102" s="15">
        <v>5</v>
      </c>
      <c r="I102" s="15">
        <v>10</v>
      </c>
      <c r="J102" s="15">
        <f t="shared" si="9"/>
        <v>78456</v>
      </c>
      <c r="K102" s="15">
        <f t="shared" si="5"/>
        <v>30000</v>
      </c>
      <c r="L102">
        <f>SUMIF($B:$B,B102,$K:$K)/K102</f>
        <v>8300</v>
      </c>
      <c r="M102">
        <f>L102/SUMIF($B:$B,B102,$L:$L)</f>
        <v>7.8455986191746478E-3</v>
      </c>
      <c r="N102">
        <f t="shared" si="6"/>
        <v>78455</v>
      </c>
      <c r="O102">
        <f>10000000-SUMIF($B:$B,B102,$N:$N)</f>
        <v>149</v>
      </c>
      <c r="P102" s="19">
        <f>IF(COUNTIF($B$9:B102,B102)&lt;=O102,N102+1,N102)</f>
        <v>78456</v>
      </c>
      <c r="Q102" s="20">
        <f>SUMIF($B:$B,B102,$P:$P)</f>
        <v>10000000</v>
      </c>
      <c r="R102">
        <f t="shared" si="7"/>
        <v>235.36795857523944</v>
      </c>
    </row>
    <row r="103" spans="1:18" ht="23.25" x14ac:dyDescent="0.2">
      <c r="A103" s="15" ph="1">
        <v>21300414</v>
      </c>
      <c r="B103" s="17" t="s">
        <v>1612</v>
      </c>
      <c r="C103" s="15" t="s" ph="1">
        <v>1750</v>
      </c>
      <c r="D103" s="15">
        <v>4000</v>
      </c>
      <c r="E103" s="15" ph="1">
        <v>600</v>
      </c>
      <c r="F103" s="15" t="s" ph="1">
        <v>1655</v>
      </c>
      <c r="G103" s="15" t="str">
        <f t="shared" si="8"/>
        <v>토다르 말 계약서</v>
      </c>
      <c r="H103" s="15">
        <v>5</v>
      </c>
      <c r="I103" s="15">
        <v>10</v>
      </c>
      <c r="J103" s="15">
        <f t="shared" si="9"/>
        <v>78456</v>
      </c>
      <c r="K103" s="15">
        <f t="shared" si="5"/>
        <v>30000</v>
      </c>
      <c r="L103">
        <f>SUMIF($B:$B,B103,$K:$K)/K103</f>
        <v>8300</v>
      </c>
      <c r="M103">
        <f>L103/SUMIF($B:$B,B103,$L:$L)</f>
        <v>7.8455986191746478E-3</v>
      </c>
      <c r="N103">
        <f t="shared" si="6"/>
        <v>78455</v>
      </c>
      <c r="O103">
        <f>10000000-SUMIF($B:$B,B103,$N:$N)</f>
        <v>149</v>
      </c>
      <c r="P103" s="19">
        <f>IF(COUNTIF($B$9:B103,B103)&lt;=O103,N103+1,N103)</f>
        <v>78456</v>
      </c>
      <c r="Q103" s="20">
        <f>SUMIF($B:$B,B103,$P:$P)</f>
        <v>10000000</v>
      </c>
      <c r="R103">
        <f t="shared" si="7"/>
        <v>235.36795857523944</v>
      </c>
    </row>
    <row r="104" spans="1:18" ht="23.25" x14ac:dyDescent="0.2">
      <c r="A104" s="15" ph="1">
        <v>21300419</v>
      </c>
      <c r="B104" s="17" t="s">
        <v>1612</v>
      </c>
      <c r="C104" s="15" t="s" ph="1">
        <v>1751</v>
      </c>
      <c r="D104" s="15">
        <v>4000</v>
      </c>
      <c r="E104" s="15" ph="1">
        <v>600</v>
      </c>
      <c r="F104" s="15" t="s" ph="1">
        <v>1655</v>
      </c>
      <c r="G104" s="15" t="str">
        <f t="shared" si="8"/>
        <v>이스테방 고메스 계약서</v>
      </c>
      <c r="H104" s="15">
        <v>5</v>
      </c>
      <c r="I104" s="15">
        <v>10</v>
      </c>
      <c r="J104" s="15">
        <f t="shared" si="9"/>
        <v>78456</v>
      </c>
      <c r="K104" s="15">
        <f t="shared" si="5"/>
        <v>30000</v>
      </c>
      <c r="L104">
        <f>SUMIF($B:$B,B104,$K:$K)/K104</f>
        <v>8300</v>
      </c>
      <c r="M104">
        <f>L104/SUMIF($B:$B,B104,$L:$L)</f>
        <v>7.8455986191746478E-3</v>
      </c>
      <c r="N104">
        <f t="shared" si="6"/>
        <v>78455</v>
      </c>
      <c r="O104">
        <f>10000000-SUMIF($B:$B,B104,$N:$N)</f>
        <v>149</v>
      </c>
      <c r="P104" s="19">
        <f>IF(COUNTIF($B$9:B104,B104)&lt;=O104,N104+1,N104)</f>
        <v>78456</v>
      </c>
      <c r="Q104" s="20">
        <f>SUMIF($B:$B,B104,$P:$P)</f>
        <v>10000000</v>
      </c>
      <c r="R104">
        <f t="shared" si="7"/>
        <v>235.36795857523944</v>
      </c>
    </row>
    <row r="105" spans="1:18" ht="23.25" x14ac:dyDescent="0.2">
      <c r="A105" s="15" ph="1">
        <v>21300421</v>
      </c>
      <c r="B105" s="17" t="s">
        <v>1612</v>
      </c>
      <c r="C105" s="15" t="s" ph="1">
        <v>1752</v>
      </c>
      <c r="D105" s="15">
        <v>4000</v>
      </c>
      <c r="E105" s="15" ph="1">
        <v>600</v>
      </c>
      <c r="F105" s="15" t="s" ph="1">
        <v>1655</v>
      </c>
      <c r="G105" s="15" t="str">
        <f t="shared" si="8"/>
        <v>디에고 카바예로 계약서</v>
      </c>
      <c r="H105" s="15">
        <v>5</v>
      </c>
      <c r="I105" s="15">
        <v>10</v>
      </c>
      <c r="J105" s="15">
        <f t="shared" si="9"/>
        <v>78456</v>
      </c>
      <c r="K105" s="15">
        <f t="shared" si="5"/>
        <v>30000</v>
      </c>
      <c r="L105">
        <f>SUMIF($B:$B,B105,$K:$K)/K105</f>
        <v>8300</v>
      </c>
      <c r="M105">
        <f>L105/SUMIF($B:$B,B105,$L:$L)</f>
        <v>7.8455986191746478E-3</v>
      </c>
      <c r="N105">
        <f t="shared" si="6"/>
        <v>78455</v>
      </c>
      <c r="O105">
        <f>10000000-SUMIF($B:$B,B105,$N:$N)</f>
        <v>149</v>
      </c>
      <c r="P105" s="19">
        <f>IF(COUNTIF($B$9:B105,B105)&lt;=O105,N105+1,N105)</f>
        <v>78456</v>
      </c>
      <c r="Q105" s="20">
        <f>SUMIF($B:$B,B105,$P:$P)</f>
        <v>10000000</v>
      </c>
      <c r="R105">
        <f t="shared" si="7"/>
        <v>235.36795857523944</v>
      </c>
    </row>
    <row r="106" spans="1:18" ht="23.25" x14ac:dyDescent="0.2">
      <c r="A106" s="15" ph="1">
        <v>21300423</v>
      </c>
      <c r="B106" s="17" t="s">
        <v>1612</v>
      </c>
      <c r="C106" s="15" t="s" ph="1">
        <v>1753</v>
      </c>
      <c r="D106" s="15">
        <v>4000</v>
      </c>
      <c r="E106" s="15" ph="1">
        <v>600</v>
      </c>
      <c r="F106" s="15" t="s" ph="1">
        <v>1655</v>
      </c>
      <c r="G106" s="15" t="str">
        <f t="shared" si="8"/>
        <v>페드로 데감보아 계약서</v>
      </c>
      <c r="H106" s="15">
        <v>5</v>
      </c>
      <c r="I106" s="15">
        <v>10</v>
      </c>
      <c r="J106" s="15">
        <f t="shared" si="9"/>
        <v>78456</v>
      </c>
      <c r="K106" s="15">
        <f t="shared" si="5"/>
        <v>30000</v>
      </c>
      <c r="L106">
        <f>SUMIF($B:$B,B106,$K:$K)/K106</f>
        <v>8300</v>
      </c>
      <c r="M106">
        <f>L106/SUMIF($B:$B,B106,$L:$L)</f>
        <v>7.8455986191746478E-3</v>
      </c>
      <c r="N106">
        <f t="shared" si="6"/>
        <v>78455</v>
      </c>
      <c r="O106">
        <f>10000000-SUMIF($B:$B,B106,$N:$N)</f>
        <v>149</v>
      </c>
      <c r="P106" s="19">
        <f>IF(COUNTIF($B$9:B106,B106)&lt;=O106,N106+1,N106)</f>
        <v>78456</v>
      </c>
      <c r="Q106" s="20">
        <f>SUMIF($B:$B,B106,$P:$P)</f>
        <v>10000000</v>
      </c>
      <c r="R106">
        <f t="shared" si="7"/>
        <v>235.36795857523944</v>
      </c>
    </row>
    <row r="107" spans="1:18" ht="23.25" x14ac:dyDescent="0.2">
      <c r="A107" s="15" ph="1">
        <v>21300426</v>
      </c>
      <c r="B107" s="17" t="s">
        <v>1612</v>
      </c>
      <c r="C107" s="15" t="s" ph="1">
        <v>1754</v>
      </c>
      <c r="D107" s="15">
        <v>4000</v>
      </c>
      <c r="E107" s="15" ph="1">
        <v>600</v>
      </c>
      <c r="F107" s="15" t="s" ph="1">
        <v>1655</v>
      </c>
      <c r="G107" s="15" t="str">
        <f t="shared" si="8"/>
        <v>요한 할레르 계약서</v>
      </c>
      <c r="H107" s="15">
        <v>5</v>
      </c>
      <c r="I107" s="15">
        <v>10</v>
      </c>
      <c r="J107" s="15">
        <f t="shared" si="9"/>
        <v>78456</v>
      </c>
      <c r="K107" s="15">
        <f t="shared" si="5"/>
        <v>30000</v>
      </c>
      <c r="L107">
        <f>SUMIF($B:$B,B107,$K:$K)/K107</f>
        <v>8300</v>
      </c>
      <c r="M107">
        <f>L107/SUMIF($B:$B,B107,$L:$L)</f>
        <v>7.8455986191746478E-3</v>
      </c>
      <c r="N107">
        <f t="shared" si="6"/>
        <v>78455</v>
      </c>
      <c r="O107">
        <f>10000000-SUMIF($B:$B,B107,$N:$N)</f>
        <v>149</v>
      </c>
      <c r="P107" s="19">
        <f>IF(COUNTIF($B$9:B107,B107)&lt;=O107,N107+1,N107)</f>
        <v>78456</v>
      </c>
      <c r="Q107" s="20">
        <f>SUMIF($B:$B,B107,$P:$P)</f>
        <v>10000000</v>
      </c>
      <c r="R107">
        <f t="shared" si="7"/>
        <v>235.36795857523944</v>
      </c>
    </row>
    <row r="108" spans="1:18" ht="23.25" x14ac:dyDescent="0.2">
      <c r="A108" s="15" ph="1">
        <v>21300427</v>
      </c>
      <c r="B108" s="17" t="s">
        <v>1612</v>
      </c>
      <c r="C108" s="15" t="s" ph="1">
        <v>1755</v>
      </c>
      <c r="D108" s="15">
        <v>4000</v>
      </c>
      <c r="E108" s="15" ph="1">
        <v>600</v>
      </c>
      <c r="F108" s="15" t="s" ph="1">
        <v>1655</v>
      </c>
      <c r="G108" s="15" t="str">
        <f t="shared" si="8"/>
        <v>트리폰 코로베이니코프 계약서</v>
      </c>
      <c r="H108" s="15">
        <v>5</v>
      </c>
      <c r="I108" s="15">
        <v>10</v>
      </c>
      <c r="J108" s="15">
        <f t="shared" si="9"/>
        <v>78456</v>
      </c>
      <c r="K108" s="15">
        <f t="shared" si="5"/>
        <v>30000</v>
      </c>
      <c r="L108">
        <f>SUMIF($B:$B,B108,$K:$K)/K108</f>
        <v>8300</v>
      </c>
      <c r="M108">
        <f>L108/SUMIF($B:$B,B108,$L:$L)</f>
        <v>7.8455986191746478E-3</v>
      </c>
      <c r="N108">
        <f t="shared" si="6"/>
        <v>78455</v>
      </c>
      <c r="O108">
        <f>10000000-SUMIF($B:$B,B108,$N:$N)</f>
        <v>149</v>
      </c>
      <c r="P108" s="19">
        <f>IF(COUNTIF($B$9:B108,B108)&lt;=O108,N108+1,N108)</f>
        <v>78456</v>
      </c>
      <c r="Q108" s="20">
        <f>SUMIF($B:$B,B108,$P:$P)</f>
        <v>10000000</v>
      </c>
      <c r="R108">
        <f t="shared" si="7"/>
        <v>235.36795857523944</v>
      </c>
    </row>
    <row r="109" spans="1:18" ht="23.25" x14ac:dyDescent="0.2">
      <c r="A109" s="15" ph="1">
        <v>21300429</v>
      </c>
      <c r="B109" s="17" t="s">
        <v>1612</v>
      </c>
      <c r="C109" s="15" t="s" ph="1">
        <v>1756</v>
      </c>
      <c r="D109" s="15">
        <v>4000</v>
      </c>
      <c r="E109" s="15" ph="1">
        <v>600</v>
      </c>
      <c r="F109" s="15" t="s" ph="1">
        <v>1655</v>
      </c>
      <c r="G109" s="15" t="str">
        <f t="shared" si="8"/>
        <v>마르팅 아폰수 드소자 계약서</v>
      </c>
      <c r="H109" s="15">
        <v>5</v>
      </c>
      <c r="I109" s="15">
        <v>10</v>
      </c>
      <c r="J109" s="15">
        <f t="shared" si="9"/>
        <v>78456</v>
      </c>
      <c r="K109" s="15">
        <f t="shared" si="5"/>
        <v>30000</v>
      </c>
      <c r="L109">
        <f>SUMIF($B:$B,B109,$K:$K)/K109</f>
        <v>8300</v>
      </c>
      <c r="M109">
        <f>L109/SUMIF($B:$B,B109,$L:$L)</f>
        <v>7.8455986191746478E-3</v>
      </c>
      <c r="N109">
        <f t="shared" si="6"/>
        <v>78455</v>
      </c>
      <c r="O109">
        <f>10000000-SUMIF($B:$B,B109,$N:$N)</f>
        <v>149</v>
      </c>
      <c r="P109" s="19">
        <f>IF(COUNTIF($B$9:B109,B109)&lt;=O109,N109+1,N109)</f>
        <v>78456</v>
      </c>
      <c r="Q109" s="20">
        <f>SUMIF($B:$B,B109,$P:$P)</f>
        <v>10000000</v>
      </c>
      <c r="R109">
        <f t="shared" si="7"/>
        <v>235.36795857523944</v>
      </c>
    </row>
    <row r="110" spans="1:18" ht="23.25" x14ac:dyDescent="0.2">
      <c r="A110" s="15" ph="1">
        <v>21300430</v>
      </c>
      <c r="B110" s="17" t="s">
        <v>1612</v>
      </c>
      <c r="C110" s="15" t="s" ph="1">
        <v>1757</v>
      </c>
      <c r="D110" s="15">
        <v>4000</v>
      </c>
      <c r="E110" s="15" ph="1">
        <v>600</v>
      </c>
      <c r="F110" s="15" t="s" ph="1">
        <v>1655</v>
      </c>
      <c r="G110" s="15" t="str">
        <f t="shared" si="8"/>
        <v>예르마크 티모페예비치 계약서</v>
      </c>
      <c r="H110" s="15">
        <v>5</v>
      </c>
      <c r="I110" s="15">
        <v>10</v>
      </c>
      <c r="J110" s="15">
        <f t="shared" si="9"/>
        <v>78456</v>
      </c>
      <c r="K110" s="15">
        <f t="shared" si="5"/>
        <v>30000</v>
      </c>
      <c r="L110">
        <f>SUMIF($B:$B,B110,$K:$K)/K110</f>
        <v>8300</v>
      </c>
      <c r="M110">
        <f>L110/SUMIF($B:$B,B110,$L:$L)</f>
        <v>7.8455986191746478E-3</v>
      </c>
      <c r="N110">
        <f t="shared" si="6"/>
        <v>78455</v>
      </c>
      <c r="O110">
        <f>10000000-SUMIF($B:$B,B110,$N:$N)</f>
        <v>149</v>
      </c>
      <c r="P110" s="19">
        <f>IF(COUNTIF($B$9:B110,B110)&lt;=O110,N110+1,N110)</f>
        <v>78456</v>
      </c>
      <c r="Q110" s="20">
        <f>SUMIF($B:$B,B110,$P:$P)</f>
        <v>10000000</v>
      </c>
      <c r="R110">
        <f t="shared" si="7"/>
        <v>235.36795857523944</v>
      </c>
    </row>
    <row r="111" spans="1:18" ht="23.25" x14ac:dyDescent="0.2">
      <c r="A111" s="15" ph="1">
        <v>21300431</v>
      </c>
      <c r="B111" s="17" t="s">
        <v>1612</v>
      </c>
      <c r="C111" s="15" t="s" ph="1">
        <v>1758</v>
      </c>
      <c r="D111" s="15">
        <v>4000</v>
      </c>
      <c r="E111" s="15" ph="1">
        <v>600</v>
      </c>
      <c r="F111" s="15" t="s" ph="1">
        <v>1655</v>
      </c>
      <c r="G111" s="15" t="str">
        <f t="shared" si="8"/>
        <v>세묜 스트로가노프 계약서</v>
      </c>
      <c r="H111" s="15">
        <v>5</v>
      </c>
      <c r="I111" s="15">
        <v>10</v>
      </c>
      <c r="J111" s="15">
        <f t="shared" si="9"/>
        <v>78456</v>
      </c>
      <c r="K111" s="15">
        <f t="shared" si="5"/>
        <v>30000</v>
      </c>
      <c r="L111">
        <f>SUMIF($B:$B,B111,$K:$K)/K111</f>
        <v>8300</v>
      </c>
      <c r="M111">
        <f>L111/SUMIF($B:$B,B111,$L:$L)</f>
        <v>7.8455986191746478E-3</v>
      </c>
      <c r="N111">
        <f t="shared" si="6"/>
        <v>78455</v>
      </c>
      <c r="O111">
        <f>10000000-SUMIF($B:$B,B111,$N:$N)</f>
        <v>149</v>
      </c>
      <c r="P111" s="19">
        <f>IF(COUNTIF($B$9:B111,B111)&lt;=O111,N111+1,N111)</f>
        <v>78456</v>
      </c>
      <c r="Q111" s="20">
        <f>SUMIF($B:$B,B111,$P:$P)</f>
        <v>10000000</v>
      </c>
      <c r="R111">
        <f t="shared" si="7"/>
        <v>235.36795857523944</v>
      </c>
    </row>
    <row r="112" spans="1:18" ht="23.25" x14ac:dyDescent="0.2">
      <c r="A112" s="15" ph="1">
        <v>21300439</v>
      </c>
      <c r="B112" s="17" t="s">
        <v>1612</v>
      </c>
      <c r="C112" s="15" t="s" ph="1">
        <v>1759</v>
      </c>
      <c r="D112" s="15">
        <v>4000</v>
      </c>
      <c r="E112" s="15" ph="1">
        <v>600</v>
      </c>
      <c r="F112" s="15" t="s" ph="1">
        <v>1655</v>
      </c>
      <c r="G112" s="15" t="str">
        <f t="shared" si="8"/>
        <v>로버트 아마다스 계약서</v>
      </c>
      <c r="H112" s="15">
        <v>5</v>
      </c>
      <c r="I112" s="15">
        <v>10</v>
      </c>
      <c r="J112" s="15">
        <f t="shared" si="9"/>
        <v>78456</v>
      </c>
      <c r="K112" s="15">
        <f t="shared" si="5"/>
        <v>30000</v>
      </c>
      <c r="L112">
        <f>SUMIF($B:$B,B112,$K:$K)/K112</f>
        <v>8300</v>
      </c>
      <c r="M112">
        <f>L112/SUMIF($B:$B,B112,$L:$L)</f>
        <v>7.8455986191746478E-3</v>
      </c>
      <c r="N112">
        <f t="shared" si="6"/>
        <v>78455</v>
      </c>
      <c r="O112">
        <f>10000000-SUMIF($B:$B,B112,$N:$N)</f>
        <v>149</v>
      </c>
      <c r="P112" s="19">
        <f>IF(COUNTIF($B$9:B112,B112)&lt;=O112,N112+1,N112)</f>
        <v>78456</v>
      </c>
      <c r="Q112" s="20">
        <f>SUMIF($B:$B,B112,$P:$P)</f>
        <v>10000000</v>
      </c>
      <c r="R112">
        <f t="shared" si="7"/>
        <v>235.36795857523944</v>
      </c>
    </row>
    <row r="113" spans="1:18" ht="23.25" x14ac:dyDescent="0.2">
      <c r="A113" s="15" ph="1">
        <v>21300444</v>
      </c>
      <c r="B113" s="17" t="s">
        <v>1612</v>
      </c>
      <c r="C113" s="15" t="s" ph="1">
        <v>1760</v>
      </c>
      <c r="D113" s="15">
        <v>4000</v>
      </c>
      <c r="E113" s="15" ph="1">
        <v>600</v>
      </c>
      <c r="F113" s="15" t="s" ph="1">
        <v>1655</v>
      </c>
      <c r="G113" s="15" t="str">
        <f t="shared" si="8"/>
        <v>야코프 판넥 계약서</v>
      </c>
      <c r="H113" s="15">
        <v>5</v>
      </c>
      <c r="I113" s="15">
        <v>10</v>
      </c>
      <c r="J113" s="15">
        <f t="shared" si="9"/>
        <v>78456</v>
      </c>
      <c r="K113" s="15">
        <f t="shared" si="5"/>
        <v>30000</v>
      </c>
      <c r="L113">
        <f>SUMIF($B:$B,B113,$K:$K)/K113</f>
        <v>8300</v>
      </c>
      <c r="M113">
        <f>L113/SUMIF($B:$B,B113,$L:$L)</f>
        <v>7.8455986191746478E-3</v>
      </c>
      <c r="N113">
        <f t="shared" si="6"/>
        <v>78455</v>
      </c>
      <c r="O113">
        <f>10000000-SUMIF($B:$B,B113,$N:$N)</f>
        <v>149</v>
      </c>
      <c r="P113" s="19">
        <f>IF(COUNTIF($B$9:B113,B113)&lt;=O113,N113+1,N113)</f>
        <v>78456</v>
      </c>
      <c r="Q113" s="20">
        <f>SUMIF($B:$B,B113,$P:$P)</f>
        <v>10000000</v>
      </c>
      <c r="R113">
        <f t="shared" si="7"/>
        <v>235.36795857523944</v>
      </c>
    </row>
    <row r="114" spans="1:18" ht="23.25" x14ac:dyDescent="0.2">
      <c r="A114" s="15" ph="1">
        <v>21300456</v>
      </c>
      <c r="B114" s="17" t="s">
        <v>1612</v>
      </c>
      <c r="C114" s="15" t="s" ph="1">
        <v>1761</v>
      </c>
      <c r="D114" s="15">
        <v>4000</v>
      </c>
      <c r="E114" s="15" ph="1">
        <v>600</v>
      </c>
      <c r="F114" s="15" t="s" ph="1">
        <v>1655</v>
      </c>
      <c r="G114" s="15" t="str">
        <f t="shared" si="8"/>
        <v>카타리나 코르네르 계약서</v>
      </c>
      <c r="H114" s="15">
        <v>5</v>
      </c>
      <c r="I114" s="15">
        <v>10</v>
      </c>
      <c r="J114" s="15">
        <f t="shared" si="9"/>
        <v>78456</v>
      </c>
      <c r="K114" s="15">
        <f t="shared" si="5"/>
        <v>30000</v>
      </c>
      <c r="L114">
        <f>SUMIF($B:$B,B114,$K:$K)/K114</f>
        <v>8300</v>
      </c>
      <c r="M114">
        <f>L114/SUMIF($B:$B,B114,$L:$L)</f>
        <v>7.8455986191746478E-3</v>
      </c>
      <c r="N114">
        <f t="shared" si="6"/>
        <v>78455</v>
      </c>
      <c r="O114">
        <f>10000000-SUMIF($B:$B,B114,$N:$N)</f>
        <v>149</v>
      </c>
      <c r="P114" s="19">
        <f>IF(COUNTIF($B$9:B114,B114)&lt;=O114,N114+1,N114)</f>
        <v>78456</v>
      </c>
      <c r="Q114" s="20">
        <f>SUMIF($B:$B,B114,$P:$P)</f>
        <v>10000000</v>
      </c>
      <c r="R114">
        <f t="shared" si="7"/>
        <v>235.36795857523944</v>
      </c>
    </row>
    <row r="115" spans="1:18" ht="23.25" x14ac:dyDescent="0.2">
      <c r="A115" s="15" ph="1">
        <v>21300459</v>
      </c>
      <c r="B115" s="17" t="s">
        <v>1612</v>
      </c>
      <c r="C115" s="15" t="s" ph="1">
        <v>1762</v>
      </c>
      <c r="D115" s="15">
        <v>4000</v>
      </c>
      <c r="E115" s="15" ph="1">
        <v>600</v>
      </c>
      <c r="F115" s="15" t="s" ph="1">
        <v>1655</v>
      </c>
      <c r="G115" s="15" t="str">
        <f t="shared" si="8"/>
        <v>슈무엘 베일라시 계약서</v>
      </c>
      <c r="H115" s="15">
        <v>5</v>
      </c>
      <c r="I115" s="15">
        <v>10</v>
      </c>
      <c r="J115" s="15">
        <f t="shared" si="9"/>
        <v>78456</v>
      </c>
      <c r="K115" s="15">
        <f t="shared" si="5"/>
        <v>30000</v>
      </c>
      <c r="L115">
        <f>SUMIF($B:$B,B115,$K:$K)/K115</f>
        <v>8300</v>
      </c>
      <c r="M115">
        <f>L115/SUMIF($B:$B,B115,$L:$L)</f>
        <v>7.8455986191746478E-3</v>
      </c>
      <c r="N115">
        <f t="shared" si="6"/>
        <v>78455</v>
      </c>
      <c r="O115">
        <f>10000000-SUMIF($B:$B,B115,$N:$N)</f>
        <v>149</v>
      </c>
      <c r="P115" s="19">
        <f>IF(COUNTIF($B$9:B115,B115)&lt;=O115,N115+1,N115)</f>
        <v>78456</v>
      </c>
      <c r="Q115" s="20">
        <f>SUMIF($B:$B,B115,$P:$P)</f>
        <v>10000000</v>
      </c>
      <c r="R115">
        <f t="shared" si="7"/>
        <v>235.36795857523944</v>
      </c>
    </row>
    <row r="116" spans="1:18" ht="23.25" x14ac:dyDescent="0.2">
      <c r="A116" s="15" ph="1">
        <v>21300464</v>
      </c>
      <c r="B116" s="17" t="s">
        <v>1612</v>
      </c>
      <c r="C116" s="15" t="s" ph="1">
        <v>1763</v>
      </c>
      <c r="D116" s="15">
        <v>4000</v>
      </c>
      <c r="E116" s="15" ph="1">
        <v>600</v>
      </c>
      <c r="F116" s="15" t="s" ph="1">
        <v>1655</v>
      </c>
      <c r="G116" s="15" t="str">
        <f t="shared" si="8"/>
        <v>히사카지마 야스케 계약서</v>
      </c>
      <c r="H116" s="15">
        <v>5</v>
      </c>
      <c r="I116" s="15">
        <v>10</v>
      </c>
      <c r="J116" s="15">
        <f t="shared" si="9"/>
        <v>78456</v>
      </c>
      <c r="K116" s="15">
        <f t="shared" si="5"/>
        <v>30000</v>
      </c>
      <c r="L116">
        <f>SUMIF($B:$B,B116,$K:$K)/K116</f>
        <v>8300</v>
      </c>
      <c r="M116">
        <f>L116/SUMIF($B:$B,B116,$L:$L)</f>
        <v>7.8455986191746478E-3</v>
      </c>
      <c r="N116">
        <f t="shared" si="6"/>
        <v>78455</v>
      </c>
      <c r="O116">
        <f>10000000-SUMIF($B:$B,B116,$N:$N)</f>
        <v>149</v>
      </c>
      <c r="P116" s="19">
        <f>IF(COUNTIF($B$9:B116,B116)&lt;=O116,N116+1,N116)</f>
        <v>78456</v>
      </c>
      <c r="Q116" s="20">
        <f>SUMIF($B:$B,B116,$P:$P)</f>
        <v>10000000</v>
      </c>
      <c r="R116">
        <f t="shared" si="7"/>
        <v>235.36795857523944</v>
      </c>
    </row>
    <row r="117" spans="1:18" ht="23.25" x14ac:dyDescent="0.2">
      <c r="A117" s="15" ph="1">
        <v>21300491</v>
      </c>
      <c r="B117" s="17" t="s">
        <v>1612</v>
      </c>
      <c r="C117" s="15" t="s" ph="1">
        <v>1764</v>
      </c>
      <c r="D117" s="15">
        <v>4000</v>
      </c>
      <c r="E117" s="15" ph="1">
        <v>600</v>
      </c>
      <c r="F117" s="15" t="s" ph="1">
        <v>1655</v>
      </c>
      <c r="G117" s="15" t="str">
        <f t="shared" si="8"/>
        <v>안나 오커히엘름 계약서</v>
      </c>
      <c r="H117" s="15">
        <v>5</v>
      </c>
      <c r="I117" s="15">
        <v>10</v>
      </c>
      <c r="J117" s="15">
        <f t="shared" si="9"/>
        <v>78456</v>
      </c>
      <c r="K117" s="15">
        <f t="shared" si="5"/>
        <v>30000</v>
      </c>
      <c r="L117">
        <f>SUMIF($B:$B,B117,$K:$K)/K117</f>
        <v>8300</v>
      </c>
      <c r="M117">
        <f>L117/SUMIF($B:$B,B117,$L:$L)</f>
        <v>7.8455986191746478E-3</v>
      </c>
      <c r="N117">
        <f t="shared" si="6"/>
        <v>78455</v>
      </c>
      <c r="O117">
        <f>10000000-SUMIF($B:$B,B117,$N:$N)</f>
        <v>149</v>
      </c>
      <c r="P117" s="19">
        <f>IF(COUNTIF($B$9:B117,B117)&lt;=O117,N117+1,N117)</f>
        <v>78456</v>
      </c>
      <c r="Q117" s="20">
        <f>SUMIF($B:$B,B117,$P:$P)</f>
        <v>10000000</v>
      </c>
      <c r="R117">
        <f t="shared" si="7"/>
        <v>235.36795857523944</v>
      </c>
    </row>
    <row r="118" spans="1:18" ht="23.25" x14ac:dyDescent="0.2">
      <c r="A118" s="15" ph="1">
        <v>21300449</v>
      </c>
      <c r="B118" s="17" t="s">
        <v>1612</v>
      </c>
      <c r="C118" s="15" t="s" ph="1">
        <v>1765</v>
      </c>
      <c r="D118" s="15">
        <v>4000</v>
      </c>
      <c r="E118" s="15" ph="1">
        <v>600</v>
      </c>
      <c r="F118" s="15" t="s" ph="1">
        <v>1655</v>
      </c>
      <c r="G118" s="15" t="str">
        <f t="shared" si="8"/>
        <v>구루시마 미치후사 계약서</v>
      </c>
      <c r="H118" s="15">
        <v>5</v>
      </c>
      <c r="I118" s="15">
        <v>10</v>
      </c>
      <c r="J118" s="15">
        <f t="shared" si="9"/>
        <v>78456</v>
      </c>
      <c r="K118" s="15">
        <f t="shared" si="5"/>
        <v>30000</v>
      </c>
      <c r="L118">
        <f>SUMIF($B:$B,B118,$K:$K)/K118</f>
        <v>8300</v>
      </c>
      <c r="M118">
        <f>L118/SUMIF($B:$B,B118,$L:$L)</f>
        <v>7.8455986191746478E-3</v>
      </c>
      <c r="N118">
        <f t="shared" si="6"/>
        <v>78455</v>
      </c>
      <c r="O118">
        <f>10000000-SUMIF($B:$B,B118,$N:$N)</f>
        <v>149</v>
      </c>
      <c r="P118" s="19">
        <f>IF(COUNTIF($B$9:B118,B118)&lt;=O118,N118+1,N118)</f>
        <v>78456</v>
      </c>
      <c r="Q118" s="20">
        <f>SUMIF($B:$B,B118,$P:$P)</f>
        <v>10000000</v>
      </c>
      <c r="R118">
        <f t="shared" si="7"/>
        <v>235.36795857523944</v>
      </c>
    </row>
    <row r="119" spans="1:18" ht="23.25" x14ac:dyDescent="0.2">
      <c r="A119" s="15" ph="1">
        <v>21300478</v>
      </c>
      <c r="B119" s="17" t="s">
        <v>1612</v>
      </c>
      <c r="C119" s="15" t="s" ph="1">
        <v>1766</v>
      </c>
      <c r="D119" s="15">
        <v>4000</v>
      </c>
      <c r="E119" s="15" ph="1">
        <v>600</v>
      </c>
      <c r="F119" s="15" t="s" ph="1">
        <v>1655</v>
      </c>
      <c r="G119" s="15" t="str">
        <f t="shared" si="8"/>
        <v>마쓰라 다카노부 계약서</v>
      </c>
      <c r="H119" s="15">
        <v>5</v>
      </c>
      <c r="I119" s="15">
        <v>10</v>
      </c>
      <c r="J119" s="15">
        <f t="shared" si="9"/>
        <v>78456</v>
      </c>
      <c r="K119" s="15">
        <f t="shared" si="5"/>
        <v>30000</v>
      </c>
      <c r="L119">
        <f>SUMIF($B:$B,B119,$K:$K)/K119</f>
        <v>8300</v>
      </c>
      <c r="M119">
        <f>L119/SUMIF($B:$B,B119,$L:$L)</f>
        <v>7.8455986191746478E-3</v>
      </c>
      <c r="N119">
        <f t="shared" si="6"/>
        <v>78455</v>
      </c>
      <c r="O119">
        <f>10000000-SUMIF($B:$B,B119,$N:$N)</f>
        <v>149</v>
      </c>
      <c r="P119" s="19">
        <f>IF(COUNTIF($B$9:B119,B119)&lt;=O119,N119+1,N119)</f>
        <v>78456</v>
      </c>
      <c r="Q119" s="20">
        <f>SUMIF($B:$B,B119,$P:$P)</f>
        <v>10000000</v>
      </c>
      <c r="R119">
        <f t="shared" si="7"/>
        <v>235.36795857523944</v>
      </c>
    </row>
    <row r="120" spans="1:18" ht="23.25" x14ac:dyDescent="0.2">
      <c r="A120" s="15" ph="1">
        <v>21300360</v>
      </c>
      <c r="B120" s="17" t="s">
        <v>1612</v>
      </c>
      <c r="C120" s="15" t="s" ph="1">
        <v>1767</v>
      </c>
      <c r="D120" s="15">
        <v>4000</v>
      </c>
      <c r="E120" s="15" ph="1">
        <v>600</v>
      </c>
      <c r="F120" s="15" t="s" ph="1">
        <v>1655</v>
      </c>
      <c r="G120" s="15" t="str">
        <f t="shared" si="8"/>
        <v>한스 슈타덴 계약서</v>
      </c>
      <c r="H120" s="15">
        <v>5</v>
      </c>
      <c r="I120" s="15">
        <v>10</v>
      </c>
      <c r="J120" s="15">
        <f t="shared" si="9"/>
        <v>78456</v>
      </c>
      <c r="K120" s="15">
        <f t="shared" si="5"/>
        <v>30000</v>
      </c>
      <c r="L120">
        <f>SUMIF($B:$B,B120,$K:$K)/K120</f>
        <v>8300</v>
      </c>
      <c r="M120">
        <f>L120/SUMIF($B:$B,B120,$L:$L)</f>
        <v>7.8455986191746478E-3</v>
      </c>
      <c r="N120">
        <f t="shared" si="6"/>
        <v>78455</v>
      </c>
      <c r="O120">
        <f>10000000-SUMIF($B:$B,B120,$N:$N)</f>
        <v>149</v>
      </c>
      <c r="P120" s="19">
        <f>IF(COUNTIF($B$9:B120,B120)&lt;=O120,N120+1,N120)</f>
        <v>78456</v>
      </c>
      <c r="Q120" s="20">
        <f>SUMIF($B:$B,B120,$P:$P)</f>
        <v>10000000</v>
      </c>
      <c r="R120">
        <f t="shared" si="7"/>
        <v>235.36795857523944</v>
      </c>
    </row>
    <row r="121" spans="1:18" ht="23.25" x14ac:dyDescent="0.2">
      <c r="A121" s="15" ph="1">
        <v>21300219</v>
      </c>
      <c r="B121" s="17" t="s">
        <v>1612</v>
      </c>
      <c r="C121" s="15" t="s" ph="1">
        <v>1768</v>
      </c>
      <c r="D121" s="15">
        <v>20000</v>
      </c>
      <c r="E121" s="15" ph="1">
        <v>300</v>
      </c>
      <c r="F121" s="15" t="s" ph="1">
        <v>1671</v>
      </c>
      <c r="G121" s="15" t="str">
        <f t="shared" si="8"/>
        <v>프란시스코 알보 계약서</v>
      </c>
      <c r="H121" s="15">
        <v>5</v>
      </c>
      <c r="I121" s="15">
        <v>10</v>
      </c>
      <c r="J121" s="15">
        <f t="shared" si="9"/>
        <v>15692</v>
      </c>
      <c r="K121" s="15">
        <f t="shared" si="5"/>
        <v>150000</v>
      </c>
      <c r="L121">
        <f>SUMIF($B:$B,B121,$K:$K)/K121</f>
        <v>1660</v>
      </c>
      <c r="M121">
        <f>L121/SUMIF($B:$B,B121,$L:$L)</f>
        <v>1.5691197238349296E-3</v>
      </c>
      <c r="N121">
        <f t="shared" si="6"/>
        <v>15691</v>
      </c>
      <c r="O121">
        <f>10000000-SUMIF($B:$B,B121,$N:$N)</f>
        <v>149</v>
      </c>
      <c r="P121" s="19">
        <f>IF(COUNTIF($B$9:B121,B121)&lt;=O121,N121+1,N121)</f>
        <v>15692</v>
      </c>
      <c r="Q121" s="20">
        <f>SUMIF($B:$B,B121,$P:$P)</f>
        <v>10000000</v>
      </c>
      <c r="R121">
        <f t="shared" si="7"/>
        <v>235.36795857523944</v>
      </c>
    </row>
    <row r="122" spans="1:18" ht="23.25" x14ac:dyDescent="0.2">
      <c r="A122" s="15" ph="1">
        <v>21300258</v>
      </c>
      <c r="B122" s="17" t="s">
        <v>1612</v>
      </c>
      <c r="C122" s="15" t="s" ph="1">
        <v>1769</v>
      </c>
      <c r="D122" s="15">
        <v>20000</v>
      </c>
      <c r="E122" s="15" ph="1">
        <v>300</v>
      </c>
      <c r="F122" s="15" t="s" ph="1">
        <v>1671</v>
      </c>
      <c r="G122" s="15" t="str">
        <f t="shared" si="8"/>
        <v>프란시스쿠 세항 계약서</v>
      </c>
      <c r="H122" s="15">
        <v>5</v>
      </c>
      <c r="I122" s="15">
        <v>10</v>
      </c>
      <c r="J122" s="15">
        <f t="shared" si="9"/>
        <v>15692</v>
      </c>
      <c r="K122" s="15">
        <f t="shared" si="5"/>
        <v>150000</v>
      </c>
      <c r="L122">
        <f>SUMIF($B:$B,B122,$K:$K)/K122</f>
        <v>1660</v>
      </c>
      <c r="M122">
        <f>L122/SUMIF($B:$B,B122,$L:$L)</f>
        <v>1.5691197238349296E-3</v>
      </c>
      <c r="N122">
        <f t="shared" si="6"/>
        <v>15691</v>
      </c>
      <c r="O122">
        <f>10000000-SUMIF($B:$B,B122,$N:$N)</f>
        <v>149</v>
      </c>
      <c r="P122" s="19">
        <f>IF(COUNTIF($B$9:B122,B122)&lt;=O122,N122+1,N122)</f>
        <v>15692</v>
      </c>
      <c r="Q122" s="20">
        <f>SUMIF($B:$B,B122,$P:$P)</f>
        <v>10000000</v>
      </c>
      <c r="R122">
        <f t="shared" si="7"/>
        <v>235.36795857523944</v>
      </c>
    </row>
    <row r="123" spans="1:18" ht="23.25" x14ac:dyDescent="0.2">
      <c r="A123" s="15" ph="1">
        <v>21300215</v>
      </c>
      <c r="B123" s="17" t="s">
        <v>1612</v>
      </c>
      <c r="C123" s="15" t="s" ph="1">
        <v>1770</v>
      </c>
      <c r="D123" s="15">
        <v>20000</v>
      </c>
      <c r="E123" s="15" ph="1">
        <v>300</v>
      </c>
      <c r="F123" s="15" t="s" ph="1">
        <v>1671</v>
      </c>
      <c r="G123" s="15" t="str">
        <f t="shared" si="8"/>
        <v>주앙 세항 계약서</v>
      </c>
      <c r="H123" s="15">
        <v>5</v>
      </c>
      <c r="I123" s="15">
        <v>10</v>
      </c>
      <c r="J123" s="15">
        <f t="shared" si="9"/>
        <v>15692</v>
      </c>
      <c r="K123" s="15">
        <f t="shared" si="5"/>
        <v>150000</v>
      </c>
      <c r="L123">
        <f>SUMIF($B:$B,B123,$K:$K)/K123</f>
        <v>1660</v>
      </c>
      <c r="M123">
        <f>L123/SUMIF($B:$B,B123,$L:$L)</f>
        <v>1.5691197238349296E-3</v>
      </c>
      <c r="N123">
        <f t="shared" si="6"/>
        <v>15691</v>
      </c>
      <c r="O123">
        <f>10000000-SUMIF($B:$B,B123,$N:$N)</f>
        <v>149</v>
      </c>
      <c r="P123" s="19">
        <f>IF(COUNTIF($B$9:B123,B123)&lt;=O123,N123+1,N123)</f>
        <v>15692</v>
      </c>
      <c r="Q123" s="20">
        <f>SUMIF($B:$B,B123,$P:$P)</f>
        <v>10000000</v>
      </c>
      <c r="R123">
        <f t="shared" si="7"/>
        <v>235.36795857523944</v>
      </c>
    </row>
    <row r="124" spans="1:18" ht="23.25" x14ac:dyDescent="0.2">
      <c r="A124" s="15" ph="1">
        <v>21300234</v>
      </c>
      <c r="B124" s="17" t="s">
        <v>1612</v>
      </c>
      <c r="C124" s="15" t="s" ph="1">
        <v>1771</v>
      </c>
      <c r="D124" s="15">
        <v>20000</v>
      </c>
      <c r="E124" s="15" ph="1">
        <v>300</v>
      </c>
      <c r="F124" s="15" t="s" ph="1">
        <v>1671</v>
      </c>
      <c r="G124" s="15" t="str">
        <f t="shared" si="8"/>
        <v>엔히크 드말라카 계약서</v>
      </c>
      <c r="H124" s="15">
        <v>5</v>
      </c>
      <c r="I124" s="15">
        <v>10</v>
      </c>
      <c r="J124" s="15">
        <f t="shared" si="9"/>
        <v>15692</v>
      </c>
      <c r="K124" s="15">
        <f t="shared" si="5"/>
        <v>150000</v>
      </c>
      <c r="L124">
        <f>SUMIF($B:$B,B124,$K:$K)/K124</f>
        <v>1660</v>
      </c>
      <c r="M124">
        <f>L124/SUMIF($B:$B,B124,$L:$L)</f>
        <v>1.5691197238349296E-3</v>
      </c>
      <c r="N124">
        <f t="shared" si="6"/>
        <v>15691</v>
      </c>
      <c r="O124">
        <f>10000000-SUMIF($B:$B,B124,$N:$N)</f>
        <v>149</v>
      </c>
      <c r="P124" s="19">
        <f>IF(COUNTIF($B$9:B124,B124)&lt;=O124,N124+1,N124)</f>
        <v>15692</v>
      </c>
      <c r="Q124" s="20">
        <f>SUMIF($B:$B,B124,$P:$P)</f>
        <v>10000000</v>
      </c>
      <c r="R124">
        <f t="shared" si="7"/>
        <v>235.36795857523944</v>
      </c>
    </row>
    <row r="125" spans="1:18" ht="23.25" x14ac:dyDescent="0.2">
      <c r="A125" s="15" ph="1">
        <v>21300222</v>
      </c>
      <c r="B125" s="17" t="s">
        <v>1612</v>
      </c>
      <c r="C125" s="15" t="s" ph="1">
        <v>1772</v>
      </c>
      <c r="D125" s="15">
        <v>20000</v>
      </c>
      <c r="E125" s="15" ph="1">
        <v>300</v>
      </c>
      <c r="F125" s="15" t="s" ph="1">
        <v>1671</v>
      </c>
      <c r="G125" s="15" t="str">
        <f t="shared" si="8"/>
        <v>가스파르 데케사다 계약서</v>
      </c>
      <c r="H125" s="15">
        <v>5</v>
      </c>
      <c r="I125" s="15">
        <v>10</v>
      </c>
      <c r="J125" s="15">
        <f t="shared" si="9"/>
        <v>15692</v>
      </c>
      <c r="K125" s="15">
        <f t="shared" si="5"/>
        <v>150000</v>
      </c>
      <c r="L125">
        <f>SUMIF($B:$B,B125,$K:$K)/K125</f>
        <v>1660</v>
      </c>
      <c r="M125">
        <f>L125/SUMIF($B:$B,B125,$L:$L)</f>
        <v>1.5691197238349296E-3</v>
      </c>
      <c r="N125">
        <f t="shared" si="6"/>
        <v>15691</v>
      </c>
      <c r="O125">
        <f>10000000-SUMIF($B:$B,B125,$N:$N)</f>
        <v>149</v>
      </c>
      <c r="P125" s="19">
        <f>IF(COUNTIF($B$9:B125,B125)&lt;=O125,N125+1,N125)</f>
        <v>15692</v>
      </c>
      <c r="Q125" s="20">
        <f>SUMIF($B:$B,B125,$P:$P)</f>
        <v>10000000</v>
      </c>
      <c r="R125">
        <f t="shared" si="7"/>
        <v>235.36795857523944</v>
      </c>
    </row>
    <row r="126" spans="1:18" ht="23.25" x14ac:dyDescent="0.2">
      <c r="A126" s="15" ph="1">
        <v>21300214</v>
      </c>
      <c r="B126" s="17" t="s">
        <v>1612</v>
      </c>
      <c r="C126" s="15" t="s" ph="1">
        <v>1773</v>
      </c>
      <c r="D126" s="15">
        <v>20000</v>
      </c>
      <c r="E126" s="15" ph="1">
        <v>300</v>
      </c>
      <c r="F126" s="15" t="s" ph="1">
        <v>1671</v>
      </c>
      <c r="G126" s="15" t="str">
        <f t="shared" si="8"/>
        <v>두아르테 바르보사 계약서</v>
      </c>
      <c r="H126" s="15">
        <v>5</v>
      </c>
      <c r="I126" s="15">
        <v>10</v>
      </c>
      <c r="J126" s="15">
        <f t="shared" si="9"/>
        <v>15692</v>
      </c>
      <c r="K126" s="15">
        <f t="shared" si="5"/>
        <v>150000</v>
      </c>
      <c r="L126">
        <f>SUMIF($B:$B,B126,$K:$K)/K126</f>
        <v>1660</v>
      </c>
      <c r="M126">
        <f>L126/SUMIF($B:$B,B126,$L:$L)</f>
        <v>1.5691197238349296E-3</v>
      </c>
      <c r="N126">
        <f t="shared" si="6"/>
        <v>15691</v>
      </c>
      <c r="O126">
        <f>10000000-SUMIF($B:$B,B126,$N:$N)</f>
        <v>149</v>
      </c>
      <c r="P126" s="19">
        <f>IF(COUNTIF($B$9:B126,B126)&lt;=O126,N126+1,N126)</f>
        <v>15692</v>
      </c>
      <c r="Q126" s="20">
        <f>SUMIF($B:$B,B126,$P:$P)</f>
        <v>10000000</v>
      </c>
      <c r="R126">
        <f t="shared" si="7"/>
        <v>235.36795857523944</v>
      </c>
    </row>
    <row r="127" spans="1:18" ht="23.25" x14ac:dyDescent="0.2">
      <c r="A127" s="15" ph="1">
        <v>21300176</v>
      </c>
      <c r="B127" s="17" t="s">
        <v>1612</v>
      </c>
      <c r="C127" s="15" t="s" ph="1">
        <v>1774</v>
      </c>
      <c r="D127" s="15">
        <v>20000</v>
      </c>
      <c r="E127" s="15" ph="1">
        <v>300</v>
      </c>
      <c r="F127" s="15" t="s" ph="1">
        <v>1671</v>
      </c>
      <c r="G127" s="15" t="str">
        <f t="shared" si="8"/>
        <v>프란시스쿠 드알메이다 계약서</v>
      </c>
      <c r="H127" s="15">
        <v>5</v>
      </c>
      <c r="I127" s="15">
        <v>10</v>
      </c>
      <c r="J127" s="15">
        <f t="shared" si="9"/>
        <v>15692</v>
      </c>
      <c r="K127" s="15">
        <f t="shared" si="5"/>
        <v>150000</v>
      </c>
      <c r="L127">
        <f>SUMIF($B:$B,B127,$K:$K)/K127</f>
        <v>1660</v>
      </c>
      <c r="M127">
        <f>L127/SUMIF($B:$B,B127,$L:$L)</f>
        <v>1.5691197238349296E-3</v>
      </c>
      <c r="N127">
        <f t="shared" si="6"/>
        <v>15691</v>
      </c>
      <c r="O127">
        <f>10000000-SUMIF($B:$B,B127,$N:$N)</f>
        <v>149</v>
      </c>
      <c r="P127" s="19">
        <f>IF(COUNTIF($B$9:B127,B127)&lt;=O127,N127+1,N127)</f>
        <v>15692</v>
      </c>
      <c r="Q127" s="20">
        <f>SUMIF($B:$B,B127,$P:$P)</f>
        <v>10000000</v>
      </c>
      <c r="R127">
        <f t="shared" si="7"/>
        <v>235.36795857523944</v>
      </c>
    </row>
    <row r="128" spans="1:18" ht="23.25" x14ac:dyDescent="0.2">
      <c r="A128" s="15" ph="1">
        <v>21300149</v>
      </c>
      <c r="B128" s="17" t="s">
        <v>1612</v>
      </c>
      <c r="C128" s="15" t="s" ph="1">
        <v>1775</v>
      </c>
      <c r="D128" s="15">
        <v>20000</v>
      </c>
      <c r="E128" s="15" ph="1">
        <v>300</v>
      </c>
      <c r="F128" s="15" t="s" ph="1">
        <v>1671</v>
      </c>
      <c r="G128" s="15" t="str">
        <f t="shared" si="8"/>
        <v>페르낭 멘드스 핀투 계약서</v>
      </c>
      <c r="H128" s="15">
        <v>5</v>
      </c>
      <c r="I128" s="15">
        <v>10</v>
      </c>
      <c r="J128" s="15">
        <f t="shared" si="9"/>
        <v>15692</v>
      </c>
      <c r="K128" s="15">
        <f t="shared" si="5"/>
        <v>150000</v>
      </c>
      <c r="L128">
        <f>SUMIF($B:$B,B128,$K:$K)/K128</f>
        <v>1660</v>
      </c>
      <c r="M128">
        <f>L128/SUMIF($B:$B,B128,$L:$L)</f>
        <v>1.5691197238349296E-3</v>
      </c>
      <c r="N128">
        <f t="shared" si="6"/>
        <v>15691</v>
      </c>
      <c r="O128">
        <f>10000000-SUMIF($B:$B,B128,$N:$N)</f>
        <v>149</v>
      </c>
      <c r="P128" s="19">
        <f>IF(COUNTIF($B$9:B128,B128)&lt;=O128,N128+1,N128)</f>
        <v>15692</v>
      </c>
      <c r="Q128" s="20">
        <f>SUMIF($B:$B,B128,$P:$P)</f>
        <v>10000000</v>
      </c>
      <c r="R128">
        <f t="shared" si="7"/>
        <v>235.36795857523944</v>
      </c>
    </row>
    <row r="129" spans="1:18" ht="23.25" x14ac:dyDescent="0.2">
      <c r="A129" s="15" ph="1">
        <v>21300120</v>
      </c>
      <c r="B129" s="17" t="s">
        <v>1612</v>
      </c>
      <c r="C129" s="15" t="s" ph="1">
        <v>1776</v>
      </c>
      <c r="D129" s="15">
        <v>20000</v>
      </c>
      <c r="E129" s="15" ph="1">
        <v>300</v>
      </c>
      <c r="F129" s="15" t="s" ph="1">
        <v>1671</v>
      </c>
      <c r="G129" s="15" t="str">
        <f t="shared" si="8"/>
        <v>뭄타즈 마할 계약서</v>
      </c>
      <c r="H129" s="15">
        <v>5</v>
      </c>
      <c r="I129" s="15">
        <v>10</v>
      </c>
      <c r="J129" s="15">
        <f t="shared" si="9"/>
        <v>15692</v>
      </c>
      <c r="K129" s="15">
        <f t="shared" si="5"/>
        <v>150000</v>
      </c>
      <c r="L129">
        <f>SUMIF($B:$B,B129,$K:$K)/K129</f>
        <v>1660</v>
      </c>
      <c r="M129">
        <f>L129/SUMIF($B:$B,B129,$L:$L)</f>
        <v>1.5691197238349296E-3</v>
      </c>
      <c r="N129">
        <f t="shared" si="6"/>
        <v>15691</v>
      </c>
      <c r="O129">
        <f>10000000-SUMIF($B:$B,B129,$N:$N)</f>
        <v>149</v>
      </c>
      <c r="P129" s="19">
        <f>IF(COUNTIF($B$9:B129,B129)&lt;=O129,N129+1,N129)</f>
        <v>15692</v>
      </c>
      <c r="Q129" s="20">
        <f>SUMIF($B:$B,B129,$P:$P)</f>
        <v>10000000</v>
      </c>
      <c r="R129">
        <f t="shared" si="7"/>
        <v>235.36795857523944</v>
      </c>
    </row>
    <row r="130" spans="1:18" ht="23.25" x14ac:dyDescent="0.2">
      <c r="A130" s="15" ph="1">
        <v>21300212</v>
      </c>
      <c r="B130" s="17" t="s">
        <v>1612</v>
      </c>
      <c r="C130" s="15" t="s" ph="1">
        <v>1777</v>
      </c>
      <c r="D130" s="15">
        <v>20000</v>
      </c>
      <c r="E130" s="15" ph="1">
        <v>300</v>
      </c>
      <c r="F130" s="15" t="s" ph="1">
        <v>1671</v>
      </c>
      <c r="G130" s="15" t="str">
        <f t="shared" si="8"/>
        <v>페루 다코빌량 계약서</v>
      </c>
      <c r="H130" s="15">
        <v>5</v>
      </c>
      <c r="I130" s="15">
        <v>10</v>
      </c>
      <c r="J130" s="15">
        <f t="shared" si="9"/>
        <v>15692</v>
      </c>
      <c r="K130" s="15">
        <f t="shared" si="5"/>
        <v>150000</v>
      </c>
      <c r="L130">
        <f>SUMIF($B:$B,B130,$K:$K)/K130</f>
        <v>1660</v>
      </c>
      <c r="M130">
        <f>L130/SUMIF($B:$B,B130,$L:$L)</f>
        <v>1.5691197238349296E-3</v>
      </c>
      <c r="N130">
        <f t="shared" si="6"/>
        <v>15691</v>
      </c>
      <c r="O130">
        <f>10000000-SUMIF($B:$B,B130,$N:$N)</f>
        <v>149</v>
      </c>
      <c r="P130" s="19">
        <f>IF(COUNTIF($B$9:B130,B130)&lt;=O130,N130+1,N130)</f>
        <v>15692</v>
      </c>
      <c r="Q130" s="20">
        <f>SUMIF($B:$B,B130,$P:$P)</f>
        <v>10000000</v>
      </c>
      <c r="R130">
        <f t="shared" si="7"/>
        <v>235.36795857523944</v>
      </c>
    </row>
    <row r="131" spans="1:18" ht="23.25" x14ac:dyDescent="0.2">
      <c r="A131" s="15" ph="1">
        <v>21300266</v>
      </c>
      <c r="B131" s="17" t="s">
        <v>1612</v>
      </c>
      <c r="C131" s="15" t="s" ph="1">
        <v>1778</v>
      </c>
      <c r="D131" s="15">
        <v>20000</v>
      </c>
      <c r="E131" s="15" ph="1">
        <v>300</v>
      </c>
      <c r="F131" s="15" t="s" ph="1">
        <v>1671</v>
      </c>
      <c r="G131" s="15" t="str">
        <f t="shared" si="8"/>
        <v>주앙 곤살베스 자르쿠 계약서</v>
      </c>
      <c r="H131" s="15">
        <v>5</v>
      </c>
      <c r="I131" s="15">
        <v>10</v>
      </c>
      <c r="J131" s="15">
        <f t="shared" si="9"/>
        <v>15692</v>
      </c>
      <c r="K131" s="15">
        <f t="shared" si="5"/>
        <v>150000</v>
      </c>
      <c r="L131">
        <f>SUMIF($B:$B,B131,$K:$K)/K131</f>
        <v>1660</v>
      </c>
      <c r="M131">
        <f>L131/SUMIF($B:$B,B131,$L:$L)</f>
        <v>1.5691197238349296E-3</v>
      </c>
      <c r="N131">
        <f t="shared" si="6"/>
        <v>15691</v>
      </c>
      <c r="O131">
        <f>10000000-SUMIF($B:$B,B131,$N:$N)</f>
        <v>149</v>
      </c>
      <c r="P131" s="19">
        <f>IF(COUNTIF($B$9:B131,B131)&lt;=O131,N131+1,N131)</f>
        <v>15692</v>
      </c>
      <c r="Q131" s="20">
        <f>SUMIF($B:$B,B131,$P:$P)</f>
        <v>10000000</v>
      </c>
      <c r="R131">
        <f t="shared" si="7"/>
        <v>235.36795857523944</v>
      </c>
    </row>
    <row r="132" spans="1:18" ht="23.25" x14ac:dyDescent="0.2">
      <c r="A132" s="15" ph="1">
        <v>21300241</v>
      </c>
      <c r="B132" s="17" t="s">
        <v>1612</v>
      </c>
      <c r="C132" s="15" t="s" ph="1">
        <v>1779</v>
      </c>
      <c r="D132" s="15">
        <v>20000</v>
      </c>
      <c r="E132" s="15" ph="1">
        <v>300</v>
      </c>
      <c r="F132" s="15" t="s" ph="1">
        <v>1671</v>
      </c>
      <c r="G132" s="15" t="str">
        <f t="shared" si="8"/>
        <v>장 프랑수아 드갈로 계약서</v>
      </c>
      <c r="H132" s="15">
        <v>5</v>
      </c>
      <c r="I132" s="15">
        <v>10</v>
      </c>
      <c r="J132" s="15">
        <f t="shared" si="9"/>
        <v>15692</v>
      </c>
      <c r="K132" s="15">
        <f t="shared" si="5"/>
        <v>150000</v>
      </c>
      <c r="L132">
        <f>SUMIF($B:$B,B132,$K:$K)/K132</f>
        <v>1660</v>
      </c>
      <c r="M132">
        <f>L132/SUMIF($B:$B,B132,$L:$L)</f>
        <v>1.5691197238349296E-3</v>
      </c>
      <c r="N132">
        <f t="shared" si="6"/>
        <v>15691</v>
      </c>
      <c r="O132">
        <f>10000000-SUMIF($B:$B,B132,$N:$N)</f>
        <v>149</v>
      </c>
      <c r="P132" s="19">
        <f>IF(COUNTIF($B$9:B132,B132)&lt;=O132,N132+1,N132)</f>
        <v>15692</v>
      </c>
      <c r="Q132" s="20">
        <f>SUMIF($B:$B,B132,$P:$P)</f>
        <v>10000000</v>
      </c>
      <c r="R132">
        <f t="shared" si="7"/>
        <v>235.36795857523944</v>
      </c>
    </row>
    <row r="133" spans="1:18" ht="23.25" x14ac:dyDescent="0.2">
      <c r="A133" s="15" ph="1">
        <v>21300239</v>
      </c>
      <c r="B133" s="17" t="s">
        <v>1612</v>
      </c>
      <c r="C133" s="15" t="s" ph="1">
        <v>1780</v>
      </c>
      <c r="D133" s="15">
        <v>20000</v>
      </c>
      <c r="E133" s="15" ph="1">
        <v>300</v>
      </c>
      <c r="F133" s="15" t="s" ph="1">
        <v>1671</v>
      </c>
      <c r="G133" s="15" t="str">
        <f t="shared" si="8"/>
        <v>알렉산더 해밀턴 계약서</v>
      </c>
      <c r="H133" s="15">
        <v>5</v>
      </c>
      <c r="I133" s="15">
        <v>10</v>
      </c>
      <c r="J133" s="15">
        <f t="shared" si="9"/>
        <v>15692</v>
      </c>
      <c r="K133" s="15">
        <f t="shared" si="5"/>
        <v>150000</v>
      </c>
      <c r="L133">
        <f>SUMIF($B:$B,B133,$K:$K)/K133</f>
        <v>1660</v>
      </c>
      <c r="M133">
        <f>L133/SUMIF($B:$B,B133,$L:$L)</f>
        <v>1.5691197238349296E-3</v>
      </c>
      <c r="N133">
        <f t="shared" si="6"/>
        <v>15691</v>
      </c>
      <c r="O133">
        <f>10000000-SUMIF($B:$B,B133,$N:$N)</f>
        <v>149</v>
      </c>
      <c r="P133" s="19">
        <f>IF(COUNTIF($B$9:B133,B133)&lt;=O133,N133+1,N133)</f>
        <v>15692</v>
      </c>
      <c r="Q133" s="20">
        <f>SUMIF($B:$B,B133,$P:$P)</f>
        <v>10000000</v>
      </c>
      <c r="R133">
        <f t="shared" si="7"/>
        <v>235.36795857523944</v>
      </c>
    </row>
    <row r="134" spans="1:18" ht="23.25" x14ac:dyDescent="0.2">
      <c r="A134" s="15" ph="1">
        <v>21300218</v>
      </c>
      <c r="B134" s="17" t="s">
        <v>1612</v>
      </c>
      <c r="C134" s="15" t="s" ph="1">
        <v>1781</v>
      </c>
      <c r="D134" s="15">
        <v>20000</v>
      </c>
      <c r="E134" s="15" ph="1">
        <v>300</v>
      </c>
      <c r="F134" s="15" t="s" ph="1">
        <v>1671</v>
      </c>
      <c r="G134" s="15" t="str">
        <f t="shared" si="8"/>
        <v>조르즈 드메네즈스 계약서</v>
      </c>
      <c r="H134" s="15">
        <v>5</v>
      </c>
      <c r="I134" s="15">
        <v>10</v>
      </c>
      <c r="J134" s="15">
        <f t="shared" si="9"/>
        <v>15692</v>
      </c>
      <c r="K134" s="15">
        <f t="shared" si="5"/>
        <v>150000</v>
      </c>
      <c r="L134">
        <f>SUMIF($B:$B,B134,$K:$K)/K134</f>
        <v>1660</v>
      </c>
      <c r="M134">
        <f>L134/SUMIF($B:$B,B134,$L:$L)</f>
        <v>1.5691197238349296E-3</v>
      </c>
      <c r="N134">
        <f t="shared" si="6"/>
        <v>15691</v>
      </c>
      <c r="O134">
        <f>10000000-SUMIF($B:$B,B134,$N:$N)</f>
        <v>149</v>
      </c>
      <c r="P134" s="19">
        <f>IF(COUNTIF($B$9:B134,B134)&lt;=O134,N134+1,N134)</f>
        <v>15692</v>
      </c>
      <c r="Q134" s="20">
        <f>SUMIF($B:$B,B134,$P:$P)</f>
        <v>10000000</v>
      </c>
      <c r="R134">
        <f t="shared" si="7"/>
        <v>235.36795857523944</v>
      </c>
    </row>
    <row r="135" spans="1:18" ht="23.25" x14ac:dyDescent="0.2">
      <c r="A135" s="15" ph="1">
        <v>21300262</v>
      </c>
      <c r="B135" s="17" t="s">
        <v>1612</v>
      </c>
      <c r="C135" s="15" t="s" ph="1">
        <v>1782</v>
      </c>
      <c r="D135" s="15">
        <v>20000</v>
      </c>
      <c r="E135" s="15" ph="1">
        <v>300</v>
      </c>
      <c r="F135" s="15" t="s" ph="1">
        <v>1671</v>
      </c>
      <c r="G135" s="15" t="str">
        <f t="shared" si="8"/>
        <v>두아르트 드메네즈스 계약서</v>
      </c>
      <c r="H135" s="15">
        <v>5</v>
      </c>
      <c r="I135" s="15">
        <v>10</v>
      </c>
      <c r="J135" s="15">
        <f t="shared" si="9"/>
        <v>15692</v>
      </c>
      <c r="K135" s="15">
        <f t="shared" si="5"/>
        <v>150000</v>
      </c>
      <c r="L135">
        <f>SUMIF($B:$B,B135,$K:$K)/K135</f>
        <v>1660</v>
      </c>
      <c r="M135">
        <f>L135/SUMIF($B:$B,B135,$L:$L)</f>
        <v>1.5691197238349296E-3</v>
      </c>
      <c r="N135">
        <f t="shared" si="6"/>
        <v>15691</v>
      </c>
      <c r="O135">
        <f>10000000-SUMIF($B:$B,B135,$N:$N)</f>
        <v>149</v>
      </c>
      <c r="P135" s="19">
        <f>IF(COUNTIF($B$9:B135,B135)&lt;=O135,N135+1,N135)</f>
        <v>15692</v>
      </c>
      <c r="Q135" s="20">
        <f>SUMIF($B:$B,B135,$P:$P)</f>
        <v>10000000</v>
      </c>
      <c r="R135">
        <f t="shared" si="7"/>
        <v>235.36795857523944</v>
      </c>
    </row>
    <row r="136" spans="1:18" ht="23.25" x14ac:dyDescent="0.2">
      <c r="A136" s="15" ph="1">
        <v>21300250</v>
      </c>
      <c r="B136" s="17" t="s">
        <v>1612</v>
      </c>
      <c r="C136" s="15" t="s" ph="1">
        <v>1783</v>
      </c>
      <c r="D136" s="15">
        <v>20000</v>
      </c>
      <c r="E136" s="15" ph="1">
        <v>300</v>
      </c>
      <c r="F136" s="15" t="s" ph="1">
        <v>1671</v>
      </c>
      <c r="G136" s="15" t="str">
        <f t="shared" si="8"/>
        <v>마테오 리치 계약서</v>
      </c>
      <c r="H136" s="15">
        <v>5</v>
      </c>
      <c r="I136" s="15">
        <v>10</v>
      </c>
      <c r="J136" s="15">
        <f t="shared" si="9"/>
        <v>15692</v>
      </c>
      <c r="K136" s="15">
        <f t="shared" si="5"/>
        <v>150000</v>
      </c>
      <c r="L136">
        <f>SUMIF($B:$B,B136,$K:$K)/K136</f>
        <v>1660</v>
      </c>
      <c r="M136">
        <f>L136/SUMIF($B:$B,B136,$L:$L)</f>
        <v>1.5691197238349296E-3</v>
      </c>
      <c r="N136">
        <f t="shared" si="6"/>
        <v>15691</v>
      </c>
      <c r="O136">
        <f>10000000-SUMIF($B:$B,B136,$N:$N)</f>
        <v>149</v>
      </c>
      <c r="P136" s="19">
        <f>IF(COUNTIF($B$9:B136,B136)&lt;=O136,N136+1,N136)</f>
        <v>15692</v>
      </c>
      <c r="Q136" s="20">
        <f>SUMIF($B:$B,B136,$P:$P)</f>
        <v>10000000</v>
      </c>
      <c r="R136">
        <f t="shared" si="7"/>
        <v>235.36795857523944</v>
      </c>
    </row>
    <row r="137" spans="1:18" ht="23.25" x14ac:dyDescent="0.2">
      <c r="A137" s="15" ph="1">
        <v>21300122</v>
      </c>
      <c r="B137" s="17" t="s">
        <v>1612</v>
      </c>
      <c r="C137" s="15" t="s" ph="1">
        <v>1784</v>
      </c>
      <c r="D137" s="15">
        <v>20000</v>
      </c>
      <c r="E137" s="15" ph="1">
        <v>300</v>
      </c>
      <c r="F137" s="15" t="s" ph="1">
        <v>1671</v>
      </c>
      <c r="G137" s="15" t="str">
        <f t="shared" si="8"/>
        <v>크리스티나 알렉산드라 계약서</v>
      </c>
      <c r="H137" s="15">
        <v>5</v>
      </c>
      <c r="I137" s="15">
        <v>10</v>
      </c>
      <c r="J137" s="15">
        <f t="shared" si="9"/>
        <v>15692</v>
      </c>
      <c r="K137" s="15">
        <f t="shared" si="5"/>
        <v>150000</v>
      </c>
      <c r="L137">
        <f>SUMIF($B:$B,B137,$K:$K)/K137</f>
        <v>1660</v>
      </c>
      <c r="M137">
        <f>L137/SUMIF($B:$B,B137,$L:$L)</f>
        <v>1.5691197238349296E-3</v>
      </c>
      <c r="N137">
        <f t="shared" si="6"/>
        <v>15691</v>
      </c>
      <c r="O137">
        <f>10000000-SUMIF($B:$B,B137,$N:$N)</f>
        <v>149</v>
      </c>
      <c r="P137" s="19">
        <f>IF(COUNTIF($B$9:B137,B137)&lt;=O137,N137+1,N137)</f>
        <v>15692</v>
      </c>
      <c r="Q137" s="20">
        <f>SUMIF($B:$B,B137,$P:$P)</f>
        <v>10000000</v>
      </c>
      <c r="R137">
        <f t="shared" si="7"/>
        <v>235.36795857523944</v>
      </c>
    </row>
    <row r="138" spans="1:18" ht="23.25" x14ac:dyDescent="0.2">
      <c r="A138" s="15" ph="1">
        <v>21300238</v>
      </c>
      <c r="B138" s="17" t="s">
        <v>1612</v>
      </c>
      <c r="C138" s="15" t="s" ph="1">
        <v>1785</v>
      </c>
      <c r="D138" s="15">
        <v>20000</v>
      </c>
      <c r="E138" s="15" ph="1">
        <v>300</v>
      </c>
      <c r="F138" s="15" t="s" ph="1">
        <v>1671</v>
      </c>
      <c r="G138" s="15" t="str">
        <f t="shared" si="8"/>
        <v>악셀 욱센헤나 계약서</v>
      </c>
      <c r="H138" s="15">
        <v>5</v>
      </c>
      <c r="I138" s="15">
        <v>10</v>
      </c>
      <c r="J138" s="15">
        <f t="shared" si="9"/>
        <v>15692</v>
      </c>
      <c r="K138" s="15">
        <f t="shared" ref="K138:K201" si="10">AVERAGE(H138:I138)*D138</f>
        <v>150000</v>
      </c>
      <c r="L138">
        <f>SUMIF($B:$B,B138,$K:$K)/K138</f>
        <v>1660</v>
      </c>
      <c r="M138">
        <f>L138/SUMIF($B:$B,B138,$L:$L)</f>
        <v>1.5691197238349296E-3</v>
      </c>
      <c r="N138">
        <f t="shared" ref="N138:N201" si="11">ROUNDDOWN(10000000*M138,0)</f>
        <v>15691</v>
      </c>
      <c r="O138">
        <f>10000000-SUMIF($B:$B,B138,$N:$N)</f>
        <v>149</v>
      </c>
      <c r="P138" s="19">
        <f>IF(COUNTIF($B$9:B138,B138)&lt;=O138,N138+1,N138)</f>
        <v>15692</v>
      </c>
      <c r="Q138" s="20">
        <f>SUMIF($B:$B,B138,$P:$P)</f>
        <v>10000000</v>
      </c>
      <c r="R138">
        <f t="shared" ref="R138:R201" si="12">M138*K138</f>
        <v>235.36795857523944</v>
      </c>
    </row>
    <row r="139" spans="1:18" ht="23.25" x14ac:dyDescent="0.2">
      <c r="A139" s="15" ph="1">
        <v>21300116</v>
      </c>
      <c r="B139" s="17" t="s">
        <v>1612</v>
      </c>
      <c r="C139" s="15" t="s" ph="1">
        <v>1786</v>
      </c>
      <c r="D139" s="15">
        <v>20000</v>
      </c>
      <c r="E139" s="15" ph="1">
        <v>300</v>
      </c>
      <c r="F139" s="15" t="s" ph="1">
        <v>1671</v>
      </c>
      <c r="G139" s="15" t="str">
        <f t="shared" ref="G139:G202" si="13">C139&amp;" 계약서"</f>
        <v>타즐루 하눔 계약서</v>
      </c>
      <c r="H139" s="15">
        <v>5</v>
      </c>
      <c r="I139" s="15">
        <v>10</v>
      </c>
      <c r="J139" s="15">
        <f t="shared" ref="J139:J202" si="14">P139</f>
        <v>15692</v>
      </c>
      <c r="K139" s="15">
        <f t="shared" si="10"/>
        <v>150000</v>
      </c>
      <c r="L139">
        <f>SUMIF($B:$B,B139,$K:$K)/K139</f>
        <v>1660</v>
      </c>
      <c r="M139">
        <f>L139/SUMIF($B:$B,B139,$L:$L)</f>
        <v>1.5691197238349296E-3</v>
      </c>
      <c r="N139">
        <f t="shared" si="11"/>
        <v>15691</v>
      </c>
      <c r="O139">
        <f>10000000-SUMIF($B:$B,B139,$N:$N)</f>
        <v>149</v>
      </c>
      <c r="P139" s="19">
        <f>IF(COUNTIF($B$9:B139,B139)&lt;=O139,N139+1,N139)</f>
        <v>15692</v>
      </c>
      <c r="Q139" s="20">
        <f>SUMIF($B:$B,B139,$P:$P)</f>
        <v>10000000</v>
      </c>
      <c r="R139">
        <f t="shared" si="12"/>
        <v>235.36795857523944</v>
      </c>
    </row>
    <row r="140" spans="1:18" ht="23.25" x14ac:dyDescent="0.2">
      <c r="A140" s="15" ph="1">
        <v>21300125</v>
      </c>
      <c r="B140" s="17" t="s">
        <v>1612</v>
      </c>
      <c r="C140" s="15" t="s" ph="1">
        <v>1787</v>
      </c>
      <c r="D140" s="15">
        <v>20000</v>
      </c>
      <c r="E140" s="15" ph="1">
        <v>300</v>
      </c>
      <c r="F140" s="15" t="s" ph="1">
        <v>1671</v>
      </c>
      <c r="G140" s="15" t="str">
        <f t="shared" si="13"/>
        <v>심운영 계약서</v>
      </c>
      <c r="H140" s="15">
        <v>5</v>
      </c>
      <c r="I140" s="15">
        <v>10</v>
      </c>
      <c r="J140" s="15">
        <f t="shared" si="14"/>
        <v>15692</v>
      </c>
      <c r="K140" s="15">
        <f t="shared" si="10"/>
        <v>150000</v>
      </c>
      <c r="L140">
        <f>SUMIF($B:$B,B140,$K:$K)/K140</f>
        <v>1660</v>
      </c>
      <c r="M140">
        <f>L140/SUMIF($B:$B,B140,$L:$L)</f>
        <v>1.5691197238349296E-3</v>
      </c>
      <c r="N140">
        <f t="shared" si="11"/>
        <v>15691</v>
      </c>
      <c r="O140">
        <f>10000000-SUMIF($B:$B,B140,$N:$N)</f>
        <v>149</v>
      </c>
      <c r="P140" s="19">
        <f>IF(COUNTIF($B$9:B140,B140)&lt;=O140,N140+1,N140)</f>
        <v>15692</v>
      </c>
      <c r="Q140" s="20">
        <f>SUMIF($B:$B,B140,$P:$P)</f>
        <v>10000000</v>
      </c>
      <c r="R140">
        <f t="shared" si="12"/>
        <v>235.36795857523944</v>
      </c>
    </row>
    <row r="141" spans="1:18" ht="23.25" x14ac:dyDescent="0.2">
      <c r="A141" s="15" ph="1">
        <v>21300206</v>
      </c>
      <c r="B141" s="17" t="s">
        <v>1612</v>
      </c>
      <c r="C141" s="15" t="s" ph="1">
        <v>1788</v>
      </c>
      <c r="D141" s="15">
        <v>20000</v>
      </c>
      <c r="E141" s="15" ph="1">
        <v>300</v>
      </c>
      <c r="F141" s="15" t="s" ph="1">
        <v>1671</v>
      </c>
      <c r="G141" s="15" t="str">
        <f t="shared" si="13"/>
        <v>가스파르 코르트 헤알 계약서</v>
      </c>
      <c r="H141" s="15">
        <v>5</v>
      </c>
      <c r="I141" s="15">
        <v>10</v>
      </c>
      <c r="J141" s="15">
        <f t="shared" si="14"/>
        <v>15692</v>
      </c>
      <c r="K141" s="15">
        <f t="shared" si="10"/>
        <v>150000</v>
      </c>
      <c r="L141">
        <f>SUMIF($B:$B,B141,$K:$K)/K141</f>
        <v>1660</v>
      </c>
      <c r="M141">
        <f>L141/SUMIF($B:$B,B141,$L:$L)</f>
        <v>1.5691197238349296E-3</v>
      </c>
      <c r="N141">
        <f t="shared" si="11"/>
        <v>15691</v>
      </c>
      <c r="O141">
        <f>10000000-SUMIF($B:$B,B141,$N:$N)</f>
        <v>149</v>
      </c>
      <c r="P141" s="19">
        <f>IF(COUNTIF($B$9:B141,B141)&lt;=O141,N141+1,N141)</f>
        <v>15692</v>
      </c>
      <c r="Q141" s="20">
        <f>SUMIF($B:$B,B141,$P:$P)</f>
        <v>10000000</v>
      </c>
      <c r="R141">
        <f t="shared" si="12"/>
        <v>235.36795857523944</v>
      </c>
    </row>
    <row r="142" spans="1:18" ht="23.25" x14ac:dyDescent="0.2">
      <c r="A142" s="15" ph="1">
        <v>21300161</v>
      </c>
      <c r="B142" s="17" t="s">
        <v>1612</v>
      </c>
      <c r="C142" s="15" t="s" ph="1">
        <v>1789</v>
      </c>
      <c r="D142" s="15">
        <v>20000</v>
      </c>
      <c r="E142" s="15" ph="1">
        <v>300</v>
      </c>
      <c r="F142" s="15" t="s" ph="1">
        <v>1671</v>
      </c>
      <c r="G142" s="15" t="str">
        <f t="shared" si="13"/>
        <v>미겔 코르트 헤알 계약서</v>
      </c>
      <c r="H142" s="15">
        <v>5</v>
      </c>
      <c r="I142" s="15">
        <v>10</v>
      </c>
      <c r="J142" s="15">
        <f t="shared" si="14"/>
        <v>15692</v>
      </c>
      <c r="K142" s="15">
        <f t="shared" si="10"/>
        <v>150000</v>
      </c>
      <c r="L142">
        <f>SUMIF($B:$B,B142,$K:$K)/K142</f>
        <v>1660</v>
      </c>
      <c r="M142">
        <f>L142/SUMIF($B:$B,B142,$L:$L)</f>
        <v>1.5691197238349296E-3</v>
      </c>
      <c r="N142">
        <f t="shared" si="11"/>
        <v>15691</v>
      </c>
      <c r="O142">
        <f>10000000-SUMIF($B:$B,B142,$N:$N)</f>
        <v>149</v>
      </c>
      <c r="P142" s="19">
        <f>IF(COUNTIF($B$9:B142,B142)&lt;=O142,N142+1,N142)</f>
        <v>15692</v>
      </c>
      <c r="Q142" s="20">
        <f>SUMIF($B:$B,B142,$P:$P)</f>
        <v>10000000</v>
      </c>
      <c r="R142">
        <f t="shared" si="12"/>
        <v>235.36795857523944</v>
      </c>
    </row>
    <row r="143" spans="1:18" ht="23.25" x14ac:dyDescent="0.2">
      <c r="A143" s="15" ph="1">
        <v>21300202</v>
      </c>
      <c r="B143" s="17" t="s">
        <v>1612</v>
      </c>
      <c r="C143" s="15" t="s" ph="1">
        <v>1790</v>
      </c>
      <c r="D143" s="15">
        <v>20000</v>
      </c>
      <c r="E143" s="15" ph="1">
        <v>300</v>
      </c>
      <c r="F143" s="15" t="s" ph="1">
        <v>1671</v>
      </c>
      <c r="G143" s="15" t="str">
        <f t="shared" si="13"/>
        <v>니콜라스 데오반도 계약서</v>
      </c>
      <c r="H143" s="15">
        <v>5</v>
      </c>
      <c r="I143" s="15">
        <v>10</v>
      </c>
      <c r="J143" s="15">
        <f t="shared" si="14"/>
        <v>15692</v>
      </c>
      <c r="K143" s="15">
        <f t="shared" si="10"/>
        <v>150000</v>
      </c>
      <c r="L143">
        <f>SUMIF($B:$B,B143,$K:$K)/K143</f>
        <v>1660</v>
      </c>
      <c r="M143">
        <f>L143/SUMIF($B:$B,B143,$L:$L)</f>
        <v>1.5691197238349296E-3</v>
      </c>
      <c r="N143">
        <f t="shared" si="11"/>
        <v>15691</v>
      </c>
      <c r="O143">
        <f>10000000-SUMIF($B:$B,B143,$N:$N)</f>
        <v>149</v>
      </c>
      <c r="P143" s="19">
        <f>IF(COUNTIF($B$9:B143,B143)&lt;=O143,N143+1,N143)</f>
        <v>15692</v>
      </c>
      <c r="Q143" s="20">
        <f>SUMIF($B:$B,B143,$P:$P)</f>
        <v>10000000</v>
      </c>
      <c r="R143">
        <f t="shared" si="12"/>
        <v>235.36795857523944</v>
      </c>
    </row>
    <row r="144" spans="1:18" ht="23.25" x14ac:dyDescent="0.2">
      <c r="A144" s="15" ph="1">
        <v>21300185</v>
      </c>
      <c r="B144" s="17" t="s">
        <v>1612</v>
      </c>
      <c r="C144" s="15" t="s" ph="1">
        <v>1791</v>
      </c>
      <c r="D144" s="15">
        <v>20000</v>
      </c>
      <c r="E144" s="15" ph="1">
        <v>300</v>
      </c>
      <c r="F144" s="15" t="s" ph="1">
        <v>1671</v>
      </c>
      <c r="G144" s="15" t="str">
        <f t="shared" si="13"/>
        <v>알바로 데멘다냐 계약서</v>
      </c>
      <c r="H144" s="15">
        <v>5</v>
      </c>
      <c r="I144" s="15">
        <v>10</v>
      </c>
      <c r="J144" s="15">
        <f t="shared" si="14"/>
        <v>15692</v>
      </c>
      <c r="K144" s="15">
        <f t="shared" si="10"/>
        <v>150000</v>
      </c>
      <c r="L144">
        <f>SUMIF($B:$B,B144,$K:$K)/K144</f>
        <v>1660</v>
      </c>
      <c r="M144">
        <f>L144/SUMIF($B:$B,B144,$L:$L)</f>
        <v>1.5691197238349296E-3</v>
      </c>
      <c r="N144">
        <f t="shared" si="11"/>
        <v>15691</v>
      </c>
      <c r="O144">
        <f>10000000-SUMIF($B:$B,B144,$N:$N)</f>
        <v>149</v>
      </c>
      <c r="P144" s="19">
        <f>IF(COUNTIF($B$9:B144,B144)&lt;=O144,N144+1,N144)</f>
        <v>15692</v>
      </c>
      <c r="Q144" s="20">
        <f>SUMIF($B:$B,B144,$P:$P)</f>
        <v>10000000</v>
      </c>
      <c r="R144">
        <f t="shared" si="12"/>
        <v>235.36795857523944</v>
      </c>
    </row>
    <row r="145" spans="1:18" ht="23.25" x14ac:dyDescent="0.2">
      <c r="A145" s="15" ph="1">
        <v>21300186</v>
      </c>
      <c r="B145" s="17" t="s">
        <v>1612</v>
      </c>
      <c r="C145" s="15" t="s" ph="1">
        <v>1792</v>
      </c>
      <c r="D145" s="15">
        <v>20000</v>
      </c>
      <c r="E145" s="15" ph="1">
        <v>300</v>
      </c>
      <c r="F145" s="15" t="s" ph="1">
        <v>1671</v>
      </c>
      <c r="G145" s="15" t="str">
        <f t="shared" si="13"/>
        <v>루이스 바에스 데토레스 계약서</v>
      </c>
      <c r="H145" s="15">
        <v>5</v>
      </c>
      <c r="I145" s="15">
        <v>10</v>
      </c>
      <c r="J145" s="15">
        <f t="shared" si="14"/>
        <v>15692</v>
      </c>
      <c r="K145" s="15">
        <f t="shared" si="10"/>
        <v>150000</v>
      </c>
      <c r="L145">
        <f>SUMIF($B:$B,B145,$K:$K)/K145</f>
        <v>1660</v>
      </c>
      <c r="M145">
        <f>L145/SUMIF($B:$B,B145,$L:$L)</f>
        <v>1.5691197238349296E-3</v>
      </c>
      <c r="N145">
        <f t="shared" si="11"/>
        <v>15691</v>
      </c>
      <c r="O145">
        <f>10000000-SUMIF($B:$B,B145,$N:$N)</f>
        <v>149</v>
      </c>
      <c r="P145" s="19">
        <f>IF(COUNTIF($B$9:B145,B145)&lt;=O145,N145+1,N145)</f>
        <v>15692</v>
      </c>
      <c r="Q145" s="20">
        <f>SUMIF($B:$B,B145,$P:$P)</f>
        <v>10000000</v>
      </c>
      <c r="R145">
        <f t="shared" si="12"/>
        <v>235.36795857523944</v>
      </c>
    </row>
    <row r="146" spans="1:18" ht="23.25" x14ac:dyDescent="0.2">
      <c r="A146" s="15" ph="1">
        <v>21300127</v>
      </c>
      <c r="B146" s="17" t="s">
        <v>1612</v>
      </c>
      <c r="C146" s="15" t="s" ph="1">
        <v>1793</v>
      </c>
      <c r="D146" s="15">
        <v>20000</v>
      </c>
      <c r="E146" s="15" ph="1">
        <v>300</v>
      </c>
      <c r="F146" s="15" t="s" ph="1">
        <v>1671</v>
      </c>
      <c r="G146" s="15" t="str">
        <f t="shared" si="13"/>
        <v>레이첼 월 계약서</v>
      </c>
      <c r="H146" s="15">
        <v>5</v>
      </c>
      <c r="I146" s="15">
        <v>10</v>
      </c>
      <c r="J146" s="15">
        <f t="shared" si="14"/>
        <v>15692</v>
      </c>
      <c r="K146" s="15">
        <f t="shared" si="10"/>
        <v>150000</v>
      </c>
      <c r="L146">
        <f>SUMIF($B:$B,B146,$K:$K)/K146</f>
        <v>1660</v>
      </c>
      <c r="M146">
        <f>L146/SUMIF($B:$B,B146,$L:$L)</f>
        <v>1.5691197238349296E-3</v>
      </c>
      <c r="N146">
        <f t="shared" si="11"/>
        <v>15691</v>
      </c>
      <c r="O146">
        <f>10000000-SUMIF($B:$B,B146,$N:$N)</f>
        <v>149</v>
      </c>
      <c r="P146" s="19">
        <f>IF(COUNTIF($B$9:B146,B146)&lt;=O146,N146+1,N146)</f>
        <v>15692</v>
      </c>
      <c r="Q146" s="20">
        <f>SUMIF($B:$B,B146,$P:$P)</f>
        <v>10000000</v>
      </c>
      <c r="R146">
        <f t="shared" si="12"/>
        <v>235.36795857523944</v>
      </c>
    </row>
    <row r="147" spans="1:18" ht="23.25" x14ac:dyDescent="0.2">
      <c r="A147" s="15" ph="1">
        <v>21300126</v>
      </c>
      <c r="B147" s="17" t="s">
        <v>1612</v>
      </c>
      <c r="C147" s="15" t="s" ph="1">
        <v>1794</v>
      </c>
      <c r="D147" s="15">
        <v>20000</v>
      </c>
      <c r="E147" s="15" ph="1">
        <v>300</v>
      </c>
      <c r="F147" s="15" t="s" ph="1">
        <v>1671</v>
      </c>
      <c r="G147" s="15" t="str">
        <f t="shared" si="13"/>
        <v>마리 앤 계약서</v>
      </c>
      <c r="H147" s="15">
        <v>5</v>
      </c>
      <c r="I147" s="15">
        <v>10</v>
      </c>
      <c r="J147" s="15">
        <f t="shared" si="14"/>
        <v>15692</v>
      </c>
      <c r="K147" s="15">
        <f t="shared" si="10"/>
        <v>150000</v>
      </c>
      <c r="L147">
        <f>SUMIF($B:$B,B147,$K:$K)/K147</f>
        <v>1660</v>
      </c>
      <c r="M147">
        <f>L147/SUMIF($B:$B,B147,$L:$L)</f>
        <v>1.5691197238349296E-3</v>
      </c>
      <c r="N147">
        <f t="shared" si="11"/>
        <v>15691</v>
      </c>
      <c r="O147">
        <f>10000000-SUMIF($B:$B,B147,$N:$N)</f>
        <v>149</v>
      </c>
      <c r="P147" s="19">
        <f>IF(COUNTIF($B$9:B147,B147)&lt;=O147,N147+1,N147)</f>
        <v>15692</v>
      </c>
      <c r="Q147" s="20">
        <f>SUMIF($B:$B,B147,$P:$P)</f>
        <v>10000000</v>
      </c>
      <c r="R147">
        <f t="shared" si="12"/>
        <v>235.36795857523944</v>
      </c>
    </row>
    <row r="148" spans="1:18" ht="23.25" x14ac:dyDescent="0.2">
      <c r="A148" s="15" ph="1">
        <v>21300109</v>
      </c>
      <c r="B148" s="17" t="s">
        <v>1612</v>
      </c>
      <c r="C148" s="15" t="s" ph="1">
        <v>1795</v>
      </c>
      <c r="D148" s="15">
        <v>20000</v>
      </c>
      <c r="E148" s="15" ph="1">
        <v>300</v>
      </c>
      <c r="F148" s="15" t="s" ph="1">
        <v>1671</v>
      </c>
      <c r="G148" s="15" t="str">
        <f t="shared" si="13"/>
        <v>테쿠이치포츠 이시카쇼치친 계약서</v>
      </c>
      <c r="H148" s="15">
        <v>5</v>
      </c>
      <c r="I148" s="15">
        <v>10</v>
      </c>
      <c r="J148" s="15">
        <f t="shared" si="14"/>
        <v>15692</v>
      </c>
      <c r="K148" s="15">
        <f t="shared" si="10"/>
        <v>150000</v>
      </c>
      <c r="L148">
        <f>SUMIF($B:$B,B148,$K:$K)/K148</f>
        <v>1660</v>
      </c>
      <c r="M148">
        <f>L148/SUMIF($B:$B,B148,$L:$L)</f>
        <v>1.5691197238349296E-3</v>
      </c>
      <c r="N148">
        <f t="shared" si="11"/>
        <v>15691</v>
      </c>
      <c r="O148">
        <f>10000000-SUMIF($B:$B,B148,$N:$N)</f>
        <v>149</v>
      </c>
      <c r="P148" s="19">
        <f>IF(COUNTIF($B$9:B148,B148)&lt;=O148,N148+1,N148)</f>
        <v>15692</v>
      </c>
      <c r="Q148" s="20">
        <f>SUMIF($B:$B,B148,$P:$P)</f>
        <v>10000000</v>
      </c>
      <c r="R148">
        <f t="shared" si="12"/>
        <v>235.36795857523944</v>
      </c>
    </row>
    <row r="149" spans="1:18" ht="23.25" x14ac:dyDescent="0.2">
      <c r="A149" s="15" ph="1">
        <v>21300286</v>
      </c>
      <c r="B149" s="17" t="s">
        <v>1612</v>
      </c>
      <c r="C149" s="15" t="s" ph="1">
        <v>1796</v>
      </c>
      <c r="D149" s="15">
        <v>20000</v>
      </c>
      <c r="E149" s="15" ph="1">
        <v>300</v>
      </c>
      <c r="F149" s="15" t="s" ph="1">
        <v>1671</v>
      </c>
      <c r="G149" s="15" t="str">
        <f t="shared" si="13"/>
        <v>트실라카트신 계약서</v>
      </c>
      <c r="H149" s="15">
        <v>5</v>
      </c>
      <c r="I149" s="15">
        <v>10</v>
      </c>
      <c r="J149" s="15">
        <f t="shared" si="14"/>
        <v>15692</v>
      </c>
      <c r="K149" s="15">
        <f t="shared" si="10"/>
        <v>150000</v>
      </c>
      <c r="L149">
        <f>SUMIF($B:$B,B149,$K:$K)/K149</f>
        <v>1660</v>
      </c>
      <c r="M149">
        <f>L149/SUMIF($B:$B,B149,$L:$L)</f>
        <v>1.5691197238349296E-3</v>
      </c>
      <c r="N149">
        <f t="shared" si="11"/>
        <v>15691</v>
      </c>
      <c r="O149">
        <f>10000000-SUMIF($B:$B,B149,$N:$N)</f>
        <v>149</v>
      </c>
      <c r="P149" s="19">
        <f>IF(COUNTIF($B$9:B149,B149)&lt;=O149,N149+1,N149)</f>
        <v>15692</v>
      </c>
      <c r="Q149" s="20">
        <f>SUMIF($B:$B,B149,$P:$P)</f>
        <v>10000000</v>
      </c>
      <c r="R149">
        <f t="shared" si="12"/>
        <v>235.36795857523944</v>
      </c>
    </row>
    <row r="150" spans="1:18" ht="23.25" x14ac:dyDescent="0.2">
      <c r="A150" s="15" ph="1">
        <v>21300259</v>
      </c>
      <c r="B150" s="17" t="s">
        <v>1612</v>
      </c>
      <c r="C150" s="15" t="s" ph="1">
        <v>1797</v>
      </c>
      <c r="D150" s="15">
        <v>20000</v>
      </c>
      <c r="E150" s="15" ph="1">
        <v>300</v>
      </c>
      <c r="F150" s="15" t="s" ph="1">
        <v>1671</v>
      </c>
      <c r="G150" s="15" t="str">
        <f t="shared" si="13"/>
        <v>아메리고 베스푸치 계약서</v>
      </c>
      <c r="H150" s="15">
        <v>5</v>
      </c>
      <c r="I150" s="15">
        <v>10</v>
      </c>
      <c r="J150" s="15">
        <f t="shared" si="14"/>
        <v>15692</v>
      </c>
      <c r="K150" s="15">
        <f t="shared" si="10"/>
        <v>150000</v>
      </c>
      <c r="L150">
        <f>SUMIF($B:$B,B150,$K:$K)/K150</f>
        <v>1660</v>
      </c>
      <c r="M150">
        <f>L150/SUMIF($B:$B,B150,$L:$L)</f>
        <v>1.5691197238349296E-3</v>
      </c>
      <c r="N150">
        <f t="shared" si="11"/>
        <v>15691</v>
      </c>
      <c r="O150">
        <f>10000000-SUMIF($B:$B,B150,$N:$N)</f>
        <v>149</v>
      </c>
      <c r="P150" s="19">
        <f>IF(COUNTIF($B$9:B150,B150)&lt;=O150,N150+1,N150)</f>
        <v>15692</v>
      </c>
      <c r="Q150" s="20">
        <f>SUMIF($B:$B,B150,$P:$P)</f>
        <v>10000000</v>
      </c>
      <c r="R150">
        <f t="shared" si="12"/>
        <v>235.36795857523944</v>
      </c>
    </row>
    <row r="151" spans="1:18" ht="23.25" x14ac:dyDescent="0.2">
      <c r="A151" s="15" ph="1">
        <v>21300178</v>
      </c>
      <c r="B151" s="17" t="s">
        <v>1612</v>
      </c>
      <c r="C151" s="15" t="s" ph="1">
        <v>1798</v>
      </c>
      <c r="D151" s="15">
        <v>20000</v>
      </c>
      <c r="E151" s="15" ph="1">
        <v>300</v>
      </c>
      <c r="F151" s="15" t="s" ph="1">
        <v>1671</v>
      </c>
      <c r="G151" s="15" t="str">
        <f t="shared" si="13"/>
        <v>알론소 데오헤다 계약서</v>
      </c>
      <c r="H151" s="15">
        <v>5</v>
      </c>
      <c r="I151" s="15">
        <v>10</v>
      </c>
      <c r="J151" s="15">
        <f t="shared" si="14"/>
        <v>15692</v>
      </c>
      <c r="K151" s="15">
        <f t="shared" si="10"/>
        <v>150000</v>
      </c>
      <c r="L151">
        <f>SUMIF($B:$B,B151,$K:$K)/K151</f>
        <v>1660</v>
      </c>
      <c r="M151">
        <f>L151/SUMIF($B:$B,B151,$L:$L)</f>
        <v>1.5691197238349296E-3</v>
      </c>
      <c r="N151">
        <f t="shared" si="11"/>
        <v>15691</v>
      </c>
      <c r="O151">
        <f>10000000-SUMIF($B:$B,B151,$N:$N)</f>
        <v>149</v>
      </c>
      <c r="P151" s="19">
        <f>IF(COUNTIF($B$9:B151,B151)&lt;=O151,N151+1,N151)</f>
        <v>15692</v>
      </c>
      <c r="Q151" s="20">
        <f>SUMIF($B:$B,B151,$P:$P)</f>
        <v>10000000</v>
      </c>
      <c r="R151">
        <f t="shared" si="12"/>
        <v>235.36795857523944</v>
      </c>
    </row>
    <row r="152" spans="1:18" ht="23.25" x14ac:dyDescent="0.2">
      <c r="A152" s="15" ph="1">
        <v>21300193</v>
      </c>
      <c r="B152" s="17" t="s">
        <v>1612</v>
      </c>
      <c r="C152" s="15" t="s" ph="1">
        <v>1799</v>
      </c>
      <c r="D152" s="15">
        <v>20000</v>
      </c>
      <c r="E152" s="15" ph="1">
        <v>300</v>
      </c>
      <c r="F152" s="15" t="s" ph="1">
        <v>1671</v>
      </c>
      <c r="G152" s="15" t="str">
        <f t="shared" si="13"/>
        <v>월터 롤리 계약서</v>
      </c>
      <c r="H152" s="15">
        <v>5</v>
      </c>
      <c r="I152" s="15">
        <v>10</v>
      </c>
      <c r="J152" s="15">
        <f t="shared" si="14"/>
        <v>15692</v>
      </c>
      <c r="K152" s="15">
        <f t="shared" si="10"/>
        <v>150000</v>
      </c>
      <c r="L152">
        <f>SUMIF($B:$B,B152,$K:$K)/K152</f>
        <v>1660</v>
      </c>
      <c r="M152">
        <f>L152/SUMIF($B:$B,B152,$L:$L)</f>
        <v>1.5691197238349296E-3</v>
      </c>
      <c r="N152">
        <f t="shared" si="11"/>
        <v>15691</v>
      </c>
      <c r="O152">
        <f>10000000-SUMIF($B:$B,B152,$N:$N)</f>
        <v>149</v>
      </c>
      <c r="P152" s="19">
        <f>IF(COUNTIF($B$9:B152,B152)&lt;=O152,N152+1,N152)</f>
        <v>15692</v>
      </c>
      <c r="Q152" s="20">
        <f>SUMIF($B:$B,B152,$P:$P)</f>
        <v>10000000</v>
      </c>
      <c r="R152">
        <f t="shared" si="12"/>
        <v>235.36795857523944</v>
      </c>
    </row>
    <row r="153" spans="1:18" ht="23.25" x14ac:dyDescent="0.2">
      <c r="A153" s="15" ph="1">
        <v>21300180</v>
      </c>
      <c r="B153" s="17" t="s">
        <v>1612</v>
      </c>
      <c r="C153" s="15" t="s" ph="1">
        <v>1800</v>
      </c>
      <c r="D153" s="15">
        <v>20000</v>
      </c>
      <c r="E153" s="15" ph="1">
        <v>300</v>
      </c>
      <c r="F153" s="15" t="s" ph="1">
        <v>1671</v>
      </c>
      <c r="G153" s="15" t="str">
        <f t="shared" si="13"/>
        <v>안토니오 데베리오 계약서</v>
      </c>
      <c r="H153" s="15">
        <v>5</v>
      </c>
      <c r="I153" s="15">
        <v>10</v>
      </c>
      <c r="J153" s="15">
        <f t="shared" si="14"/>
        <v>15692</v>
      </c>
      <c r="K153" s="15">
        <f t="shared" si="10"/>
        <v>150000</v>
      </c>
      <c r="L153">
        <f>SUMIF($B:$B,B153,$K:$K)/K153</f>
        <v>1660</v>
      </c>
      <c r="M153">
        <f>L153/SUMIF($B:$B,B153,$L:$L)</f>
        <v>1.5691197238349296E-3</v>
      </c>
      <c r="N153">
        <f t="shared" si="11"/>
        <v>15691</v>
      </c>
      <c r="O153">
        <f>10000000-SUMIF($B:$B,B153,$N:$N)</f>
        <v>149</v>
      </c>
      <c r="P153" s="19">
        <f>IF(COUNTIF($B$9:B153,B153)&lt;=O153,N153+1,N153)</f>
        <v>15692</v>
      </c>
      <c r="Q153" s="20">
        <f>SUMIF($B:$B,B153,$P:$P)</f>
        <v>10000000</v>
      </c>
      <c r="R153">
        <f t="shared" si="12"/>
        <v>235.36795857523944</v>
      </c>
    </row>
    <row r="154" spans="1:18" ht="23.25" x14ac:dyDescent="0.2">
      <c r="A154" s="15" ph="1">
        <v>21300235</v>
      </c>
      <c r="B154" s="17" t="s">
        <v>1612</v>
      </c>
      <c r="C154" s="15" t="s" ph="1">
        <v>1801</v>
      </c>
      <c r="D154" s="15">
        <v>20000</v>
      </c>
      <c r="E154" s="15" ph="1">
        <v>300</v>
      </c>
      <c r="F154" s="15" t="s" ph="1">
        <v>1671</v>
      </c>
      <c r="G154" s="15" t="str">
        <f t="shared" si="13"/>
        <v>프란시스코 데오레야나 계약서</v>
      </c>
      <c r="H154" s="15">
        <v>5</v>
      </c>
      <c r="I154" s="15">
        <v>10</v>
      </c>
      <c r="J154" s="15">
        <f t="shared" si="14"/>
        <v>15692</v>
      </c>
      <c r="K154" s="15">
        <f t="shared" si="10"/>
        <v>150000</v>
      </c>
      <c r="L154">
        <f>SUMIF($B:$B,B154,$K:$K)/K154</f>
        <v>1660</v>
      </c>
      <c r="M154">
        <f>L154/SUMIF($B:$B,B154,$L:$L)</f>
        <v>1.5691197238349296E-3</v>
      </c>
      <c r="N154">
        <f t="shared" si="11"/>
        <v>15691</v>
      </c>
      <c r="O154">
        <f>10000000-SUMIF($B:$B,B154,$N:$N)</f>
        <v>149</v>
      </c>
      <c r="P154" s="19">
        <f>IF(COUNTIF($B$9:B154,B154)&lt;=O154,N154+1,N154)</f>
        <v>15692</v>
      </c>
      <c r="Q154" s="20">
        <f>SUMIF($B:$B,B154,$P:$P)</f>
        <v>10000000</v>
      </c>
      <c r="R154">
        <f t="shared" si="12"/>
        <v>235.36795857523944</v>
      </c>
    </row>
    <row r="155" spans="1:18" ht="23.25" x14ac:dyDescent="0.2">
      <c r="A155" s="15" ph="1">
        <v>21300204</v>
      </c>
      <c r="B155" s="17" t="s">
        <v>1612</v>
      </c>
      <c r="C155" s="15" t="s" ph="1">
        <v>1802</v>
      </c>
      <c r="D155" s="15">
        <v>20000</v>
      </c>
      <c r="E155" s="15" ph="1">
        <v>300</v>
      </c>
      <c r="F155" s="15" t="s" ph="1">
        <v>1671</v>
      </c>
      <c r="G155" s="15" t="str">
        <f t="shared" si="13"/>
        <v>곤살로 피사로 계약서</v>
      </c>
      <c r="H155" s="15">
        <v>5</v>
      </c>
      <c r="I155" s="15">
        <v>10</v>
      </c>
      <c r="J155" s="15">
        <f t="shared" si="14"/>
        <v>15692</v>
      </c>
      <c r="K155" s="15">
        <f t="shared" si="10"/>
        <v>150000</v>
      </c>
      <c r="L155">
        <f>SUMIF($B:$B,B155,$K:$K)/K155</f>
        <v>1660</v>
      </c>
      <c r="M155">
        <f>L155/SUMIF($B:$B,B155,$L:$L)</f>
        <v>1.5691197238349296E-3</v>
      </c>
      <c r="N155">
        <f t="shared" si="11"/>
        <v>15691</v>
      </c>
      <c r="O155">
        <f>10000000-SUMIF($B:$B,B155,$N:$N)</f>
        <v>149</v>
      </c>
      <c r="P155" s="19">
        <f>IF(COUNTIF($B$9:B155,B155)&lt;=O155,N155+1,N155)</f>
        <v>15692</v>
      </c>
      <c r="Q155" s="20">
        <f>SUMIF($B:$B,B155,$P:$P)</f>
        <v>10000000</v>
      </c>
      <c r="R155">
        <f t="shared" si="12"/>
        <v>235.36795857523944</v>
      </c>
    </row>
    <row r="156" spans="1:18" ht="23.25" x14ac:dyDescent="0.2">
      <c r="A156" s="15" ph="1">
        <v>21300205</v>
      </c>
      <c r="B156" s="17" t="s">
        <v>1612</v>
      </c>
      <c r="C156" s="15" t="s" ph="1">
        <v>1803</v>
      </c>
      <c r="D156" s="15">
        <v>20000</v>
      </c>
      <c r="E156" s="15" ph="1">
        <v>300</v>
      </c>
      <c r="F156" s="15" t="s" ph="1">
        <v>1671</v>
      </c>
      <c r="G156" s="15" t="str">
        <f t="shared" si="13"/>
        <v>얀 피터손 쿤 계약서</v>
      </c>
      <c r="H156" s="15">
        <v>5</v>
      </c>
      <c r="I156" s="15">
        <v>10</v>
      </c>
      <c r="J156" s="15">
        <f t="shared" si="14"/>
        <v>15692</v>
      </c>
      <c r="K156" s="15">
        <f t="shared" si="10"/>
        <v>150000</v>
      </c>
      <c r="L156">
        <f>SUMIF($B:$B,B156,$K:$K)/K156</f>
        <v>1660</v>
      </c>
      <c r="M156">
        <f>L156/SUMIF($B:$B,B156,$L:$L)</f>
        <v>1.5691197238349296E-3</v>
      </c>
      <c r="N156">
        <f t="shared" si="11"/>
        <v>15691</v>
      </c>
      <c r="O156">
        <f>10000000-SUMIF($B:$B,B156,$N:$N)</f>
        <v>149</v>
      </c>
      <c r="P156" s="19">
        <f>IF(COUNTIF($B$9:B156,B156)&lt;=O156,N156+1,N156)</f>
        <v>15692</v>
      </c>
      <c r="Q156" s="20">
        <f>SUMIF($B:$B,B156,$P:$P)</f>
        <v>10000000</v>
      </c>
      <c r="R156">
        <f t="shared" si="12"/>
        <v>235.36795857523944</v>
      </c>
    </row>
    <row r="157" spans="1:18" ht="23.25" x14ac:dyDescent="0.2">
      <c r="A157" s="15" ph="1">
        <v>21300282</v>
      </c>
      <c r="B157" s="17" t="s">
        <v>1612</v>
      </c>
      <c r="C157" s="15" t="s" ph="1">
        <v>1804</v>
      </c>
      <c r="D157" s="15">
        <v>20000</v>
      </c>
      <c r="E157" s="15" ph="1">
        <v>300</v>
      </c>
      <c r="F157" s="15" t="s" ph="1">
        <v>1671</v>
      </c>
      <c r="G157" s="15" t="str">
        <f t="shared" si="13"/>
        <v>피터르 제라뒤스 계약서</v>
      </c>
      <c r="H157" s="15">
        <v>5</v>
      </c>
      <c r="I157" s="15">
        <v>10</v>
      </c>
      <c r="J157" s="15">
        <f t="shared" si="14"/>
        <v>15692</v>
      </c>
      <c r="K157" s="15">
        <f t="shared" si="10"/>
        <v>150000</v>
      </c>
      <c r="L157">
        <f>SUMIF($B:$B,B157,$K:$K)/K157</f>
        <v>1660</v>
      </c>
      <c r="M157">
        <f>L157/SUMIF($B:$B,B157,$L:$L)</f>
        <v>1.5691197238349296E-3</v>
      </c>
      <c r="N157">
        <f t="shared" si="11"/>
        <v>15691</v>
      </c>
      <c r="O157">
        <f>10000000-SUMIF($B:$B,B157,$N:$N)</f>
        <v>149</v>
      </c>
      <c r="P157" s="19">
        <f>IF(COUNTIF($B$9:B157,B157)&lt;=O157,N157+1,N157)</f>
        <v>15692</v>
      </c>
      <c r="Q157" s="20">
        <f>SUMIF($B:$B,B157,$P:$P)</f>
        <v>10000000</v>
      </c>
      <c r="R157">
        <f t="shared" si="12"/>
        <v>235.36795857523944</v>
      </c>
    </row>
    <row r="158" spans="1:18" ht="23.25" x14ac:dyDescent="0.2">
      <c r="A158" s="15" ph="1">
        <v>21300263</v>
      </c>
      <c r="B158" s="17" t="s">
        <v>1612</v>
      </c>
      <c r="C158" s="15" t="s" ph="1">
        <v>1805</v>
      </c>
      <c r="D158" s="15">
        <v>20000</v>
      </c>
      <c r="E158" s="15" ph="1">
        <v>300</v>
      </c>
      <c r="F158" s="15" t="s" ph="1">
        <v>1671</v>
      </c>
      <c r="G158" s="15" t="str">
        <f t="shared" si="13"/>
        <v>니콜라스 쿠크베커 계약서</v>
      </c>
      <c r="H158" s="15">
        <v>5</v>
      </c>
      <c r="I158" s="15">
        <v>10</v>
      </c>
      <c r="J158" s="15">
        <f t="shared" si="14"/>
        <v>15692</v>
      </c>
      <c r="K158" s="15">
        <f t="shared" si="10"/>
        <v>150000</v>
      </c>
      <c r="L158">
        <f>SUMIF($B:$B,B158,$K:$K)/K158</f>
        <v>1660</v>
      </c>
      <c r="M158">
        <f>L158/SUMIF($B:$B,B158,$L:$L)</f>
        <v>1.5691197238349296E-3</v>
      </c>
      <c r="N158">
        <f t="shared" si="11"/>
        <v>15691</v>
      </c>
      <c r="O158">
        <f>10000000-SUMIF($B:$B,B158,$N:$N)</f>
        <v>149</v>
      </c>
      <c r="P158" s="19">
        <f>IF(COUNTIF($B$9:B158,B158)&lt;=O158,N158+1,N158)</f>
        <v>15692</v>
      </c>
      <c r="Q158" s="20">
        <f>SUMIF($B:$B,B158,$P:$P)</f>
        <v>10000000</v>
      </c>
      <c r="R158">
        <f t="shared" si="12"/>
        <v>235.36795857523944</v>
      </c>
    </row>
    <row r="159" spans="1:18" ht="23.25" x14ac:dyDescent="0.2">
      <c r="A159" s="15" ph="1">
        <v>21300230</v>
      </c>
      <c r="B159" s="17" t="s">
        <v>1612</v>
      </c>
      <c r="C159" s="15" t="s" ph="1">
        <v>1806</v>
      </c>
      <c r="D159" s="15">
        <v>20000</v>
      </c>
      <c r="E159" s="15" ph="1">
        <v>300</v>
      </c>
      <c r="F159" s="15" t="s" ph="1">
        <v>1671</v>
      </c>
      <c r="G159" s="15" t="str">
        <f t="shared" si="13"/>
        <v>카베사 데바카 계약서</v>
      </c>
      <c r="H159" s="15">
        <v>5</v>
      </c>
      <c r="I159" s="15">
        <v>10</v>
      </c>
      <c r="J159" s="15">
        <f t="shared" si="14"/>
        <v>15691</v>
      </c>
      <c r="K159" s="15">
        <f t="shared" si="10"/>
        <v>150000</v>
      </c>
      <c r="L159">
        <f>SUMIF($B:$B,B159,$K:$K)/K159</f>
        <v>1660</v>
      </c>
      <c r="M159">
        <f>L159/SUMIF($B:$B,B159,$L:$L)</f>
        <v>1.5691197238349296E-3</v>
      </c>
      <c r="N159">
        <f t="shared" si="11"/>
        <v>15691</v>
      </c>
      <c r="O159">
        <f>10000000-SUMIF($B:$B,B159,$N:$N)</f>
        <v>149</v>
      </c>
      <c r="P159" s="19">
        <f>IF(COUNTIF($B$9:B159,B159)&lt;=O159,N159+1,N159)</f>
        <v>15691</v>
      </c>
      <c r="Q159" s="20">
        <f>SUMIF($B:$B,B159,$P:$P)</f>
        <v>10000000</v>
      </c>
      <c r="R159">
        <f t="shared" si="12"/>
        <v>235.36795857523944</v>
      </c>
    </row>
    <row r="160" spans="1:18" ht="23.25" x14ac:dyDescent="0.2">
      <c r="A160" s="15" ph="1">
        <v>21300232</v>
      </c>
      <c r="B160" s="17" t="s">
        <v>1612</v>
      </c>
      <c r="C160" s="15" t="s" ph="1">
        <v>1807</v>
      </c>
      <c r="D160" s="15">
        <v>20000</v>
      </c>
      <c r="E160" s="15" ph="1">
        <v>300</v>
      </c>
      <c r="F160" s="15" t="s" ph="1">
        <v>1671</v>
      </c>
      <c r="G160" s="15" t="str">
        <f t="shared" si="13"/>
        <v>바스케스 데코로나도 계약서</v>
      </c>
      <c r="H160" s="15">
        <v>5</v>
      </c>
      <c r="I160" s="15">
        <v>10</v>
      </c>
      <c r="J160" s="15">
        <f t="shared" si="14"/>
        <v>15691</v>
      </c>
      <c r="K160" s="15">
        <f t="shared" si="10"/>
        <v>150000</v>
      </c>
      <c r="L160">
        <f>SUMIF($B:$B,B160,$K:$K)/K160</f>
        <v>1660</v>
      </c>
      <c r="M160">
        <f>L160/SUMIF($B:$B,B160,$L:$L)</f>
        <v>1.5691197238349296E-3</v>
      </c>
      <c r="N160">
        <f t="shared" si="11"/>
        <v>15691</v>
      </c>
      <c r="O160">
        <f>10000000-SUMIF($B:$B,B160,$N:$N)</f>
        <v>149</v>
      </c>
      <c r="P160" s="19">
        <f>IF(COUNTIF($B$9:B160,B160)&lt;=O160,N160+1,N160)</f>
        <v>15691</v>
      </c>
      <c r="Q160" s="20">
        <f>SUMIF($B:$B,B160,$P:$P)</f>
        <v>10000000</v>
      </c>
      <c r="R160">
        <f t="shared" si="12"/>
        <v>235.36795857523944</v>
      </c>
    </row>
    <row r="161" spans="1:18" ht="23.25" x14ac:dyDescent="0.2">
      <c r="A161" s="15" ph="1">
        <v>21300217</v>
      </c>
      <c r="B161" s="17" t="s">
        <v>1612</v>
      </c>
      <c r="C161" s="15" t="s" ph="1">
        <v>1808</v>
      </c>
      <c r="D161" s="15">
        <v>20000</v>
      </c>
      <c r="E161" s="15" ph="1">
        <v>300</v>
      </c>
      <c r="F161" s="15" t="s" ph="1">
        <v>1671</v>
      </c>
      <c r="G161" s="15" t="str">
        <f t="shared" si="13"/>
        <v>얀 얀스 벨테브레이 계약서</v>
      </c>
      <c r="H161" s="15">
        <v>5</v>
      </c>
      <c r="I161" s="15">
        <v>10</v>
      </c>
      <c r="J161" s="15">
        <f t="shared" si="14"/>
        <v>15691</v>
      </c>
      <c r="K161" s="15">
        <f t="shared" si="10"/>
        <v>150000</v>
      </c>
      <c r="L161">
        <f>SUMIF($B:$B,B161,$K:$K)/K161</f>
        <v>1660</v>
      </c>
      <c r="M161">
        <f>L161/SUMIF($B:$B,B161,$L:$L)</f>
        <v>1.5691197238349296E-3</v>
      </c>
      <c r="N161">
        <f t="shared" si="11"/>
        <v>15691</v>
      </c>
      <c r="O161">
        <f>10000000-SUMIF($B:$B,B161,$N:$N)</f>
        <v>149</v>
      </c>
      <c r="P161" s="19">
        <f>IF(COUNTIF($B$9:B161,B161)&lt;=O161,N161+1,N161)</f>
        <v>15691</v>
      </c>
      <c r="Q161" s="20">
        <f>SUMIF($B:$B,B161,$P:$P)</f>
        <v>10000000</v>
      </c>
      <c r="R161">
        <f t="shared" si="12"/>
        <v>235.36795857523944</v>
      </c>
    </row>
    <row r="162" spans="1:18" ht="23.25" x14ac:dyDescent="0.2">
      <c r="A162" s="15" ph="1">
        <v>21300242</v>
      </c>
      <c r="B162" s="17" t="s">
        <v>1612</v>
      </c>
      <c r="C162" s="15" t="s" ph="1">
        <v>1809</v>
      </c>
      <c r="D162" s="15">
        <v>20000</v>
      </c>
      <c r="E162" s="15" ph="1">
        <v>300</v>
      </c>
      <c r="F162" s="15" t="s" ph="1">
        <v>1671</v>
      </c>
      <c r="G162" s="15" t="str">
        <f t="shared" si="13"/>
        <v>필리베르 코메르송 계약서</v>
      </c>
      <c r="H162" s="15">
        <v>5</v>
      </c>
      <c r="I162" s="15">
        <v>10</v>
      </c>
      <c r="J162" s="15">
        <f t="shared" si="14"/>
        <v>15691</v>
      </c>
      <c r="K162" s="15">
        <f t="shared" si="10"/>
        <v>150000</v>
      </c>
      <c r="L162">
        <f>SUMIF($B:$B,B162,$K:$K)/K162</f>
        <v>1660</v>
      </c>
      <c r="M162">
        <f>L162/SUMIF($B:$B,B162,$L:$L)</f>
        <v>1.5691197238349296E-3</v>
      </c>
      <c r="N162">
        <f t="shared" si="11"/>
        <v>15691</v>
      </c>
      <c r="O162">
        <f>10000000-SUMIF($B:$B,B162,$N:$N)</f>
        <v>149</v>
      </c>
      <c r="P162" s="19">
        <f>IF(COUNTIF($B$9:B162,B162)&lt;=O162,N162+1,N162)</f>
        <v>15691</v>
      </c>
      <c r="Q162" s="20">
        <f>SUMIF($B:$B,B162,$P:$P)</f>
        <v>10000000</v>
      </c>
      <c r="R162">
        <f t="shared" si="12"/>
        <v>235.36795857523944</v>
      </c>
    </row>
    <row r="163" spans="1:18" ht="23.25" x14ac:dyDescent="0.2">
      <c r="A163" s="15" ph="1">
        <v>21300267</v>
      </c>
      <c r="B163" s="17" t="s">
        <v>1612</v>
      </c>
      <c r="C163" s="15" t="s" ph="1">
        <v>1810</v>
      </c>
      <c r="D163" s="15">
        <v>20000</v>
      </c>
      <c r="E163" s="15" ph="1">
        <v>300</v>
      </c>
      <c r="F163" s="15" t="s" ph="1">
        <v>1671</v>
      </c>
      <c r="G163" s="15" t="str">
        <f t="shared" si="13"/>
        <v>존 롤프 계약서</v>
      </c>
      <c r="H163" s="15">
        <v>5</v>
      </c>
      <c r="I163" s="15">
        <v>10</v>
      </c>
      <c r="J163" s="15">
        <f t="shared" si="14"/>
        <v>15691</v>
      </c>
      <c r="K163" s="15">
        <f t="shared" si="10"/>
        <v>150000</v>
      </c>
      <c r="L163">
        <f>SUMIF($B:$B,B163,$K:$K)/K163</f>
        <v>1660</v>
      </c>
      <c r="M163">
        <f>L163/SUMIF($B:$B,B163,$L:$L)</f>
        <v>1.5691197238349296E-3</v>
      </c>
      <c r="N163">
        <f t="shared" si="11"/>
        <v>15691</v>
      </c>
      <c r="O163">
        <f>10000000-SUMIF($B:$B,B163,$N:$N)</f>
        <v>149</v>
      </c>
      <c r="P163" s="19">
        <f>IF(COUNTIF($B$9:B163,B163)&lt;=O163,N163+1,N163)</f>
        <v>15691</v>
      </c>
      <c r="Q163" s="20">
        <f>SUMIF($B:$B,B163,$P:$P)</f>
        <v>10000000</v>
      </c>
      <c r="R163">
        <f t="shared" si="12"/>
        <v>235.36795857523944</v>
      </c>
    </row>
    <row r="164" spans="1:18" ht="23.25" x14ac:dyDescent="0.2">
      <c r="A164" s="15" ph="1">
        <v>21300145</v>
      </c>
      <c r="B164" s="17" t="s">
        <v>1612</v>
      </c>
      <c r="C164" s="15" t="s" ph="1">
        <v>1811</v>
      </c>
      <c r="D164" s="15">
        <v>20000</v>
      </c>
      <c r="E164" s="15" ph="1">
        <v>300</v>
      </c>
      <c r="F164" s="15" t="s" ph="1">
        <v>1671</v>
      </c>
      <c r="G164" s="15" t="str">
        <f t="shared" si="13"/>
        <v>에드먼드 길버트 계약서</v>
      </c>
      <c r="H164" s="15">
        <v>5</v>
      </c>
      <c r="I164" s="15">
        <v>10</v>
      </c>
      <c r="J164" s="15">
        <f t="shared" si="14"/>
        <v>15691</v>
      </c>
      <c r="K164" s="15">
        <f t="shared" si="10"/>
        <v>150000</v>
      </c>
      <c r="L164">
        <f>SUMIF($B:$B,B164,$K:$K)/K164</f>
        <v>1660</v>
      </c>
      <c r="M164">
        <f>L164/SUMIF($B:$B,B164,$L:$L)</f>
        <v>1.5691197238349296E-3</v>
      </c>
      <c r="N164">
        <f t="shared" si="11"/>
        <v>15691</v>
      </c>
      <c r="O164">
        <f>10000000-SUMIF($B:$B,B164,$N:$N)</f>
        <v>149</v>
      </c>
      <c r="P164" s="19">
        <f>IF(COUNTIF($B$9:B164,B164)&lt;=O164,N164+1,N164)</f>
        <v>15691</v>
      </c>
      <c r="Q164" s="20">
        <f>SUMIF($B:$B,B164,$P:$P)</f>
        <v>10000000</v>
      </c>
      <c r="R164">
        <f t="shared" si="12"/>
        <v>235.36795857523944</v>
      </c>
    </row>
    <row r="165" spans="1:18" ht="23.25" x14ac:dyDescent="0.2">
      <c r="A165" s="15" ph="1">
        <v>21300155</v>
      </c>
      <c r="B165" s="17" t="s">
        <v>1612</v>
      </c>
      <c r="C165" s="15" t="s" ph="1">
        <v>1812</v>
      </c>
      <c r="D165" s="15">
        <v>20000</v>
      </c>
      <c r="E165" s="15" ph="1">
        <v>300</v>
      </c>
      <c r="F165" s="15" t="s" ph="1">
        <v>1671</v>
      </c>
      <c r="G165" s="15" t="str">
        <f t="shared" si="13"/>
        <v>로렌주 핀투 계약서</v>
      </c>
      <c r="H165" s="15">
        <v>5</v>
      </c>
      <c r="I165" s="15">
        <v>10</v>
      </c>
      <c r="J165" s="15">
        <f t="shared" si="14"/>
        <v>15691</v>
      </c>
      <c r="K165" s="15">
        <f t="shared" si="10"/>
        <v>150000</v>
      </c>
      <c r="L165">
        <f>SUMIF($B:$B,B165,$K:$K)/K165</f>
        <v>1660</v>
      </c>
      <c r="M165">
        <f>L165/SUMIF($B:$B,B165,$L:$L)</f>
        <v>1.5691197238349296E-3</v>
      </c>
      <c r="N165">
        <f t="shared" si="11"/>
        <v>15691</v>
      </c>
      <c r="O165">
        <f>10000000-SUMIF($B:$B,B165,$N:$N)</f>
        <v>149</v>
      </c>
      <c r="P165" s="19">
        <f>IF(COUNTIF($B$9:B165,B165)&lt;=O165,N165+1,N165)</f>
        <v>15691</v>
      </c>
      <c r="Q165" s="20">
        <f>SUMIF($B:$B,B165,$P:$P)</f>
        <v>10000000</v>
      </c>
      <c r="R165">
        <f t="shared" si="12"/>
        <v>235.36795857523944</v>
      </c>
    </row>
    <row r="166" spans="1:18" ht="23.25" x14ac:dyDescent="0.2">
      <c r="A166" s="15" ph="1">
        <v>21300159</v>
      </c>
      <c r="B166" s="17" t="s">
        <v>1612</v>
      </c>
      <c r="C166" s="15" t="s" ph="1">
        <v>1813</v>
      </c>
      <c r="D166" s="15">
        <v>20000</v>
      </c>
      <c r="E166" s="15" ph="1">
        <v>300</v>
      </c>
      <c r="F166" s="15" t="s" ph="1">
        <v>1671</v>
      </c>
      <c r="G166" s="15" t="str">
        <f t="shared" si="13"/>
        <v>크리스티안 글로리아 계약서</v>
      </c>
      <c r="H166" s="15">
        <v>5</v>
      </c>
      <c r="I166" s="15">
        <v>10</v>
      </c>
      <c r="J166" s="15">
        <f t="shared" si="14"/>
        <v>15691</v>
      </c>
      <c r="K166" s="15">
        <f t="shared" si="10"/>
        <v>150000</v>
      </c>
      <c r="L166">
        <f>SUMIF($B:$B,B166,$K:$K)/K166</f>
        <v>1660</v>
      </c>
      <c r="M166">
        <f>L166/SUMIF($B:$B,B166,$L:$L)</f>
        <v>1.5691197238349296E-3</v>
      </c>
      <c r="N166">
        <f t="shared" si="11"/>
        <v>15691</v>
      </c>
      <c r="O166">
        <f>10000000-SUMIF($B:$B,B166,$N:$N)</f>
        <v>149</v>
      </c>
      <c r="P166" s="19">
        <f>IF(COUNTIF($B$9:B166,B166)&lt;=O166,N166+1,N166)</f>
        <v>15691</v>
      </c>
      <c r="Q166" s="20">
        <f>SUMIF($B:$B,B166,$P:$P)</f>
        <v>10000000</v>
      </c>
      <c r="R166">
        <f t="shared" si="12"/>
        <v>235.36795857523944</v>
      </c>
    </row>
    <row r="167" spans="1:18" ht="23.25" x14ac:dyDescent="0.2">
      <c r="A167" s="15" ph="1">
        <v>21300162</v>
      </c>
      <c r="B167" s="17" t="s">
        <v>1612</v>
      </c>
      <c r="C167" s="15" t="s" ph="1">
        <v>1814</v>
      </c>
      <c r="D167" s="15">
        <v>20000</v>
      </c>
      <c r="E167" s="15" ph="1">
        <v>300</v>
      </c>
      <c r="F167" s="15" t="s" ph="1">
        <v>1671</v>
      </c>
      <c r="G167" s="15" t="str">
        <f t="shared" si="13"/>
        <v>니콜로 스테파노 계약서</v>
      </c>
      <c r="H167" s="15">
        <v>5</v>
      </c>
      <c r="I167" s="15">
        <v>10</v>
      </c>
      <c r="J167" s="15">
        <f t="shared" si="14"/>
        <v>15691</v>
      </c>
      <c r="K167" s="15">
        <f t="shared" si="10"/>
        <v>150000</v>
      </c>
      <c r="L167">
        <f>SUMIF($B:$B,B167,$K:$K)/K167</f>
        <v>1660</v>
      </c>
      <c r="M167">
        <f>L167/SUMIF($B:$B,B167,$L:$L)</f>
        <v>1.5691197238349296E-3</v>
      </c>
      <c r="N167">
        <f t="shared" si="11"/>
        <v>15691</v>
      </c>
      <c r="O167">
        <f>10000000-SUMIF($B:$B,B167,$N:$N)</f>
        <v>149</v>
      </c>
      <c r="P167" s="19">
        <f>IF(COUNTIF($B$9:B167,B167)&lt;=O167,N167+1,N167)</f>
        <v>15691</v>
      </c>
      <c r="Q167" s="20">
        <f>SUMIF($B:$B,B167,$P:$P)</f>
        <v>10000000</v>
      </c>
      <c r="R167">
        <f t="shared" si="12"/>
        <v>235.36795857523944</v>
      </c>
    </row>
    <row r="168" spans="1:18" ht="23.25" x14ac:dyDescent="0.2">
      <c r="A168" s="15" ph="1">
        <v>21300163</v>
      </c>
      <c r="B168" s="17" t="s">
        <v>1612</v>
      </c>
      <c r="C168" s="15" t="s" ph="1">
        <v>1815</v>
      </c>
      <c r="D168" s="15">
        <v>20000</v>
      </c>
      <c r="E168" s="15" ph="1">
        <v>300</v>
      </c>
      <c r="F168" s="15" t="s" ph="1">
        <v>1671</v>
      </c>
      <c r="G168" s="15" t="str">
        <f t="shared" si="13"/>
        <v>하파엘 세하누 계약서</v>
      </c>
      <c r="H168" s="15">
        <v>5</v>
      </c>
      <c r="I168" s="15">
        <v>10</v>
      </c>
      <c r="J168" s="15">
        <f t="shared" si="14"/>
        <v>15691</v>
      </c>
      <c r="K168" s="15">
        <f t="shared" si="10"/>
        <v>150000</v>
      </c>
      <c r="L168">
        <f>SUMIF($B:$B,B168,$K:$K)/K168</f>
        <v>1660</v>
      </c>
      <c r="M168">
        <f>L168/SUMIF($B:$B,B168,$L:$L)</f>
        <v>1.5691197238349296E-3</v>
      </c>
      <c r="N168">
        <f t="shared" si="11"/>
        <v>15691</v>
      </c>
      <c r="O168">
        <f>10000000-SUMIF($B:$B,B168,$N:$N)</f>
        <v>149</v>
      </c>
      <c r="P168" s="19">
        <f>IF(COUNTIF($B$9:B168,B168)&lt;=O168,N168+1,N168)</f>
        <v>15691</v>
      </c>
      <c r="Q168" s="20">
        <f>SUMIF($B:$B,B168,$P:$P)</f>
        <v>10000000</v>
      </c>
      <c r="R168">
        <f t="shared" si="12"/>
        <v>235.36795857523944</v>
      </c>
    </row>
    <row r="169" spans="1:18" ht="23.25" x14ac:dyDescent="0.2">
      <c r="A169" s="15" ph="1">
        <v>21300165</v>
      </c>
      <c r="B169" s="17" t="s">
        <v>1612</v>
      </c>
      <c r="C169" s="15" t="s" ph="1">
        <v>1816</v>
      </c>
      <c r="D169" s="15">
        <v>20000</v>
      </c>
      <c r="E169" s="15" ph="1">
        <v>300</v>
      </c>
      <c r="F169" s="15" t="s" ph="1">
        <v>1671</v>
      </c>
      <c r="G169" s="15" t="str">
        <f t="shared" si="13"/>
        <v>페론소 아기레 계약서</v>
      </c>
      <c r="H169" s="15">
        <v>5</v>
      </c>
      <c r="I169" s="15">
        <v>10</v>
      </c>
      <c r="J169" s="15">
        <f t="shared" si="14"/>
        <v>15691</v>
      </c>
      <c r="K169" s="15">
        <f t="shared" si="10"/>
        <v>150000</v>
      </c>
      <c r="L169">
        <f>SUMIF($B:$B,B169,$K:$K)/K169</f>
        <v>1660</v>
      </c>
      <c r="M169">
        <f>L169/SUMIF($B:$B,B169,$L:$L)</f>
        <v>1.5691197238349296E-3</v>
      </c>
      <c r="N169">
        <f t="shared" si="11"/>
        <v>15691</v>
      </c>
      <c r="O169">
        <f>10000000-SUMIF($B:$B,B169,$N:$N)</f>
        <v>149</v>
      </c>
      <c r="P169" s="19">
        <f>IF(COUNTIF($B$9:B169,B169)&lt;=O169,N169+1,N169)</f>
        <v>15691</v>
      </c>
      <c r="Q169" s="20">
        <f>SUMIF($B:$B,B169,$P:$P)</f>
        <v>10000000</v>
      </c>
      <c r="R169">
        <f t="shared" si="12"/>
        <v>235.36795857523944</v>
      </c>
    </row>
    <row r="170" spans="1:18" ht="23.25" x14ac:dyDescent="0.2">
      <c r="A170" s="15" ph="1">
        <v>21300167</v>
      </c>
      <c r="B170" s="17" t="s">
        <v>1612</v>
      </c>
      <c r="C170" s="15" t="s" ph="1">
        <v>1817</v>
      </c>
      <c r="D170" s="15">
        <v>20000</v>
      </c>
      <c r="E170" s="15" ph="1">
        <v>300</v>
      </c>
      <c r="F170" s="15" t="s" ph="1">
        <v>1671</v>
      </c>
      <c r="G170" s="15" t="str">
        <f t="shared" si="13"/>
        <v>마르틴 발보아 계약서</v>
      </c>
      <c r="H170" s="15">
        <v>5</v>
      </c>
      <c r="I170" s="15">
        <v>10</v>
      </c>
      <c r="J170" s="15">
        <f t="shared" si="14"/>
        <v>15691</v>
      </c>
      <c r="K170" s="15">
        <f t="shared" si="10"/>
        <v>150000</v>
      </c>
      <c r="L170">
        <f>SUMIF($B:$B,B170,$K:$K)/K170</f>
        <v>1660</v>
      </c>
      <c r="M170">
        <f>L170/SUMIF($B:$B,B170,$L:$L)</f>
        <v>1.5691197238349296E-3</v>
      </c>
      <c r="N170">
        <f t="shared" si="11"/>
        <v>15691</v>
      </c>
      <c r="O170">
        <f>10000000-SUMIF($B:$B,B170,$N:$N)</f>
        <v>149</v>
      </c>
      <c r="P170" s="19">
        <f>IF(COUNTIF($B$9:B170,B170)&lt;=O170,N170+1,N170)</f>
        <v>15691</v>
      </c>
      <c r="Q170" s="20">
        <f>SUMIF($B:$B,B170,$P:$P)</f>
        <v>10000000</v>
      </c>
      <c r="R170">
        <f t="shared" si="12"/>
        <v>235.36795857523944</v>
      </c>
    </row>
    <row r="171" spans="1:18" ht="23.25" x14ac:dyDescent="0.2">
      <c r="A171" s="15" ph="1">
        <v>21300170</v>
      </c>
      <c r="B171" s="17" t="s">
        <v>1612</v>
      </c>
      <c r="C171" s="15" t="s" ph="1">
        <v>1818</v>
      </c>
      <c r="D171" s="15">
        <v>20000</v>
      </c>
      <c r="E171" s="15" ph="1">
        <v>300</v>
      </c>
      <c r="F171" s="15" t="s" ph="1">
        <v>1671</v>
      </c>
      <c r="G171" s="15" t="str">
        <f t="shared" si="13"/>
        <v>시몬 세게이라 계약서</v>
      </c>
      <c r="H171" s="15">
        <v>5</v>
      </c>
      <c r="I171" s="15">
        <v>10</v>
      </c>
      <c r="J171" s="15">
        <f t="shared" si="14"/>
        <v>15691</v>
      </c>
      <c r="K171" s="15">
        <f t="shared" si="10"/>
        <v>150000</v>
      </c>
      <c r="L171">
        <f>SUMIF($B:$B,B171,$K:$K)/K171</f>
        <v>1660</v>
      </c>
      <c r="M171">
        <f>L171/SUMIF($B:$B,B171,$L:$L)</f>
        <v>1.5691197238349296E-3</v>
      </c>
      <c r="N171">
        <f t="shared" si="11"/>
        <v>15691</v>
      </c>
      <c r="O171">
        <f>10000000-SUMIF($B:$B,B171,$N:$N)</f>
        <v>149</v>
      </c>
      <c r="P171" s="19">
        <f>IF(COUNTIF($B$9:B171,B171)&lt;=O171,N171+1,N171)</f>
        <v>15691</v>
      </c>
      <c r="Q171" s="20">
        <f>SUMIF($B:$B,B171,$P:$P)</f>
        <v>10000000</v>
      </c>
      <c r="R171">
        <f t="shared" si="12"/>
        <v>235.36795857523944</v>
      </c>
    </row>
    <row r="172" spans="1:18" ht="23.25" x14ac:dyDescent="0.2">
      <c r="A172" s="15" ph="1">
        <v>21300113</v>
      </c>
      <c r="B172" s="17" t="s">
        <v>1612</v>
      </c>
      <c r="C172" s="15" t="s" ph="1">
        <v>1819</v>
      </c>
      <c r="D172" s="15">
        <v>20000</v>
      </c>
      <c r="E172" s="15" ph="1">
        <v>300</v>
      </c>
      <c r="F172" s="15" t="s" ph="1">
        <v>1671</v>
      </c>
      <c r="G172" s="15" t="str">
        <f t="shared" si="13"/>
        <v>잉엘라 가텐히엘름 계약서</v>
      </c>
      <c r="H172" s="15">
        <v>5</v>
      </c>
      <c r="I172" s="15">
        <v>10</v>
      </c>
      <c r="J172" s="15">
        <f t="shared" si="14"/>
        <v>15691</v>
      </c>
      <c r="K172" s="15">
        <f t="shared" si="10"/>
        <v>150000</v>
      </c>
      <c r="L172">
        <f>SUMIF($B:$B,B172,$K:$K)/K172</f>
        <v>1660</v>
      </c>
      <c r="M172">
        <f>L172/SUMIF($B:$B,B172,$L:$L)</f>
        <v>1.5691197238349296E-3</v>
      </c>
      <c r="N172">
        <f t="shared" si="11"/>
        <v>15691</v>
      </c>
      <c r="O172">
        <f>10000000-SUMIF($B:$B,B172,$N:$N)</f>
        <v>149</v>
      </c>
      <c r="P172" s="19">
        <f>IF(COUNTIF($B$9:B172,B172)&lt;=O172,N172+1,N172)</f>
        <v>15691</v>
      </c>
      <c r="Q172" s="20">
        <f>SUMIF($B:$B,B172,$P:$P)</f>
        <v>10000000</v>
      </c>
      <c r="R172">
        <f t="shared" si="12"/>
        <v>235.36795857523944</v>
      </c>
    </row>
    <row r="173" spans="1:18" ht="23.25" x14ac:dyDescent="0.2">
      <c r="A173" s="15" ph="1">
        <v>21300123</v>
      </c>
      <c r="B173" s="17" t="s">
        <v>1612</v>
      </c>
      <c r="C173" s="15" t="s" ph="1">
        <v>1820</v>
      </c>
      <c r="D173" s="15">
        <v>20000</v>
      </c>
      <c r="E173" s="15" ph="1">
        <v>300</v>
      </c>
      <c r="F173" s="15" t="s" ph="1">
        <v>1671</v>
      </c>
      <c r="G173" s="15" t="str">
        <f t="shared" si="13"/>
        <v>샤를로트 코르데 계약서</v>
      </c>
      <c r="H173" s="15">
        <v>5</v>
      </c>
      <c r="I173" s="15">
        <v>10</v>
      </c>
      <c r="J173" s="15">
        <f t="shared" si="14"/>
        <v>15691</v>
      </c>
      <c r="K173" s="15">
        <f t="shared" si="10"/>
        <v>150000</v>
      </c>
      <c r="L173">
        <f>SUMIF($B:$B,B173,$K:$K)/K173</f>
        <v>1660</v>
      </c>
      <c r="M173">
        <f>L173/SUMIF($B:$B,B173,$L:$L)</f>
        <v>1.5691197238349296E-3</v>
      </c>
      <c r="N173">
        <f t="shared" si="11"/>
        <v>15691</v>
      </c>
      <c r="O173">
        <f>10000000-SUMIF($B:$B,B173,$N:$N)</f>
        <v>149</v>
      </c>
      <c r="P173" s="19">
        <f>IF(COUNTIF($B$9:B173,B173)&lt;=O173,N173+1,N173)</f>
        <v>15691</v>
      </c>
      <c r="Q173" s="20">
        <f>SUMIF($B:$B,B173,$P:$P)</f>
        <v>10000000</v>
      </c>
      <c r="R173">
        <f t="shared" si="12"/>
        <v>235.36795857523944</v>
      </c>
    </row>
    <row r="174" spans="1:18" ht="23.25" x14ac:dyDescent="0.2">
      <c r="A174" s="15" ph="1">
        <v>21300131</v>
      </c>
      <c r="B174" s="17" t="s">
        <v>1612</v>
      </c>
      <c r="C174" s="15" t="s" ph="1">
        <v>1821</v>
      </c>
      <c r="D174" s="15">
        <v>20000</v>
      </c>
      <c r="E174" s="15" ph="1">
        <v>300</v>
      </c>
      <c r="F174" s="15" t="s" ph="1">
        <v>1671</v>
      </c>
      <c r="G174" s="15" t="str">
        <f t="shared" si="13"/>
        <v>카탈리나 데에라우소 계약서</v>
      </c>
      <c r="H174" s="15">
        <v>5</v>
      </c>
      <c r="I174" s="15">
        <v>10</v>
      </c>
      <c r="J174" s="15">
        <f t="shared" si="14"/>
        <v>15691</v>
      </c>
      <c r="K174" s="15">
        <f t="shared" si="10"/>
        <v>150000</v>
      </c>
      <c r="L174">
        <f>SUMIF($B:$B,B174,$K:$K)/K174</f>
        <v>1660</v>
      </c>
      <c r="M174">
        <f>L174/SUMIF($B:$B,B174,$L:$L)</f>
        <v>1.5691197238349296E-3</v>
      </c>
      <c r="N174">
        <f t="shared" si="11"/>
        <v>15691</v>
      </c>
      <c r="O174">
        <f>10000000-SUMIF($B:$B,B174,$N:$N)</f>
        <v>149</v>
      </c>
      <c r="P174" s="19">
        <f>IF(COUNTIF($B$9:B174,B174)&lt;=O174,N174+1,N174)</f>
        <v>15691</v>
      </c>
      <c r="Q174" s="20">
        <f>SUMIF($B:$B,B174,$P:$P)</f>
        <v>10000000</v>
      </c>
      <c r="R174">
        <f t="shared" si="12"/>
        <v>235.36795857523944</v>
      </c>
    </row>
    <row r="175" spans="1:18" ht="23.25" x14ac:dyDescent="0.2">
      <c r="A175" s="15" ph="1">
        <v>21300156</v>
      </c>
      <c r="B175" s="17" t="s">
        <v>1612</v>
      </c>
      <c r="C175" s="15" t="s" ph="1">
        <v>1822</v>
      </c>
      <c r="D175" s="15">
        <v>20000</v>
      </c>
      <c r="E175" s="15" ph="1">
        <v>300</v>
      </c>
      <c r="F175" s="15" t="s" ph="1">
        <v>1671</v>
      </c>
      <c r="G175" s="15" t="str">
        <f t="shared" si="13"/>
        <v>루이스 스콧 계약서</v>
      </c>
      <c r="H175" s="15">
        <v>5</v>
      </c>
      <c r="I175" s="15">
        <v>10</v>
      </c>
      <c r="J175" s="15">
        <f t="shared" si="14"/>
        <v>15691</v>
      </c>
      <c r="K175" s="15">
        <f t="shared" si="10"/>
        <v>150000</v>
      </c>
      <c r="L175">
        <f>SUMIF($B:$B,B175,$K:$K)/K175</f>
        <v>1660</v>
      </c>
      <c r="M175">
        <f>L175/SUMIF($B:$B,B175,$L:$L)</f>
        <v>1.5691197238349296E-3</v>
      </c>
      <c r="N175">
        <f t="shared" si="11"/>
        <v>15691</v>
      </c>
      <c r="O175">
        <f>10000000-SUMIF($B:$B,B175,$N:$N)</f>
        <v>149</v>
      </c>
      <c r="P175" s="19">
        <f>IF(COUNTIF($B$9:B175,B175)&lt;=O175,N175+1,N175)</f>
        <v>15691</v>
      </c>
      <c r="Q175" s="20">
        <f>SUMIF($B:$B,B175,$P:$P)</f>
        <v>10000000</v>
      </c>
      <c r="R175">
        <f t="shared" si="12"/>
        <v>235.36795857523944</v>
      </c>
    </row>
    <row r="176" spans="1:18" ht="23.25" x14ac:dyDescent="0.2">
      <c r="A176" s="15" ph="1">
        <v>21300173</v>
      </c>
      <c r="B176" s="17" t="s">
        <v>1612</v>
      </c>
      <c r="C176" s="15" t="s" ph="1">
        <v>1823</v>
      </c>
      <c r="D176" s="15">
        <v>20000</v>
      </c>
      <c r="E176" s="15" ph="1">
        <v>300</v>
      </c>
      <c r="F176" s="15" t="s" ph="1">
        <v>1671</v>
      </c>
      <c r="G176" s="15" t="str">
        <f t="shared" si="13"/>
        <v>서굉조 계약서</v>
      </c>
      <c r="H176" s="15">
        <v>5</v>
      </c>
      <c r="I176" s="15">
        <v>10</v>
      </c>
      <c r="J176" s="15">
        <f t="shared" si="14"/>
        <v>15691</v>
      </c>
      <c r="K176" s="15">
        <f t="shared" si="10"/>
        <v>150000</v>
      </c>
      <c r="L176">
        <f>SUMIF($B:$B,B176,$K:$K)/K176</f>
        <v>1660</v>
      </c>
      <c r="M176">
        <f>L176/SUMIF($B:$B,B176,$L:$L)</f>
        <v>1.5691197238349296E-3</v>
      </c>
      <c r="N176">
        <f t="shared" si="11"/>
        <v>15691</v>
      </c>
      <c r="O176">
        <f>10000000-SUMIF($B:$B,B176,$N:$N)</f>
        <v>149</v>
      </c>
      <c r="P176" s="19">
        <f>IF(COUNTIF($B$9:B176,B176)&lt;=O176,N176+1,N176)</f>
        <v>15691</v>
      </c>
      <c r="Q176" s="20">
        <f>SUMIF($B:$B,B176,$P:$P)</f>
        <v>10000000</v>
      </c>
      <c r="R176">
        <f t="shared" si="12"/>
        <v>235.36795857523944</v>
      </c>
    </row>
    <row r="177" spans="1:18" ht="23.25" x14ac:dyDescent="0.2">
      <c r="A177" s="15" ph="1">
        <v>21300175</v>
      </c>
      <c r="B177" s="17" t="s">
        <v>1612</v>
      </c>
      <c r="C177" s="15" t="s" ph="1">
        <v>1824</v>
      </c>
      <c r="D177" s="15">
        <v>20000</v>
      </c>
      <c r="E177" s="15" ph="1">
        <v>300</v>
      </c>
      <c r="F177" s="15" t="s" ph="1">
        <v>1671</v>
      </c>
      <c r="G177" s="15" t="str">
        <f t="shared" si="13"/>
        <v>니콜라우 코엘류 계약서</v>
      </c>
      <c r="H177" s="15">
        <v>5</v>
      </c>
      <c r="I177" s="15">
        <v>10</v>
      </c>
      <c r="J177" s="15">
        <f t="shared" si="14"/>
        <v>15691</v>
      </c>
      <c r="K177" s="15">
        <f t="shared" si="10"/>
        <v>150000</v>
      </c>
      <c r="L177">
        <f>SUMIF($B:$B,B177,$K:$K)/K177</f>
        <v>1660</v>
      </c>
      <c r="M177">
        <f>L177/SUMIF($B:$B,B177,$L:$L)</f>
        <v>1.5691197238349296E-3</v>
      </c>
      <c r="N177">
        <f t="shared" si="11"/>
        <v>15691</v>
      </c>
      <c r="O177">
        <f>10000000-SUMIF($B:$B,B177,$N:$N)</f>
        <v>149</v>
      </c>
      <c r="P177" s="19">
        <f>IF(COUNTIF($B$9:B177,B177)&lt;=O177,N177+1,N177)</f>
        <v>15691</v>
      </c>
      <c r="Q177" s="20">
        <f>SUMIF($B:$B,B177,$P:$P)</f>
        <v>10000000</v>
      </c>
      <c r="R177">
        <f t="shared" si="12"/>
        <v>235.36795857523944</v>
      </c>
    </row>
    <row r="178" spans="1:18" ht="23.25" x14ac:dyDescent="0.2">
      <c r="A178" s="15" ph="1">
        <v>21300177</v>
      </c>
      <c r="B178" s="17" t="s">
        <v>1612</v>
      </c>
      <c r="C178" s="15" t="s" ph="1">
        <v>1825</v>
      </c>
      <c r="D178" s="15">
        <v>20000</v>
      </c>
      <c r="E178" s="15" ph="1">
        <v>300</v>
      </c>
      <c r="F178" s="15" t="s" ph="1">
        <v>1671</v>
      </c>
      <c r="G178" s="15" t="str">
        <f t="shared" si="13"/>
        <v>후안 디아스 데솔리스 계약서</v>
      </c>
      <c r="H178" s="15">
        <v>5</v>
      </c>
      <c r="I178" s="15">
        <v>10</v>
      </c>
      <c r="J178" s="15">
        <f t="shared" si="14"/>
        <v>15691</v>
      </c>
      <c r="K178" s="15">
        <f t="shared" si="10"/>
        <v>150000</v>
      </c>
      <c r="L178">
        <f>SUMIF($B:$B,B178,$K:$K)/K178</f>
        <v>1660</v>
      </c>
      <c r="M178">
        <f>L178/SUMIF($B:$B,B178,$L:$L)</f>
        <v>1.5691197238349296E-3</v>
      </c>
      <c r="N178">
        <f t="shared" si="11"/>
        <v>15691</v>
      </c>
      <c r="O178">
        <f>10000000-SUMIF($B:$B,B178,$N:$N)</f>
        <v>149</v>
      </c>
      <c r="P178" s="19">
        <f>IF(COUNTIF($B$9:B178,B178)&lt;=O178,N178+1,N178)</f>
        <v>15691</v>
      </c>
      <c r="Q178" s="20">
        <f>SUMIF($B:$B,B178,$P:$P)</f>
        <v>10000000</v>
      </c>
      <c r="R178">
        <f t="shared" si="12"/>
        <v>235.36795857523944</v>
      </c>
    </row>
    <row r="179" spans="1:18" ht="23.25" x14ac:dyDescent="0.2">
      <c r="A179" s="15" ph="1">
        <v>21300179</v>
      </c>
      <c r="B179" s="17" t="s">
        <v>1612</v>
      </c>
      <c r="C179" s="15" t="s" ph="1">
        <v>1826</v>
      </c>
      <c r="D179" s="15">
        <v>20000</v>
      </c>
      <c r="E179" s="15" ph="1">
        <v>300</v>
      </c>
      <c r="F179" s="15" t="s" ph="1">
        <v>1671</v>
      </c>
      <c r="G179" s="15" t="str">
        <f t="shared" si="13"/>
        <v>로드리고 데바스티다스 계약서</v>
      </c>
      <c r="H179" s="15">
        <v>5</v>
      </c>
      <c r="I179" s="15">
        <v>10</v>
      </c>
      <c r="J179" s="15">
        <f t="shared" si="14"/>
        <v>15691</v>
      </c>
      <c r="K179" s="15">
        <f t="shared" si="10"/>
        <v>150000</v>
      </c>
      <c r="L179">
        <f>SUMIF($B:$B,B179,$K:$K)/K179</f>
        <v>1660</v>
      </c>
      <c r="M179">
        <f>L179/SUMIF($B:$B,B179,$L:$L)</f>
        <v>1.5691197238349296E-3</v>
      </c>
      <c r="N179">
        <f t="shared" si="11"/>
        <v>15691</v>
      </c>
      <c r="O179">
        <f>10000000-SUMIF($B:$B,B179,$N:$N)</f>
        <v>149</v>
      </c>
      <c r="P179" s="19">
        <f>IF(COUNTIF($B$9:B179,B179)&lt;=O179,N179+1,N179)</f>
        <v>15691</v>
      </c>
      <c r="Q179" s="20">
        <f>SUMIF($B:$B,B179,$P:$P)</f>
        <v>10000000</v>
      </c>
      <c r="R179">
        <f t="shared" si="12"/>
        <v>235.36795857523944</v>
      </c>
    </row>
    <row r="180" spans="1:18" ht="23.25" x14ac:dyDescent="0.2">
      <c r="A180" s="15" ph="1">
        <v>21300181</v>
      </c>
      <c r="B180" s="17" t="s">
        <v>1612</v>
      </c>
      <c r="C180" s="15" t="s" ph="1">
        <v>1827</v>
      </c>
      <c r="D180" s="15">
        <v>20000</v>
      </c>
      <c r="E180" s="15" ph="1">
        <v>300</v>
      </c>
      <c r="F180" s="15" t="s" ph="1">
        <v>1671</v>
      </c>
      <c r="G180" s="15" t="str">
        <f t="shared" si="13"/>
        <v>정지룡 계약서</v>
      </c>
      <c r="H180" s="15">
        <v>5</v>
      </c>
      <c r="I180" s="15">
        <v>10</v>
      </c>
      <c r="J180" s="15">
        <f t="shared" si="14"/>
        <v>15691</v>
      </c>
      <c r="K180" s="15">
        <f t="shared" si="10"/>
        <v>150000</v>
      </c>
      <c r="L180">
        <f>SUMIF($B:$B,B180,$K:$K)/K180</f>
        <v>1660</v>
      </c>
      <c r="M180">
        <f>L180/SUMIF($B:$B,B180,$L:$L)</f>
        <v>1.5691197238349296E-3</v>
      </c>
      <c r="N180">
        <f t="shared" si="11"/>
        <v>15691</v>
      </c>
      <c r="O180">
        <f>10000000-SUMIF($B:$B,B180,$N:$N)</f>
        <v>149</v>
      </c>
      <c r="P180" s="19">
        <f>IF(COUNTIF($B$9:B180,B180)&lt;=O180,N180+1,N180)</f>
        <v>15691</v>
      </c>
      <c r="Q180" s="20">
        <f>SUMIF($B:$B,B180,$P:$P)</f>
        <v>10000000</v>
      </c>
      <c r="R180">
        <f t="shared" si="12"/>
        <v>235.36795857523944</v>
      </c>
    </row>
    <row r="181" spans="1:18" ht="23.25" x14ac:dyDescent="0.2">
      <c r="A181" s="15" ph="1">
        <v>21300195</v>
      </c>
      <c r="B181" s="17" t="s">
        <v>1612</v>
      </c>
      <c r="C181" s="15" t="s" ph="1">
        <v>1828</v>
      </c>
      <c r="D181" s="15">
        <v>20000</v>
      </c>
      <c r="E181" s="15" ph="1">
        <v>300</v>
      </c>
      <c r="F181" s="15" t="s" ph="1">
        <v>1671</v>
      </c>
      <c r="G181" s="15" t="str">
        <f t="shared" si="13"/>
        <v>디오구 드세케이라 계약서</v>
      </c>
      <c r="H181" s="15">
        <v>5</v>
      </c>
      <c r="I181" s="15">
        <v>10</v>
      </c>
      <c r="J181" s="15">
        <f t="shared" si="14"/>
        <v>15691</v>
      </c>
      <c r="K181" s="15">
        <f t="shared" si="10"/>
        <v>150000</v>
      </c>
      <c r="L181">
        <f>SUMIF($B:$B,B181,$K:$K)/K181</f>
        <v>1660</v>
      </c>
      <c r="M181">
        <f>L181/SUMIF($B:$B,B181,$L:$L)</f>
        <v>1.5691197238349296E-3</v>
      </c>
      <c r="N181">
        <f t="shared" si="11"/>
        <v>15691</v>
      </c>
      <c r="O181">
        <f>10000000-SUMIF($B:$B,B181,$N:$N)</f>
        <v>149</v>
      </c>
      <c r="P181" s="19">
        <f>IF(COUNTIF($B$9:B181,B181)&lt;=O181,N181+1,N181)</f>
        <v>15691</v>
      </c>
      <c r="Q181" s="20">
        <f>SUMIF($B:$B,B181,$P:$P)</f>
        <v>10000000</v>
      </c>
      <c r="R181">
        <f t="shared" si="12"/>
        <v>235.36795857523944</v>
      </c>
    </row>
    <row r="182" spans="1:18" ht="23.25" x14ac:dyDescent="0.2">
      <c r="A182" s="15" ph="1">
        <v>21300207</v>
      </c>
      <c r="B182" s="17" t="s">
        <v>1612</v>
      </c>
      <c r="C182" s="15" t="s" ph="1">
        <v>1829</v>
      </c>
      <c r="D182" s="15">
        <v>20000</v>
      </c>
      <c r="E182" s="15" ph="1">
        <v>300</v>
      </c>
      <c r="F182" s="15" t="s" ph="1">
        <v>1671</v>
      </c>
      <c r="G182" s="15" t="str">
        <f t="shared" si="13"/>
        <v>페르난데스 데엔시소 계약서</v>
      </c>
      <c r="H182" s="15">
        <v>5</v>
      </c>
      <c r="I182" s="15">
        <v>10</v>
      </c>
      <c r="J182" s="15">
        <f t="shared" si="14"/>
        <v>15691</v>
      </c>
      <c r="K182" s="15">
        <f t="shared" si="10"/>
        <v>150000</v>
      </c>
      <c r="L182">
        <f>SUMIF($B:$B,B182,$K:$K)/K182</f>
        <v>1660</v>
      </c>
      <c r="M182">
        <f>L182/SUMIF($B:$B,B182,$L:$L)</f>
        <v>1.5691197238349296E-3</v>
      </c>
      <c r="N182">
        <f t="shared" si="11"/>
        <v>15691</v>
      </c>
      <c r="O182">
        <f>10000000-SUMIF($B:$B,B182,$N:$N)</f>
        <v>149</v>
      </c>
      <c r="P182" s="19">
        <f>IF(COUNTIF($B$9:B182,B182)&lt;=O182,N182+1,N182)</f>
        <v>15691</v>
      </c>
      <c r="Q182" s="20">
        <f>SUMIF($B:$B,B182,$P:$P)</f>
        <v>10000000</v>
      </c>
      <c r="R182">
        <f t="shared" si="12"/>
        <v>235.36795857523944</v>
      </c>
    </row>
    <row r="183" spans="1:18" ht="23.25" x14ac:dyDescent="0.2">
      <c r="A183" s="15" ph="1">
        <v>21300209</v>
      </c>
      <c r="B183" s="17" t="s">
        <v>1612</v>
      </c>
      <c r="C183" s="15" t="s" ph="1">
        <v>1830</v>
      </c>
      <c r="D183" s="15">
        <v>20000</v>
      </c>
      <c r="E183" s="15" ph="1">
        <v>300</v>
      </c>
      <c r="F183" s="15" t="s" ph="1">
        <v>1671</v>
      </c>
      <c r="G183" s="15" t="str">
        <f t="shared" si="13"/>
        <v>로푸 드알베르가리아 계약서</v>
      </c>
      <c r="H183" s="15">
        <v>5</v>
      </c>
      <c r="I183" s="15">
        <v>10</v>
      </c>
      <c r="J183" s="15">
        <f t="shared" si="14"/>
        <v>15691</v>
      </c>
      <c r="K183" s="15">
        <f t="shared" si="10"/>
        <v>150000</v>
      </c>
      <c r="L183">
        <f>SUMIF($B:$B,B183,$K:$K)/K183</f>
        <v>1660</v>
      </c>
      <c r="M183">
        <f>L183/SUMIF($B:$B,B183,$L:$L)</f>
        <v>1.5691197238349296E-3</v>
      </c>
      <c r="N183">
        <f t="shared" si="11"/>
        <v>15691</v>
      </c>
      <c r="O183">
        <f>10000000-SUMIF($B:$B,B183,$N:$N)</f>
        <v>149</v>
      </c>
      <c r="P183" s="19">
        <f>IF(COUNTIF($B$9:B183,B183)&lt;=O183,N183+1,N183)</f>
        <v>15691</v>
      </c>
      <c r="Q183" s="20">
        <f>SUMIF($B:$B,B183,$P:$P)</f>
        <v>10000000</v>
      </c>
      <c r="R183">
        <f t="shared" si="12"/>
        <v>235.36795857523944</v>
      </c>
    </row>
    <row r="184" spans="1:18" ht="23.25" x14ac:dyDescent="0.2">
      <c r="A184" s="15" ph="1">
        <v>21300211</v>
      </c>
      <c r="B184" s="17" t="s">
        <v>1612</v>
      </c>
      <c r="C184" s="15" t="s" ph="1">
        <v>1831</v>
      </c>
      <c r="D184" s="15">
        <v>20000</v>
      </c>
      <c r="E184" s="15" ph="1">
        <v>300</v>
      </c>
      <c r="F184" s="15" t="s" ph="1">
        <v>1671</v>
      </c>
      <c r="G184" s="15" t="str">
        <f t="shared" si="13"/>
        <v>우즈 로저스 계약서</v>
      </c>
      <c r="H184" s="15">
        <v>5</v>
      </c>
      <c r="I184" s="15">
        <v>10</v>
      </c>
      <c r="J184" s="15">
        <f t="shared" si="14"/>
        <v>15691</v>
      </c>
      <c r="K184" s="15">
        <f t="shared" si="10"/>
        <v>150000</v>
      </c>
      <c r="L184">
        <f>SUMIF($B:$B,B184,$K:$K)/K184</f>
        <v>1660</v>
      </c>
      <c r="M184">
        <f>L184/SUMIF($B:$B,B184,$L:$L)</f>
        <v>1.5691197238349296E-3</v>
      </c>
      <c r="N184">
        <f t="shared" si="11"/>
        <v>15691</v>
      </c>
      <c r="O184">
        <f>10000000-SUMIF($B:$B,B184,$N:$N)</f>
        <v>149</v>
      </c>
      <c r="P184" s="19">
        <f>IF(COUNTIF($B$9:B184,B184)&lt;=O184,N184+1,N184)</f>
        <v>15691</v>
      </c>
      <c r="Q184" s="20">
        <f>SUMIF($B:$B,B184,$P:$P)</f>
        <v>10000000</v>
      </c>
      <c r="R184">
        <f t="shared" si="12"/>
        <v>235.36795857523944</v>
      </c>
    </row>
    <row r="185" spans="1:18" ht="23.25" x14ac:dyDescent="0.2">
      <c r="A185" s="15" ph="1">
        <v>21300216</v>
      </c>
      <c r="B185" s="17" t="s">
        <v>1612</v>
      </c>
      <c r="C185" s="15" t="s" ph="1">
        <v>1832</v>
      </c>
      <c r="D185" s="15">
        <v>20000</v>
      </c>
      <c r="E185" s="15" ph="1">
        <v>300</v>
      </c>
      <c r="F185" s="15" t="s" ph="1">
        <v>1671</v>
      </c>
      <c r="G185" s="15" t="str">
        <f t="shared" si="13"/>
        <v>윌리엄 윈터 계약서</v>
      </c>
      <c r="H185" s="15">
        <v>5</v>
      </c>
      <c r="I185" s="15">
        <v>10</v>
      </c>
      <c r="J185" s="15">
        <f t="shared" si="14"/>
        <v>15691</v>
      </c>
      <c r="K185" s="15">
        <f t="shared" si="10"/>
        <v>150000</v>
      </c>
      <c r="L185">
        <f>SUMIF($B:$B,B185,$K:$K)/K185</f>
        <v>1660</v>
      </c>
      <c r="M185">
        <f>L185/SUMIF($B:$B,B185,$L:$L)</f>
        <v>1.5691197238349296E-3</v>
      </c>
      <c r="N185">
        <f t="shared" si="11"/>
        <v>15691</v>
      </c>
      <c r="O185">
        <f>10000000-SUMIF($B:$B,B185,$N:$N)</f>
        <v>149</v>
      </c>
      <c r="P185" s="19">
        <f>IF(COUNTIF($B$9:B185,B185)&lt;=O185,N185+1,N185)</f>
        <v>15691</v>
      </c>
      <c r="Q185" s="20">
        <f>SUMIF($B:$B,B185,$P:$P)</f>
        <v>10000000</v>
      </c>
      <c r="R185">
        <f t="shared" si="12"/>
        <v>235.36795857523944</v>
      </c>
    </row>
    <row r="186" spans="1:18" ht="23.25" x14ac:dyDescent="0.2">
      <c r="A186" s="15" ph="1">
        <v>21300221</v>
      </c>
      <c r="B186" s="17" t="s">
        <v>1612</v>
      </c>
      <c r="C186" s="15" t="s" ph="1">
        <v>1833</v>
      </c>
      <c r="D186" s="15">
        <v>20000</v>
      </c>
      <c r="E186" s="15" ph="1">
        <v>300</v>
      </c>
      <c r="F186" s="15" t="s" ph="1">
        <v>1671</v>
      </c>
      <c r="G186" s="15" t="str">
        <f t="shared" si="13"/>
        <v>니콜라우스 페데르만 계약서</v>
      </c>
      <c r="H186" s="15">
        <v>5</v>
      </c>
      <c r="I186" s="15">
        <v>10</v>
      </c>
      <c r="J186" s="15">
        <f t="shared" si="14"/>
        <v>15691</v>
      </c>
      <c r="K186" s="15">
        <f t="shared" si="10"/>
        <v>150000</v>
      </c>
      <c r="L186">
        <f>SUMIF($B:$B,B186,$K:$K)/K186</f>
        <v>1660</v>
      </c>
      <c r="M186">
        <f>L186/SUMIF($B:$B,B186,$L:$L)</f>
        <v>1.5691197238349296E-3</v>
      </c>
      <c r="N186">
        <f t="shared" si="11"/>
        <v>15691</v>
      </c>
      <c r="O186">
        <f>10000000-SUMIF($B:$B,B186,$N:$N)</f>
        <v>149</v>
      </c>
      <c r="P186" s="19">
        <f>IF(COUNTIF($B$9:B186,B186)&lt;=O186,N186+1,N186)</f>
        <v>15691</v>
      </c>
      <c r="Q186" s="20">
        <f>SUMIF($B:$B,B186,$P:$P)</f>
        <v>10000000</v>
      </c>
      <c r="R186">
        <f t="shared" si="12"/>
        <v>235.36795857523944</v>
      </c>
    </row>
    <row r="187" spans="1:18" ht="23.25" x14ac:dyDescent="0.2">
      <c r="A187" s="15" ph="1">
        <v>21300223</v>
      </c>
      <c r="B187" s="17" t="s">
        <v>1612</v>
      </c>
      <c r="C187" s="15" t="s" ph="1">
        <v>1834</v>
      </c>
      <c r="D187" s="15">
        <v>20000</v>
      </c>
      <c r="E187" s="15" ph="1">
        <v>300</v>
      </c>
      <c r="F187" s="15" t="s" ph="1">
        <v>1671</v>
      </c>
      <c r="G187" s="15" t="str">
        <f t="shared" si="13"/>
        <v>요하네스 구텐베르크 계약서</v>
      </c>
      <c r="H187" s="15">
        <v>5</v>
      </c>
      <c r="I187" s="15">
        <v>10</v>
      </c>
      <c r="J187" s="15">
        <f t="shared" si="14"/>
        <v>15691</v>
      </c>
      <c r="K187" s="15">
        <f t="shared" si="10"/>
        <v>150000</v>
      </c>
      <c r="L187">
        <f>SUMIF($B:$B,B187,$K:$K)/K187</f>
        <v>1660</v>
      </c>
      <c r="M187">
        <f>L187/SUMIF($B:$B,B187,$L:$L)</f>
        <v>1.5691197238349296E-3</v>
      </c>
      <c r="N187">
        <f t="shared" si="11"/>
        <v>15691</v>
      </c>
      <c r="O187">
        <f>10000000-SUMIF($B:$B,B187,$N:$N)</f>
        <v>149</v>
      </c>
      <c r="P187" s="19">
        <f>IF(COUNTIF($B$9:B187,B187)&lt;=O187,N187+1,N187)</f>
        <v>15691</v>
      </c>
      <c r="Q187" s="20">
        <f>SUMIF($B:$B,B187,$P:$P)</f>
        <v>10000000</v>
      </c>
      <c r="R187">
        <f t="shared" si="12"/>
        <v>235.36795857523944</v>
      </c>
    </row>
    <row r="188" spans="1:18" ht="23.25" x14ac:dyDescent="0.2">
      <c r="A188" s="15" ph="1">
        <v>21300224</v>
      </c>
      <c r="B188" s="17" t="s">
        <v>1612</v>
      </c>
      <c r="C188" s="15" t="s" ph="1">
        <v>1835</v>
      </c>
      <c r="D188" s="15">
        <v>20000</v>
      </c>
      <c r="E188" s="15" ph="1">
        <v>300</v>
      </c>
      <c r="F188" s="15" t="s" ph="1">
        <v>1671</v>
      </c>
      <c r="G188" s="15" t="str">
        <f t="shared" si="13"/>
        <v>페드로 데멘도사 계약서</v>
      </c>
      <c r="H188" s="15">
        <v>5</v>
      </c>
      <c r="I188" s="15">
        <v>10</v>
      </c>
      <c r="J188" s="15">
        <f t="shared" si="14"/>
        <v>15691</v>
      </c>
      <c r="K188" s="15">
        <f t="shared" si="10"/>
        <v>150000</v>
      </c>
      <c r="L188">
        <f>SUMIF($B:$B,B188,$K:$K)/K188</f>
        <v>1660</v>
      </c>
      <c r="M188">
        <f>L188/SUMIF($B:$B,B188,$L:$L)</f>
        <v>1.5691197238349296E-3</v>
      </c>
      <c r="N188">
        <f t="shared" si="11"/>
        <v>15691</v>
      </c>
      <c r="O188">
        <f>10000000-SUMIF($B:$B,B188,$N:$N)</f>
        <v>149</v>
      </c>
      <c r="P188" s="19">
        <f>IF(COUNTIF($B$9:B188,B188)&lt;=O188,N188+1,N188)</f>
        <v>15691</v>
      </c>
      <c r="Q188" s="20">
        <f>SUMIF($B:$B,B188,$P:$P)</f>
        <v>10000000</v>
      </c>
      <c r="R188">
        <f t="shared" si="12"/>
        <v>235.36795857523944</v>
      </c>
    </row>
    <row r="189" spans="1:18" ht="23.25" x14ac:dyDescent="0.2">
      <c r="A189" s="15" ph="1">
        <v>21300226</v>
      </c>
      <c r="B189" s="17" t="s">
        <v>1612</v>
      </c>
      <c r="C189" s="15" t="s" ph="1">
        <v>1836</v>
      </c>
      <c r="D189" s="15">
        <v>20000</v>
      </c>
      <c r="E189" s="15" ph="1">
        <v>300</v>
      </c>
      <c r="F189" s="15" t="s" ph="1">
        <v>1671</v>
      </c>
      <c r="G189" s="15" t="str">
        <f t="shared" si="13"/>
        <v>알리 알 만드리 계약서</v>
      </c>
      <c r="H189" s="15">
        <v>5</v>
      </c>
      <c r="I189" s="15">
        <v>10</v>
      </c>
      <c r="J189" s="15">
        <f t="shared" si="14"/>
        <v>15691</v>
      </c>
      <c r="K189" s="15">
        <f t="shared" si="10"/>
        <v>150000</v>
      </c>
      <c r="L189">
        <f>SUMIF($B:$B,B189,$K:$K)/K189</f>
        <v>1660</v>
      </c>
      <c r="M189">
        <f>L189/SUMIF($B:$B,B189,$L:$L)</f>
        <v>1.5691197238349296E-3</v>
      </c>
      <c r="N189">
        <f t="shared" si="11"/>
        <v>15691</v>
      </c>
      <c r="O189">
        <f>10000000-SUMIF($B:$B,B189,$N:$N)</f>
        <v>149</v>
      </c>
      <c r="P189" s="19">
        <f>IF(COUNTIF($B$9:B189,B189)&lt;=O189,N189+1,N189)</f>
        <v>15691</v>
      </c>
      <c r="Q189" s="20">
        <f>SUMIF($B:$B,B189,$P:$P)</f>
        <v>10000000</v>
      </c>
      <c r="R189">
        <f t="shared" si="12"/>
        <v>235.36795857523944</v>
      </c>
    </row>
    <row r="190" spans="1:18" ht="23.25" x14ac:dyDescent="0.2">
      <c r="A190" s="15" ph="1">
        <v>21300229</v>
      </c>
      <c r="B190" s="17" t="s">
        <v>1612</v>
      </c>
      <c r="C190" s="15" t="s" ph="1">
        <v>1837</v>
      </c>
      <c r="D190" s="15">
        <v>20000</v>
      </c>
      <c r="E190" s="15" ph="1">
        <v>300</v>
      </c>
      <c r="F190" s="15" t="s" ph="1">
        <v>1671</v>
      </c>
      <c r="G190" s="15" t="str">
        <f t="shared" si="13"/>
        <v>윌리엄 셰익스피어 계약서</v>
      </c>
      <c r="H190" s="15">
        <v>5</v>
      </c>
      <c r="I190" s="15">
        <v>10</v>
      </c>
      <c r="J190" s="15">
        <f t="shared" si="14"/>
        <v>15691</v>
      </c>
      <c r="K190" s="15">
        <f t="shared" si="10"/>
        <v>150000</v>
      </c>
      <c r="L190">
        <f>SUMIF($B:$B,B190,$K:$K)/K190</f>
        <v>1660</v>
      </c>
      <c r="M190">
        <f>L190/SUMIF($B:$B,B190,$L:$L)</f>
        <v>1.5691197238349296E-3</v>
      </c>
      <c r="N190">
        <f t="shared" si="11"/>
        <v>15691</v>
      </c>
      <c r="O190">
        <f>10000000-SUMIF($B:$B,B190,$N:$N)</f>
        <v>149</v>
      </c>
      <c r="P190" s="19">
        <f>IF(COUNTIF($B$9:B190,B190)&lt;=O190,N190+1,N190)</f>
        <v>15691</v>
      </c>
      <c r="Q190" s="20">
        <f>SUMIF($B:$B,B190,$P:$P)</f>
        <v>10000000</v>
      </c>
      <c r="R190">
        <f t="shared" si="12"/>
        <v>235.36795857523944</v>
      </c>
    </row>
    <row r="191" spans="1:18" ht="23.25" x14ac:dyDescent="0.2">
      <c r="A191" s="15" ph="1">
        <v>21300240</v>
      </c>
      <c r="B191" s="17" t="s">
        <v>1612</v>
      </c>
      <c r="C191" s="15" t="s" ph="1">
        <v>1838</v>
      </c>
      <c r="D191" s="15">
        <v>20000</v>
      </c>
      <c r="E191" s="15" ph="1">
        <v>300</v>
      </c>
      <c r="F191" s="15" t="s" ph="1">
        <v>1671</v>
      </c>
      <c r="G191" s="15" t="str">
        <f t="shared" si="13"/>
        <v>마르틴 베하임 계약서</v>
      </c>
      <c r="H191" s="15">
        <v>5</v>
      </c>
      <c r="I191" s="15">
        <v>10</v>
      </c>
      <c r="J191" s="15">
        <f t="shared" si="14"/>
        <v>15691</v>
      </c>
      <c r="K191" s="15">
        <f t="shared" si="10"/>
        <v>150000</v>
      </c>
      <c r="L191">
        <f>SUMIF($B:$B,B191,$K:$K)/K191</f>
        <v>1660</v>
      </c>
      <c r="M191">
        <f>L191/SUMIF($B:$B,B191,$L:$L)</f>
        <v>1.5691197238349296E-3</v>
      </c>
      <c r="N191">
        <f t="shared" si="11"/>
        <v>15691</v>
      </c>
      <c r="O191">
        <f>10000000-SUMIF($B:$B,B191,$N:$N)</f>
        <v>149</v>
      </c>
      <c r="P191" s="19">
        <f>IF(COUNTIF($B$9:B191,B191)&lt;=O191,N191+1,N191)</f>
        <v>15691</v>
      </c>
      <c r="Q191" s="20">
        <f>SUMIF($B:$B,B191,$P:$P)</f>
        <v>10000000</v>
      </c>
      <c r="R191">
        <f t="shared" si="12"/>
        <v>235.36795857523944</v>
      </c>
    </row>
    <row r="192" spans="1:18" ht="23.25" x14ac:dyDescent="0.2">
      <c r="A192" s="15" ph="1">
        <v>21300243</v>
      </c>
      <c r="B192" s="17" t="s">
        <v>1612</v>
      </c>
      <c r="C192" s="15" t="s" ph="1">
        <v>1839</v>
      </c>
      <c r="D192" s="15">
        <v>20000</v>
      </c>
      <c r="E192" s="15" ph="1">
        <v>300</v>
      </c>
      <c r="F192" s="15" t="s" ph="1">
        <v>1671</v>
      </c>
      <c r="G192" s="15" t="str">
        <f t="shared" si="13"/>
        <v>자크 카르티에 계약서</v>
      </c>
      <c r="H192" s="15">
        <v>5</v>
      </c>
      <c r="I192" s="15">
        <v>10</v>
      </c>
      <c r="J192" s="15">
        <f t="shared" si="14"/>
        <v>15691</v>
      </c>
      <c r="K192" s="15">
        <f t="shared" si="10"/>
        <v>150000</v>
      </c>
      <c r="L192">
        <f>SUMIF($B:$B,B192,$K:$K)/K192</f>
        <v>1660</v>
      </c>
      <c r="M192">
        <f>L192/SUMIF($B:$B,B192,$L:$L)</f>
        <v>1.5691197238349296E-3</v>
      </c>
      <c r="N192">
        <f t="shared" si="11"/>
        <v>15691</v>
      </c>
      <c r="O192">
        <f>10000000-SUMIF($B:$B,B192,$N:$N)</f>
        <v>149</v>
      </c>
      <c r="P192" s="19">
        <f>IF(COUNTIF($B$9:B192,B192)&lt;=O192,N192+1,N192)</f>
        <v>15691</v>
      </c>
      <c r="Q192" s="20">
        <f>SUMIF($B:$B,B192,$P:$P)</f>
        <v>10000000</v>
      </c>
      <c r="R192">
        <f t="shared" si="12"/>
        <v>235.36795857523944</v>
      </c>
    </row>
    <row r="193" spans="1:18" ht="23.25" x14ac:dyDescent="0.2">
      <c r="A193" s="15" ph="1">
        <v>21300245</v>
      </c>
      <c r="B193" s="17" t="s">
        <v>1612</v>
      </c>
      <c r="C193" s="15" t="s" ph="1">
        <v>1840</v>
      </c>
      <c r="D193" s="15">
        <v>20000</v>
      </c>
      <c r="E193" s="15" ph="1">
        <v>300</v>
      </c>
      <c r="F193" s="15" t="s" ph="1">
        <v>1671</v>
      </c>
      <c r="G193" s="15" t="str">
        <f t="shared" si="13"/>
        <v>정운 계약서</v>
      </c>
      <c r="H193" s="15">
        <v>5</v>
      </c>
      <c r="I193" s="15">
        <v>10</v>
      </c>
      <c r="J193" s="15">
        <f t="shared" si="14"/>
        <v>15691</v>
      </c>
      <c r="K193" s="15">
        <f t="shared" si="10"/>
        <v>150000</v>
      </c>
      <c r="L193">
        <f>SUMIF($B:$B,B193,$K:$K)/K193</f>
        <v>1660</v>
      </c>
      <c r="M193">
        <f>L193/SUMIF($B:$B,B193,$L:$L)</f>
        <v>1.5691197238349296E-3</v>
      </c>
      <c r="N193">
        <f t="shared" si="11"/>
        <v>15691</v>
      </c>
      <c r="O193">
        <f>10000000-SUMIF($B:$B,B193,$N:$N)</f>
        <v>149</v>
      </c>
      <c r="P193" s="19">
        <f>IF(COUNTIF($B$9:B193,B193)&lt;=O193,N193+1,N193)</f>
        <v>15691</v>
      </c>
      <c r="Q193" s="20">
        <f>SUMIF($B:$B,B193,$P:$P)</f>
        <v>10000000</v>
      </c>
      <c r="R193">
        <f t="shared" si="12"/>
        <v>235.36795857523944</v>
      </c>
    </row>
    <row r="194" spans="1:18" ht="23.25" x14ac:dyDescent="0.2">
      <c r="A194" s="15" ph="1">
        <v>21300248</v>
      </c>
      <c r="B194" s="17" t="s">
        <v>1612</v>
      </c>
      <c r="C194" s="15" t="s" ph="1">
        <v>1841</v>
      </c>
      <c r="D194" s="15">
        <v>20000</v>
      </c>
      <c r="E194" s="15" ph="1">
        <v>300</v>
      </c>
      <c r="F194" s="15" t="s" ph="1">
        <v>1671</v>
      </c>
      <c r="G194" s="15" t="str">
        <f t="shared" si="13"/>
        <v>야콥 푸거 계약서</v>
      </c>
      <c r="H194" s="15">
        <v>5</v>
      </c>
      <c r="I194" s="15">
        <v>10</v>
      </c>
      <c r="J194" s="15">
        <f t="shared" si="14"/>
        <v>15691</v>
      </c>
      <c r="K194" s="15">
        <f t="shared" si="10"/>
        <v>150000</v>
      </c>
      <c r="L194">
        <f>SUMIF($B:$B,B194,$K:$K)/K194</f>
        <v>1660</v>
      </c>
      <c r="M194">
        <f>L194/SUMIF($B:$B,B194,$L:$L)</f>
        <v>1.5691197238349296E-3</v>
      </c>
      <c r="N194">
        <f t="shared" si="11"/>
        <v>15691</v>
      </c>
      <c r="O194">
        <f>10000000-SUMIF($B:$B,B194,$N:$N)</f>
        <v>149</v>
      </c>
      <c r="P194" s="19">
        <f>IF(COUNTIF($B$9:B194,B194)&lt;=O194,N194+1,N194)</f>
        <v>15691</v>
      </c>
      <c r="Q194" s="20">
        <f>SUMIF($B:$B,B194,$P:$P)</f>
        <v>10000000</v>
      </c>
      <c r="R194">
        <f t="shared" si="12"/>
        <v>235.36795857523944</v>
      </c>
    </row>
    <row r="195" spans="1:18" ht="23.25" x14ac:dyDescent="0.2">
      <c r="A195" s="15" ph="1">
        <v>21300255</v>
      </c>
      <c r="B195" s="17" t="s">
        <v>1612</v>
      </c>
      <c r="C195" s="15" t="s" ph="1">
        <v>1842</v>
      </c>
      <c r="D195" s="15">
        <v>20000</v>
      </c>
      <c r="E195" s="15" ph="1">
        <v>300</v>
      </c>
      <c r="F195" s="15" t="s" ph="1">
        <v>1671</v>
      </c>
      <c r="G195" s="15" t="str">
        <f t="shared" si="13"/>
        <v>이억기 계약서</v>
      </c>
      <c r="H195" s="15">
        <v>5</v>
      </c>
      <c r="I195" s="15">
        <v>10</v>
      </c>
      <c r="J195" s="15">
        <f t="shared" si="14"/>
        <v>15691</v>
      </c>
      <c r="K195" s="15">
        <f t="shared" si="10"/>
        <v>150000</v>
      </c>
      <c r="L195">
        <f>SUMIF($B:$B,B195,$K:$K)/K195</f>
        <v>1660</v>
      </c>
      <c r="M195">
        <f>L195/SUMIF($B:$B,B195,$L:$L)</f>
        <v>1.5691197238349296E-3</v>
      </c>
      <c r="N195">
        <f t="shared" si="11"/>
        <v>15691</v>
      </c>
      <c r="O195">
        <f>10000000-SUMIF($B:$B,B195,$N:$N)</f>
        <v>149</v>
      </c>
      <c r="P195" s="19">
        <f>IF(COUNTIF($B$9:B195,B195)&lt;=O195,N195+1,N195)</f>
        <v>15691</v>
      </c>
      <c r="Q195" s="20">
        <f>SUMIF($B:$B,B195,$P:$P)</f>
        <v>10000000</v>
      </c>
      <c r="R195">
        <f t="shared" si="12"/>
        <v>235.36795857523944</v>
      </c>
    </row>
    <row r="196" spans="1:18" ht="23.25" x14ac:dyDescent="0.2">
      <c r="A196" s="15" ph="1">
        <v>21300268</v>
      </c>
      <c r="B196" s="17" t="s">
        <v>1612</v>
      </c>
      <c r="C196" s="15" t="s" ph="1">
        <v>1843</v>
      </c>
      <c r="D196" s="15">
        <v>20000</v>
      </c>
      <c r="E196" s="15" ph="1">
        <v>300</v>
      </c>
      <c r="F196" s="15" t="s" ph="1">
        <v>1671</v>
      </c>
      <c r="G196" s="15" t="str">
        <f t="shared" si="13"/>
        <v>알렉산더 셀커크 계약서</v>
      </c>
      <c r="H196" s="15">
        <v>5</v>
      </c>
      <c r="I196" s="15">
        <v>10</v>
      </c>
      <c r="J196" s="15">
        <f t="shared" si="14"/>
        <v>15691</v>
      </c>
      <c r="K196" s="15">
        <f t="shared" si="10"/>
        <v>150000</v>
      </c>
      <c r="L196">
        <f>SUMIF($B:$B,B196,$K:$K)/K196</f>
        <v>1660</v>
      </c>
      <c r="M196">
        <f>L196/SUMIF($B:$B,B196,$L:$L)</f>
        <v>1.5691197238349296E-3</v>
      </c>
      <c r="N196">
        <f t="shared" si="11"/>
        <v>15691</v>
      </c>
      <c r="O196">
        <f>10000000-SUMIF($B:$B,B196,$N:$N)</f>
        <v>149</v>
      </c>
      <c r="P196" s="19">
        <f>IF(COUNTIF($B$9:B196,B196)&lt;=O196,N196+1,N196)</f>
        <v>15691</v>
      </c>
      <c r="Q196" s="20">
        <f>SUMIF($B:$B,B196,$P:$P)</f>
        <v>10000000</v>
      </c>
      <c r="R196">
        <f t="shared" si="12"/>
        <v>235.36795857523944</v>
      </c>
    </row>
    <row r="197" spans="1:18" ht="23.25" x14ac:dyDescent="0.2">
      <c r="A197" s="15" ph="1">
        <v>21300271</v>
      </c>
      <c r="B197" s="17" t="s">
        <v>1612</v>
      </c>
      <c r="C197" s="15" t="s" ph="1">
        <v>1844</v>
      </c>
      <c r="D197" s="15">
        <v>20000</v>
      </c>
      <c r="E197" s="15" ph="1">
        <v>300</v>
      </c>
      <c r="F197" s="15" t="s" ph="1">
        <v>1671</v>
      </c>
      <c r="G197" s="15" t="str">
        <f t="shared" si="13"/>
        <v>미겔 데세르반테스 계약서</v>
      </c>
      <c r="H197" s="15">
        <v>5</v>
      </c>
      <c r="I197" s="15">
        <v>10</v>
      </c>
      <c r="J197" s="15">
        <f t="shared" si="14"/>
        <v>15691</v>
      </c>
      <c r="K197" s="15">
        <f t="shared" si="10"/>
        <v>150000</v>
      </c>
      <c r="L197">
        <f>SUMIF($B:$B,B197,$K:$K)/K197</f>
        <v>1660</v>
      </c>
      <c r="M197">
        <f>L197/SUMIF($B:$B,B197,$L:$L)</f>
        <v>1.5691197238349296E-3</v>
      </c>
      <c r="N197">
        <f t="shared" si="11"/>
        <v>15691</v>
      </c>
      <c r="O197">
        <f>10000000-SUMIF($B:$B,B197,$N:$N)</f>
        <v>149</v>
      </c>
      <c r="P197" s="19">
        <f>IF(COUNTIF($B$9:B197,B197)&lt;=O197,N197+1,N197)</f>
        <v>15691</v>
      </c>
      <c r="Q197" s="20">
        <f>SUMIF($B:$B,B197,$P:$P)</f>
        <v>10000000</v>
      </c>
      <c r="R197">
        <f t="shared" si="12"/>
        <v>235.36795857523944</v>
      </c>
    </row>
    <row r="198" spans="1:18" ht="23.25" x14ac:dyDescent="0.2">
      <c r="A198" s="15" ph="1">
        <v>21300277</v>
      </c>
      <c r="B198" s="17" t="s">
        <v>1612</v>
      </c>
      <c r="C198" s="15" t="s" ph="1">
        <v>1845</v>
      </c>
      <c r="D198" s="15">
        <v>20000</v>
      </c>
      <c r="E198" s="15" ph="1">
        <v>300</v>
      </c>
      <c r="F198" s="15" t="s" ph="1">
        <v>1671</v>
      </c>
      <c r="G198" s="15" t="str">
        <f t="shared" si="13"/>
        <v>진조의 계약서</v>
      </c>
      <c r="H198" s="15">
        <v>5</v>
      </c>
      <c r="I198" s="15">
        <v>10</v>
      </c>
      <c r="J198" s="15">
        <f t="shared" si="14"/>
        <v>15691</v>
      </c>
      <c r="K198" s="15">
        <f t="shared" si="10"/>
        <v>150000</v>
      </c>
      <c r="L198">
        <f>SUMIF($B:$B,B198,$K:$K)/K198</f>
        <v>1660</v>
      </c>
      <c r="M198">
        <f>L198/SUMIF($B:$B,B198,$L:$L)</f>
        <v>1.5691197238349296E-3</v>
      </c>
      <c r="N198">
        <f t="shared" si="11"/>
        <v>15691</v>
      </c>
      <c r="O198">
        <f>10000000-SUMIF($B:$B,B198,$N:$N)</f>
        <v>149</v>
      </c>
      <c r="P198" s="19">
        <f>IF(COUNTIF($B$9:B198,B198)&lt;=O198,N198+1,N198)</f>
        <v>15691</v>
      </c>
      <c r="Q198" s="20">
        <f>SUMIF($B:$B,B198,$P:$P)</f>
        <v>10000000</v>
      </c>
      <c r="R198">
        <f t="shared" si="12"/>
        <v>235.36795857523944</v>
      </c>
    </row>
    <row r="199" spans="1:18" ht="23.25" x14ac:dyDescent="0.2">
      <c r="A199" s="15" ph="1">
        <v>21300279</v>
      </c>
      <c r="B199" s="17" t="s">
        <v>1612</v>
      </c>
      <c r="C199" s="15" t="s" ph="1">
        <v>1846</v>
      </c>
      <c r="D199" s="15">
        <v>20000</v>
      </c>
      <c r="E199" s="15" ph="1">
        <v>300</v>
      </c>
      <c r="F199" s="15" t="s" ph="1">
        <v>1671</v>
      </c>
      <c r="G199" s="15" t="str">
        <f t="shared" si="13"/>
        <v>카시드 계약서</v>
      </c>
      <c r="H199" s="15">
        <v>5</v>
      </c>
      <c r="I199" s="15">
        <v>10</v>
      </c>
      <c r="J199" s="15">
        <f t="shared" si="14"/>
        <v>15691</v>
      </c>
      <c r="K199" s="15">
        <f t="shared" si="10"/>
        <v>150000</v>
      </c>
      <c r="L199">
        <f>SUMIF($B:$B,B199,$K:$K)/K199</f>
        <v>1660</v>
      </c>
      <c r="M199">
        <f>L199/SUMIF($B:$B,B199,$L:$L)</f>
        <v>1.5691197238349296E-3</v>
      </c>
      <c r="N199">
        <f t="shared" si="11"/>
        <v>15691</v>
      </c>
      <c r="O199">
        <f>10000000-SUMIF($B:$B,B199,$N:$N)</f>
        <v>149</v>
      </c>
      <c r="P199" s="19">
        <f>IF(COUNTIF($B$9:B199,B199)&lt;=O199,N199+1,N199)</f>
        <v>15691</v>
      </c>
      <c r="Q199" s="20">
        <f>SUMIF($B:$B,B199,$P:$P)</f>
        <v>10000000</v>
      </c>
      <c r="R199">
        <f t="shared" si="12"/>
        <v>235.36795857523944</v>
      </c>
    </row>
    <row r="200" spans="1:18" ht="23.25" x14ac:dyDescent="0.2">
      <c r="A200" s="15" ph="1">
        <v>21300280</v>
      </c>
      <c r="B200" s="17" t="s">
        <v>1612</v>
      </c>
      <c r="C200" s="15" t="s" ph="1">
        <v>1847</v>
      </c>
      <c r="D200" s="15">
        <v>20000</v>
      </c>
      <c r="E200" s="15" ph="1">
        <v>300</v>
      </c>
      <c r="F200" s="15" t="s" ph="1">
        <v>1671</v>
      </c>
      <c r="G200" s="15" t="str">
        <f t="shared" si="13"/>
        <v>비라 알라케스바라 계약서</v>
      </c>
      <c r="H200" s="15">
        <v>5</v>
      </c>
      <c r="I200" s="15">
        <v>10</v>
      </c>
      <c r="J200" s="15">
        <f t="shared" si="14"/>
        <v>15691</v>
      </c>
      <c r="K200" s="15">
        <f t="shared" si="10"/>
        <v>150000</v>
      </c>
      <c r="L200">
        <f>SUMIF($B:$B,B200,$K:$K)/K200</f>
        <v>1660</v>
      </c>
      <c r="M200">
        <f>L200/SUMIF($B:$B,B200,$L:$L)</f>
        <v>1.5691197238349296E-3</v>
      </c>
      <c r="N200">
        <f t="shared" si="11"/>
        <v>15691</v>
      </c>
      <c r="O200">
        <f>10000000-SUMIF($B:$B,B200,$N:$N)</f>
        <v>149</v>
      </c>
      <c r="P200" s="19">
        <f>IF(COUNTIF($B$9:B200,B200)&lt;=O200,N200+1,N200)</f>
        <v>15691</v>
      </c>
      <c r="Q200" s="20">
        <f>SUMIF($B:$B,B200,$P:$P)</f>
        <v>10000000</v>
      </c>
      <c r="R200">
        <f t="shared" si="12"/>
        <v>235.36795857523944</v>
      </c>
    </row>
    <row r="201" spans="1:18" ht="23.25" x14ac:dyDescent="0.2">
      <c r="A201" s="15" ph="1">
        <v>21300284</v>
      </c>
      <c r="B201" s="17" t="s">
        <v>1612</v>
      </c>
      <c r="C201" s="15" t="s" ph="1">
        <v>1848</v>
      </c>
      <c r="D201" s="15">
        <v>20000</v>
      </c>
      <c r="E201" s="15" ph="1">
        <v>300</v>
      </c>
      <c r="F201" s="15" t="s" ph="1">
        <v>1671</v>
      </c>
      <c r="G201" s="15" t="str">
        <f t="shared" si="13"/>
        <v>알탄 칸 계약서</v>
      </c>
      <c r="H201" s="15">
        <v>5</v>
      </c>
      <c r="I201" s="15">
        <v>10</v>
      </c>
      <c r="J201" s="15">
        <f t="shared" si="14"/>
        <v>15691</v>
      </c>
      <c r="K201" s="15">
        <f t="shared" si="10"/>
        <v>150000</v>
      </c>
      <c r="L201">
        <f>SUMIF($B:$B,B201,$K:$K)/K201</f>
        <v>1660</v>
      </c>
      <c r="M201">
        <f>L201/SUMIF($B:$B,B201,$L:$L)</f>
        <v>1.5691197238349296E-3</v>
      </c>
      <c r="N201">
        <f t="shared" si="11"/>
        <v>15691</v>
      </c>
      <c r="O201">
        <f>10000000-SUMIF($B:$B,B201,$N:$N)</f>
        <v>149</v>
      </c>
      <c r="P201" s="19">
        <f>IF(COUNTIF($B$9:B201,B201)&lt;=O201,N201+1,N201)</f>
        <v>15691</v>
      </c>
      <c r="Q201" s="20">
        <f>SUMIF($B:$B,B201,$P:$P)</f>
        <v>10000000</v>
      </c>
      <c r="R201">
        <f t="shared" si="12"/>
        <v>235.36795857523944</v>
      </c>
    </row>
    <row r="202" spans="1:18" ht="23.25" x14ac:dyDescent="0.2">
      <c r="A202" s="15" ph="1">
        <v>21300292</v>
      </c>
      <c r="B202" s="17" t="s">
        <v>1612</v>
      </c>
      <c r="C202" s="15" t="s" ph="1">
        <v>1849</v>
      </c>
      <c r="D202" s="15">
        <v>20000</v>
      </c>
      <c r="E202" s="15" ph="1">
        <v>300</v>
      </c>
      <c r="F202" s="15" t="s" ph="1">
        <v>1671</v>
      </c>
      <c r="G202" s="15" t="str">
        <f t="shared" si="13"/>
        <v>바실리 골리친 계약서</v>
      </c>
      <c r="H202" s="15">
        <v>5</v>
      </c>
      <c r="I202" s="15">
        <v>10</v>
      </c>
      <c r="J202" s="15">
        <f t="shared" si="14"/>
        <v>15691</v>
      </c>
      <c r="K202" s="15">
        <f t="shared" ref="K202:K310" si="15">AVERAGE(H202:I202)*D202</f>
        <v>150000</v>
      </c>
      <c r="L202">
        <f>SUMIF($B:$B,B202,$K:$K)/K202</f>
        <v>1660</v>
      </c>
      <c r="M202">
        <f>L202/SUMIF($B:$B,B202,$L:$L)</f>
        <v>1.5691197238349296E-3</v>
      </c>
      <c r="N202">
        <f t="shared" ref="N202:N310" si="16">ROUNDDOWN(10000000*M202,0)</f>
        <v>15691</v>
      </c>
      <c r="O202">
        <f>10000000-SUMIF($B:$B,B202,$N:$N)</f>
        <v>149</v>
      </c>
      <c r="P202" s="19">
        <f>IF(COUNTIF($B$9:B202,B202)&lt;=O202,N202+1,N202)</f>
        <v>15691</v>
      </c>
      <c r="Q202" s="20">
        <f>SUMIF($B:$B,B202,$P:$P)</f>
        <v>10000000</v>
      </c>
      <c r="R202">
        <f t="shared" ref="R202:R310" si="17">M202*K202</f>
        <v>235.36795857523944</v>
      </c>
    </row>
    <row r="203" spans="1:18" ht="23.25" x14ac:dyDescent="0.2">
      <c r="A203" s="15" ph="1">
        <v>21300189</v>
      </c>
      <c r="B203" s="17" t="s">
        <v>1612</v>
      </c>
      <c r="C203" s="15" t="s" ph="1">
        <v>1850</v>
      </c>
      <c r="D203" s="15">
        <v>20000</v>
      </c>
      <c r="E203" s="15" ph="1">
        <v>300</v>
      </c>
      <c r="F203" s="15" t="s" ph="1">
        <v>1671</v>
      </c>
      <c r="G203" s="15" t="str">
        <f t="shared" ref="G203:G310" si="18">C203&amp;" 계약서"</f>
        <v>와키자카 야스하루 계약서</v>
      </c>
      <c r="H203" s="15">
        <v>5</v>
      </c>
      <c r="I203" s="15">
        <v>10</v>
      </c>
      <c r="J203" s="15">
        <f t="shared" ref="J203:J310" si="19">P203</f>
        <v>15691</v>
      </c>
      <c r="K203" s="15">
        <f t="shared" si="15"/>
        <v>150000</v>
      </c>
      <c r="L203">
        <f>SUMIF($B:$B,B203,$K:$K)/K203</f>
        <v>1660</v>
      </c>
      <c r="M203">
        <f>L203/SUMIF($B:$B,B203,$L:$L)</f>
        <v>1.5691197238349296E-3</v>
      </c>
      <c r="N203">
        <f t="shared" si="16"/>
        <v>15691</v>
      </c>
      <c r="O203">
        <f>10000000-SUMIF($B:$B,B203,$N:$N)</f>
        <v>149</v>
      </c>
      <c r="P203" s="19">
        <f>IF(COUNTIF($B$9:B203,B203)&lt;=O203,N203+1,N203)</f>
        <v>15691</v>
      </c>
      <c r="Q203" s="20">
        <f>SUMIF($B:$B,B203,$P:$P)</f>
        <v>10000000</v>
      </c>
      <c r="R203">
        <f t="shared" si="17"/>
        <v>235.36795857523944</v>
      </c>
    </row>
    <row r="204" spans="1:18" ht="23.25" x14ac:dyDescent="0.2">
      <c r="A204" s="15" ph="1">
        <v>21300201</v>
      </c>
      <c r="B204" s="17" t="s">
        <v>1612</v>
      </c>
      <c r="C204" s="15" t="s" ph="1">
        <v>1851</v>
      </c>
      <c r="D204" s="15">
        <v>20000</v>
      </c>
      <c r="E204" s="15" ph="1">
        <v>300</v>
      </c>
      <c r="F204" s="15" t="s" ph="1">
        <v>1671</v>
      </c>
      <c r="G204" s="15" t="str">
        <f t="shared" si="18"/>
        <v>시마즈 요시히로 계약서</v>
      </c>
      <c r="H204" s="15">
        <v>5</v>
      </c>
      <c r="I204" s="15">
        <v>10</v>
      </c>
      <c r="J204" s="15">
        <f t="shared" si="19"/>
        <v>15691</v>
      </c>
      <c r="K204" s="15">
        <f t="shared" si="15"/>
        <v>150000</v>
      </c>
      <c r="L204">
        <f>SUMIF($B:$B,B204,$K:$K)/K204</f>
        <v>1660</v>
      </c>
      <c r="M204">
        <f>L204/SUMIF($B:$B,B204,$L:$L)</f>
        <v>1.5691197238349296E-3</v>
      </c>
      <c r="N204">
        <f t="shared" si="16"/>
        <v>15691</v>
      </c>
      <c r="O204">
        <f>10000000-SUMIF($B:$B,B204,$N:$N)</f>
        <v>149</v>
      </c>
      <c r="P204" s="19">
        <f>IF(COUNTIF($B$9:B204,B204)&lt;=O204,N204+1,N204)</f>
        <v>15691</v>
      </c>
      <c r="Q204" s="20">
        <f>SUMIF($B:$B,B204,$P:$P)</f>
        <v>10000000</v>
      </c>
      <c r="R204">
        <f t="shared" si="17"/>
        <v>235.36795857523944</v>
      </c>
    </row>
    <row r="205" spans="1:18" ht="23.25" x14ac:dyDescent="0.2">
      <c r="A205" s="15" ph="1">
        <v>21300281</v>
      </c>
      <c r="B205" s="17" t="s">
        <v>1612</v>
      </c>
      <c r="C205" s="15" t="s" ph="1">
        <v>1852</v>
      </c>
      <c r="D205" s="15">
        <v>20000</v>
      </c>
      <c r="E205" s="15" ph="1">
        <v>300</v>
      </c>
      <c r="F205" s="15" t="s" ph="1">
        <v>1671</v>
      </c>
      <c r="G205" s="15" t="str">
        <f t="shared" si="18"/>
        <v>리차드 빙엄 계약서</v>
      </c>
      <c r="H205" s="15">
        <v>5</v>
      </c>
      <c r="I205" s="15">
        <v>10</v>
      </c>
      <c r="J205" s="15">
        <f t="shared" si="19"/>
        <v>15691</v>
      </c>
      <c r="K205" s="15">
        <f t="shared" si="15"/>
        <v>150000</v>
      </c>
      <c r="L205">
        <f>SUMIF($B:$B,B205,$K:$K)/K205</f>
        <v>1660</v>
      </c>
      <c r="M205">
        <f>L205/SUMIF($B:$B,B205,$L:$L)</f>
        <v>1.5691197238349296E-3</v>
      </c>
      <c r="N205">
        <f t="shared" si="16"/>
        <v>15691</v>
      </c>
      <c r="O205">
        <f>10000000-SUMIF($B:$B,B205,$N:$N)</f>
        <v>149</v>
      </c>
      <c r="P205" s="19">
        <f>IF(COUNTIF($B$9:B205,B205)&lt;=O205,N205+1,N205)</f>
        <v>15691</v>
      </c>
      <c r="Q205" s="20">
        <f>SUMIF($B:$B,B205,$P:$P)</f>
        <v>10000000</v>
      </c>
      <c r="R205">
        <f t="shared" si="17"/>
        <v>235.36795857523944</v>
      </c>
    </row>
    <row r="206" spans="1:18" ht="23.25" x14ac:dyDescent="0.2">
      <c r="A206" s="15" ph="1">
        <v>21300061</v>
      </c>
      <c r="B206" s="17" t="s">
        <v>1612</v>
      </c>
      <c r="C206" s="15" t="s" ph="1">
        <v>1853</v>
      </c>
      <c r="D206" s="15">
        <v>200000</v>
      </c>
      <c r="E206" s="15" ph="1">
        <v>90</v>
      </c>
      <c r="F206" s="15" t="s" ph="1">
        <v>1854</v>
      </c>
      <c r="G206" s="15" t="str">
        <f t="shared" si="18"/>
        <v>아폰수 드알부케르크 계약서</v>
      </c>
      <c r="H206" s="15">
        <v>5</v>
      </c>
      <c r="I206" s="15">
        <v>10</v>
      </c>
      <c r="J206" s="15">
        <f t="shared" si="19"/>
        <v>1569</v>
      </c>
      <c r="K206" s="15">
        <f t="shared" si="15"/>
        <v>1500000</v>
      </c>
      <c r="L206">
        <f>SUMIF($B:$B,B206,$K:$K)/K206</f>
        <v>166</v>
      </c>
      <c r="M206">
        <f>L206/SUMIF($B:$B,B206,$L:$L)</f>
        <v>1.5691197238349296E-4</v>
      </c>
      <c r="N206">
        <f t="shared" si="16"/>
        <v>1569</v>
      </c>
      <c r="O206">
        <f>10000000-SUMIF($B:$B,B206,$N:$N)</f>
        <v>149</v>
      </c>
      <c r="P206" s="19">
        <f>IF(COUNTIF($B$9:B206,B206)&lt;=O206,N206+1,N206)</f>
        <v>1569</v>
      </c>
      <c r="Q206" s="20">
        <f>SUMIF($B:$B,B206,$P:$P)</f>
        <v>10000000</v>
      </c>
      <c r="R206">
        <f t="shared" si="17"/>
        <v>235.36795857523944</v>
      </c>
    </row>
    <row r="207" spans="1:18" ht="23.25" x14ac:dyDescent="0.2">
      <c r="A207" s="15" ph="1">
        <v>21300096</v>
      </c>
      <c r="B207" s="17" t="s">
        <v>1612</v>
      </c>
      <c r="C207" s="15" t="s" ph="1">
        <v>1855</v>
      </c>
      <c r="D207" s="15">
        <v>200000</v>
      </c>
      <c r="E207" s="15" ph="1">
        <v>90</v>
      </c>
      <c r="F207" s="15" t="s" ph="1">
        <v>1854</v>
      </c>
      <c r="G207" s="15" t="str">
        <f t="shared" si="18"/>
        <v>이븐 바투타 계약서</v>
      </c>
      <c r="H207" s="15">
        <v>5</v>
      </c>
      <c r="I207" s="15">
        <v>10</v>
      </c>
      <c r="J207" s="15">
        <f t="shared" si="19"/>
        <v>1569</v>
      </c>
      <c r="K207" s="15">
        <f t="shared" si="15"/>
        <v>1500000</v>
      </c>
      <c r="L207">
        <f>SUMIF($B:$B,B207,$K:$K)/K207</f>
        <v>166</v>
      </c>
      <c r="M207">
        <f>L207/SUMIF($B:$B,B207,$L:$L)</f>
        <v>1.5691197238349296E-4</v>
      </c>
      <c r="N207">
        <f t="shared" si="16"/>
        <v>1569</v>
      </c>
      <c r="O207">
        <f>10000000-SUMIF($B:$B,B207,$N:$N)</f>
        <v>149</v>
      </c>
      <c r="P207" s="19">
        <f>IF(COUNTIF($B$9:B207,B207)&lt;=O207,N207+1,N207)</f>
        <v>1569</v>
      </c>
      <c r="Q207" s="20">
        <f>SUMIF($B:$B,B207,$P:$P)</f>
        <v>10000000</v>
      </c>
      <c r="R207">
        <f t="shared" si="17"/>
        <v>235.36795857523944</v>
      </c>
    </row>
    <row r="208" spans="1:18" ht="23.25" x14ac:dyDescent="0.2">
      <c r="A208" s="15" ph="1">
        <v>21300090</v>
      </c>
      <c r="B208" s="17" t="s">
        <v>1612</v>
      </c>
      <c r="C208" s="15" t="s" ph="1">
        <v>1856</v>
      </c>
      <c r="D208" s="15">
        <v>200000</v>
      </c>
      <c r="E208" s="15" ph="1">
        <v>90</v>
      </c>
      <c r="F208" s="15" t="s" ph="1">
        <v>1854</v>
      </c>
      <c r="G208" s="15" t="str">
        <f t="shared" si="18"/>
        <v>디안 드푸아티에 계약서</v>
      </c>
      <c r="H208" s="15">
        <v>5</v>
      </c>
      <c r="I208" s="15">
        <v>10</v>
      </c>
      <c r="J208" s="15">
        <f t="shared" si="19"/>
        <v>1569</v>
      </c>
      <c r="K208" s="15">
        <f t="shared" si="15"/>
        <v>1500000</v>
      </c>
      <c r="L208">
        <f>SUMIF($B:$B,B208,$K:$K)/K208</f>
        <v>166</v>
      </c>
      <c r="M208">
        <f>L208/SUMIF($B:$B,B208,$L:$L)</f>
        <v>1.5691197238349296E-4</v>
      </c>
      <c r="N208">
        <f t="shared" si="16"/>
        <v>1569</v>
      </c>
      <c r="O208">
        <f>10000000-SUMIF($B:$B,B208,$N:$N)</f>
        <v>149</v>
      </c>
      <c r="P208" s="19">
        <f>IF(COUNTIF($B$9:B208,B208)&lt;=O208,N208+1,N208)</f>
        <v>1569</v>
      </c>
      <c r="Q208" s="20">
        <f>SUMIF($B:$B,B208,$P:$P)</f>
        <v>10000000</v>
      </c>
      <c r="R208">
        <f t="shared" si="17"/>
        <v>235.36795857523944</v>
      </c>
    </row>
    <row r="209" spans="1:18" ht="23.25" x14ac:dyDescent="0.2">
      <c r="A209" s="15" ph="1">
        <v>21300072</v>
      </c>
      <c r="B209" s="17" t="s">
        <v>1612</v>
      </c>
      <c r="C209" s="15" t="s" ph="1">
        <v>1857</v>
      </c>
      <c r="D209" s="15">
        <v>200000</v>
      </c>
      <c r="E209" s="15" ph="1">
        <v>90</v>
      </c>
      <c r="F209" s="15" t="s" ph="1">
        <v>1854</v>
      </c>
      <c r="G209" s="15" t="str">
        <f t="shared" si="18"/>
        <v>주앙 다노바 계약서</v>
      </c>
      <c r="H209" s="15">
        <v>5</v>
      </c>
      <c r="I209" s="15">
        <v>10</v>
      </c>
      <c r="J209" s="15">
        <f t="shared" si="19"/>
        <v>1569</v>
      </c>
      <c r="K209" s="15">
        <f t="shared" si="15"/>
        <v>1500000</v>
      </c>
      <c r="L209">
        <f>SUMIF($B:$B,B209,$K:$K)/K209</f>
        <v>166</v>
      </c>
      <c r="M209">
        <f>L209/SUMIF($B:$B,B209,$L:$L)</f>
        <v>1.5691197238349296E-4</v>
      </c>
      <c r="N209">
        <f t="shared" si="16"/>
        <v>1569</v>
      </c>
      <c r="O209">
        <f>10000000-SUMIF($B:$B,B209,$N:$N)</f>
        <v>149</v>
      </c>
      <c r="P209" s="19">
        <f>IF(COUNTIF($B$9:B209,B209)&lt;=O209,N209+1,N209)</f>
        <v>1569</v>
      </c>
      <c r="Q209" s="20">
        <f>SUMIF($B:$B,B209,$P:$P)</f>
        <v>10000000</v>
      </c>
      <c r="R209">
        <f t="shared" si="17"/>
        <v>235.36795857523944</v>
      </c>
    </row>
    <row r="210" spans="1:18" ht="23.25" x14ac:dyDescent="0.2">
      <c r="A210" s="15" ph="1">
        <v>21300071</v>
      </c>
      <c r="B210" s="17" t="s">
        <v>1612</v>
      </c>
      <c r="C210" s="15" t="s" ph="1">
        <v>1858</v>
      </c>
      <c r="D210" s="15">
        <v>200000</v>
      </c>
      <c r="E210" s="15" ph="1">
        <v>90</v>
      </c>
      <c r="F210" s="15" t="s" ph="1">
        <v>1854</v>
      </c>
      <c r="G210" s="15" t="str">
        <f t="shared" si="18"/>
        <v>엔히크 드아비스 계약서</v>
      </c>
      <c r="H210" s="15">
        <v>5</v>
      </c>
      <c r="I210" s="15">
        <v>10</v>
      </c>
      <c r="J210" s="15">
        <f t="shared" si="19"/>
        <v>1569</v>
      </c>
      <c r="K210" s="15">
        <f t="shared" si="15"/>
        <v>1500000</v>
      </c>
      <c r="L210">
        <f>SUMIF($B:$B,B210,$K:$K)/K210</f>
        <v>166</v>
      </c>
      <c r="M210">
        <f>L210/SUMIF($B:$B,B210,$L:$L)</f>
        <v>1.5691197238349296E-4</v>
      </c>
      <c r="N210">
        <f t="shared" si="16"/>
        <v>1569</v>
      </c>
      <c r="O210">
        <f>10000000-SUMIF($B:$B,B210,$N:$N)</f>
        <v>149</v>
      </c>
      <c r="P210" s="19">
        <f>IF(COUNTIF($B$9:B210,B210)&lt;=O210,N210+1,N210)</f>
        <v>1569</v>
      </c>
      <c r="Q210" s="20">
        <f>SUMIF($B:$B,B210,$P:$P)</f>
        <v>10000000</v>
      </c>
      <c r="R210">
        <f t="shared" si="17"/>
        <v>235.36795857523944</v>
      </c>
    </row>
    <row r="211" spans="1:18" ht="23.25" x14ac:dyDescent="0.2">
      <c r="A211" s="15" ph="1">
        <v>21300084</v>
      </c>
      <c r="B211" s="17" t="s">
        <v>1612</v>
      </c>
      <c r="C211" s="15" t="s" ph="1">
        <v>1859</v>
      </c>
      <c r="D211" s="15">
        <v>200000</v>
      </c>
      <c r="E211" s="15" ph="1">
        <v>90</v>
      </c>
      <c r="F211" s="15" t="s" ph="1">
        <v>1854</v>
      </c>
      <c r="G211" s="15" t="str">
        <f t="shared" si="18"/>
        <v>휴 윌로비 계약서</v>
      </c>
      <c r="H211" s="15">
        <v>5</v>
      </c>
      <c r="I211" s="15">
        <v>10</v>
      </c>
      <c r="J211" s="15">
        <f t="shared" si="19"/>
        <v>1569</v>
      </c>
      <c r="K211" s="15">
        <f t="shared" si="15"/>
        <v>1500000</v>
      </c>
      <c r="L211">
        <f>SUMIF($B:$B,B211,$K:$K)/K211</f>
        <v>166</v>
      </c>
      <c r="M211">
        <f>L211/SUMIF($B:$B,B211,$L:$L)</f>
        <v>1.5691197238349296E-4</v>
      </c>
      <c r="N211">
        <f t="shared" si="16"/>
        <v>1569</v>
      </c>
      <c r="O211">
        <f>10000000-SUMIF($B:$B,B211,$N:$N)</f>
        <v>149</v>
      </c>
      <c r="P211" s="19">
        <f>IF(COUNTIF($B$9:B211,B211)&lt;=O211,N211+1,N211)</f>
        <v>1569</v>
      </c>
      <c r="Q211" s="20">
        <f>SUMIF($B:$B,B211,$P:$P)</f>
        <v>10000000</v>
      </c>
      <c r="R211">
        <f t="shared" si="17"/>
        <v>235.36795857523944</v>
      </c>
    </row>
    <row r="212" spans="1:18" ht="23.25" x14ac:dyDescent="0.2">
      <c r="A212" s="15" ph="1">
        <v>21300069</v>
      </c>
      <c r="B212" s="17" t="s">
        <v>1612</v>
      </c>
      <c r="C212" s="15" t="s" ph="1">
        <v>1860</v>
      </c>
      <c r="D212" s="15">
        <v>200000</v>
      </c>
      <c r="E212" s="15" ph="1">
        <v>90</v>
      </c>
      <c r="F212" s="15" t="s" ph="1">
        <v>1854</v>
      </c>
      <c r="G212" s="15" t="str">
        <f t="shared" si="18"/>
        <v>리슐리외 계약서</v>
      </c>
      <c r="H212" s="15">
        <v>5</v>
      </c>
      <c r="I212" s="15">
        <v>10</v>
      </c>
      <c r="J212" s="15">
        <f t="shared" si="19"/>
        <v>1569</v>
      </c>
      <c r="K212" s="15">
        <f t="shared" si="15"/>
        <v>1500000</v>
      </c>
      <c r="L212">
        <f>SUMIF($B:$B,B212,$K:$K)/K212</f>
        <v>166</v>
      </c>
      <c r="M212">
        <f>L212/SUMIF($B:$B,B212,$L:$L)</f>
        <v>1.5691197238349296E-4</v>
      </c>
      <c r="N212">
        <f t="shared" si="16"/>
        <v>1569</v>
      </c>
      <c r="O212">
        <f>10000000-SUMIF($B:$B,B212,$N:$N)</f>
        <v>149</v>
      </c>
      <c r="P212" s="19">
        <f>IF(COUNTIF($B$9:B212,B212)&lt;=O212,N212+1,N212)</f>
        <v>1569</v>
      </c>
      <c r="Q212" s="20">
        <f>SUMIF($B:$B,B212,$P:$P)</f>
        <v>10000000</v>
      </c>
      <c r="R212">
        <f t="shared" si="17"/>
        <v>235.36795857523944</v>
      </c>
    </row>
    <row r="213" spans="1:18" ht="23.25" x14ac:dyDescent="0.2">
      <c r="A213" s="15" ph="1">
        <v>21300064</v>
      </c>
      <c r="B213" s="17" t="s">
        <v>1612</v>
      </c>
      <c r="C213" s="15" t="s" ph="1">
        <v>1861</v>
      </c>
      <c r="D213" s="15">
        <v>200000</v>
      </c>
      <c r="E213" s="15" ph="1">
        <v>90</v>
      </c>
      <c r="F213" s="15" t="s" ph="1">
        <v>1854</v>
      </c>
      <c r="G213" s="15" t="str">
        <f t="shared" si="18"/>
        <v>바바라 팔머 계약서</v>
      </c>
      <c r="H213" s="15">
        <v>5</v>
      </c>
      <c r="I213" s="15">
        <v>10</v>
      </c>
      <c r="J213" s="15">
        <f t="shared" si="19"/>
        <v>1569</v>
      </c>
      <c r="K213" s="15">
        <f t="shared" si="15"/>
        <v>1500000</v>
      </c>
      <c r="L213">
        <f>SUMIF($B:$B,B213,$K:$K)/K213</f>
        <v>166</v>
      </c>
      <c r="M213">
        <f>L213/SUMIF($B:$B,B213,$L:$L)</f>
        <v>1.5691197238349296E-4</v>
      </c>
      <c r="N213">
        <f t="shared" si="16"/>
        <v>1569</v>
      </c>
      <c r="O213">
        <f>10000000-SUMIF($B:$B,B213,$N:$N)</f>
        <v>149</v>
      </c>
      <c r="P213" s="19">
        <f>IF(COUNTIF($B$9:B213,B213)&lt;=O213,N213+1,N213)</f>
        <v>1569</v>
      </c>
      <c r="Q213" s="20">
        <f>SUMIF($B:$B,B213,$P:$P)</f>
        <v>10000000</v>
      </c>
      <c r="R213">
        <f t="shared" si="17"/>
        <v>235.36795857523944</v>
      </c>
    </row>
    <row r="214" spans="1:18" ht="23.25" x14ac:dyDescent="0.2">
      <c r="A214" s="15" ph="1">
        <v>21300076</v>
      </c>
      <c r="B214" s="17" t="s">
        <v>1612</v>
      </c>
      <c r="C214" s="15" t="s" ph="1">
        <v>1862</v>
      </c>
      <c r="D214" s="15">
        <v>200000</v>
      </c>
      <c r="E214" s="15" ph="1">
        <v>90</v>
      </c>
      <c r="F214" s="15" t="s" ph="1">
        <v>1854</v>
      </c>
      <c r="G214" s="15" t="str">
        <f t="shared" si="18"/>
        <v>헨드릭 하멜 계약서</v>
      </c>
      <c r="H214" s="15">
        <v>5</v>
      </c>
      <c r="I214" s="15">
        <v>10</v>
      </c>
      <c r="J214" s="15">
        <f t="shared" si="19"/>
        <v>1569</v>
      </c>
      <c r="K214" s="15">
        <f t="shared" si="15"/>
        <v>1500000</v>
      </c>
      <c r="L214">
        <f>SUMIF($B:$B,B214,$K:$K)/K214</f>
        <v>166</v>
      </c>
      <c r="M214">
        <f>L214/SUMIF($B:$B,B214,$L:$L)</f>
        <v>1.5691197238349296E-4</v>
      </c>
      <c r="N214">
        <f t="shared" si="16"/>
        <v>1569</v>
      </c>
      <c r="O214">
        <f>10000000-SUMIF($B:$B,B214,$N:$N)</f>
        <v>149</v>
      </c>
      <c r="P214" s="19">
        <f>IF(COUNTIF($B$9:B214,B214)&lt;=O214,N214+1,N214)</f>
        <v>1569</v>
      </c>
      <c r="Q214" s="20">
        <f>SUMIF($B:$B,B214,$P:$P)</f>
        <v>10000000</v>
      </c>
      <c r="R214">
        <f t="shared" si="17"/>
        <v>235.36795857523944</v>
      </c>
    </row>
    <row r="215" spans="1:18" ht="23.25" x14ac:dyDescent="0.2">
      <c r="A215" s="15" ph="1">
        <v>21300086</v>
      </c>
      <c r="B215" s="17" t="s">
        <v>1612</v>
      </c>
      <c r="C215" s="15" t="s" ph="1">
        <v>1863</v>
      </c>
      <c r="D215" s="15">
        <v>200000</v>
      </c>
      <c r="E215" s="15" ph="1">
        <v>90</v>
      </c>
      <c r="F215" s="15" t="s" ph="1">
        <v>1854</v>
      </c>
      <c r="G215" s="15" t="str">
        <f t="shared" si="18"/>
        <v>구스타브 2세 아돌프 계약서</v>
      </c>
      <c r="H215" s="15">
        <v>5</v>
      </c>
      <c r="I215" s="15">
        <v>10</v>
      </c>
      <c r="J215" s="15">
        <f t="shared" si="19"/>
        <v>1569</v>
      </c>
      <c r="K215" s="15">
        <f t="shared" si="15"/>
        <v>1500000</v>
      </c>
      <c r="L215">
        <f>SUMIF($B:$B,B215,$K:$K)/K215</f>
        <v>166</v>
      </c>
      <c r="M215">
        <f>L215/SUMIF($B:$B,B215,$L:$L)</f>
        <v>1.5691197238349296E-4</v>
      </c>
      <c r="N215">
        <f t="shared" si="16"/>
        <v>1569</v>
      </c>
      <c r="O215">
        <f>10000000-SUMIF($B:$B,B215,$N:$N)</f>
        <v>149</v>
      </c>
      <c r="P215" s="19">
        <f>IF(COUNTIF($B$9:B215,B215)&lt;=O215,N215+1,N215)</f>
        <v>1569</v>
      </c>
      <c r="Q215" s="20">
        <f>SUMIF($B:$B,B215,$P:$P)</f>
        <v>10000000</v>
      </c>
      <c r="R215">
        <f t="shared" si="17"/>
        <v>235.36795857523944</v>
      </c>
    </row>
    <row r="216" spans="1:18" ht="23.25" x14ac:dyDescent="0.2">
      <c r="A216" s="15" ph="1">
        <v>21300043</v>
      </c>
      <c r="B216" s="17" t="s">
        <v>1612</v>
      </c>
      <c r="C216" s="15" t="s" ph="1">
        <v>1864</v>
      </c>
      <c r="D216" s="15">
        <v>200000</v>
      </c>
      <c r="E216" s="15" ph="1">
        <v>90</v>
      </c>
      <c r="F216" s="15" t="s" ph="1">
        <v>1854</v>
      </c>
      <c r="G216" s="15" t="str">
        <f t="shared" si="18"/>
        <v>쿠말라하야티 계약서</v>
      </c>
      <c r="H216" s="15">
        <v>5</v>
      </c>
      <c r="I216" s="15">
        <v>10</v>
      </c>
      <c r="J216" s="15">
        <f t="shared" si="19"/>
        <v>1569</v>
      </c>
      <c r="K216" s="15">
        <f t="shared" si="15"/>
        <v>1500000</v>
      </c>
      <c r="L216">
        <f>SUMIF($B:$B,B216,$K:$K)/K216</f>
        <v>166</v>
      </c>
      <c r="M216">
        <f>L216/SUMIF($B:$B,B216,$L:$L)</f>
        <v>1.5691197238349296E-4</v>
      </c>
      <c r="N216">
        <f t="shared" si="16"/>
        <v>1569</v>
      </c>
      <c r="O216">
        <f>10000000-SUMIF($B:$B,B216,$N:$N)</f>
        <v>149</v>
      </c>
      <c r="P216" s="19">
        <f>IF(COUNTIF($B$9:B216,B216)&lt;=O216,N216+1,N216)</f>
        <v>1569</v>
      </c>
      <c r="Q216" s="20">
        <f>SUMIF($B:$B,B216,$P:$P)</f>
        <v>10000000</v>
      </c>
      <c r="R216">
        <f t="shared" si="17"/>
        <v>235.36795857523944</v>
      </c>
    </row>
    <row r="217" spans="1:18" ht="23.25" x14ac:dyDescent="0.2">
      <c r="A217" s="15" ph="1">
        <v>21300073</v>
      </c>
      <c r="B217" s="17" t="s">
        <v>1612</v>
      </c>
      <c r="C217" s="15" t="s" ph="1">
        <v>1865</v>
      </c>
      <c r="D217" s="15">
        <v>200000</v>
      </c>
      <c r="E217" s="15" ph="1">
        <v>90</v>
      </c>
      <c r="F217" s="15" t="s" ph="1">
        <v>1854</v>
      </c>
      <c r="G217" s="15" t="str">
        <f t="shared" si="18"/>
        <v>바스코 누녜스 데발보아 계약서</v>
      </c>
      <c r="H217" s="15">
        <v>5</v>
      </c>
      <c r="I217" s="15">
        <v>10</v>
      </c>
      <c r="J217" s="15">
        <f t="shared" si="19"/>
        <v>1569</v>
      </c>
      <c r="K217" s="15">
        <f t="shared" si="15"/>
        <v>1500000</v>
      </c>
      <c r="L217">
        <f>SUMIF($B:$B,B217,$K:$K)/K217</f>
        <v>166</v>
      </c>
      <c r="M217">
        <f>L217/SUMIF($B:$B,B217,$L:$L)</f>
        <v>1.5691197238349296E-4</v>
      </c>
      <c r="N217">
        <f t="shared" si="16"/>
        <v>1569</v>
      </c>
      <c r="O217">
        <f>10000000-SUMIF($B:$B,B217,$N:$N)</f>
        <v>149</v>
      </c>
      <c r="P217" s="19">
        <f>IF(COUNTIF($B$9:B217,B217)&lt;=O217,N217+1,N217)</f>
        <v>1569</v>
      </c>
      <c r="Q217" s="20">
        <f>SUMIF($B:$B,B217,$P:$P)</f>
        <v>10000000</v>
      </c>
      <c r="R217">
        <f t="shared" si="17"/>
        <v>235.36795857523944</v>
      </c>
    </row>
    <row r="218" spans="1:18" ht="23.25" x14ac:dyDescent="0.2">
      <c r="A218" s="15" ph="1">
        <v>21300105</v>
      </c>
      <c r="B218" s="17" t="s">
        <v>1612</v>
      </c>
      <c r="C218" s="15" t="s" ph="1">
        <v>1866</v>
      </c>
      <c r="D218" s="15">
        <v>200000</v>
      </c>
      <c r="E218" s="15" ph="1">
        <v>90</v>
      </c>
      <c r="F218" s="15" t="s" ph="1">
        <v>1854</v>
      </c>
      <c r="G218" s="15" t="str">
        <f t="shared" si="18"/>
        <v>알론소 데카르데나스 계약서</v>
      </c>
      <c r="H218" s="15">
        <v>5</v>
      </c>
      <c r="I218" s="15">
        <v>10</v>
      </c>
      <c r="J218" s="15">
        <f t="shared" si="19"/>
        <v>1569</v>
      </c>
      <c r="K218" s="15">
        <f t="shared" si="15"/>
        <v>1500000</v>
      </c>
      <c r="L218">
        <f>SUMIF($B:$B,B218,$K:$K)/K218</f>
        <v>166</v>
      </c>
      <c r="M218">
        <f>L218/SUMIF($B:$B,B218,$L:$L)</f>
        <v>1.5691197238349296E-4</v>
      </c>
      <c r="N218">
        <f t="shared" si="16"/>
        <v>1569</v>
      </c>
      <c r="O218">
        <f>10000000-SUMIF($B:$B,B218,$N:$N)</f>
        <v>149</v>
      </c>
      <c r="P218" s="19">
        <f>IF(COUNTIF($B$9:B218,B218)&lt;=O218,N218+1,N218)</f>
        <v>1569</v>
      </c>
      <c r="Q218" s="20">
        <f>SUMIF($B:$B,B218,$P:$P)</f>
        <v>10000000</v>
      </c>
      <c r="R218">
        <f t="shared" si="17"/>
        <v>235.36795857523944</v>
      </c>
    </row>
    <row r="219" spans="1:18" ht="23.25" x14ac:dyDescent="0.2">
      <c r="A219" s="15" ph="1">
        <v>21300087</v>
      </c>
      <c r="B219" s="17" t="s">
        <v>1612</v>
      </c>
      <c r="C219" s="15" t="s" ph="1">
        <v>1867</v>
      </c>
      <c r="D219" s="15">
        <v>200000</v>
      </c>
      <c r="E219" s="15" ph="1">
        <v>90</v>
      </c>
      <c r="F219" s="15" t="s" ph="1">
        <v>1854</v>
      </c>
      <c r="G219" s="15" t="str">
        <f t="shared" si="18"/>
        <v>샤를 달타냥 계약서</v>
      </c>
      <c r="H219" s="15">
        <v>5</v>
      </c>
      <c r="I219" s="15">
        <v>10</v>
      </c>
      <c r="J219" s="15">
        <f t="shared" si="19"/>
        <v>1569</v>
      </c>
      <c r="K219" s="15">
        <f t="shared" si="15"/>
        <v>1500000</v>
      </c>
      <c r="L219">
        <f>SUMIF($B:$B,B219,$K:$K)/K219</f>
        <v>166</v>
      </c>
      <c r="M219">
        <f>L219/SUMIF($B:$B,B219,$L:$L)</f>
        <v>1.5691197238349296E-4</v>
      </c>
      <c r="N219">
        <f t="shared" si="16"/>
        <v>1569</v>
      </c>
      <c r="O219">
        <f>10000000-SUMIF($B:$B,B219,$N:$N)</f>
        <v>149</v>
      </c>
      <c r="P219" s="19">
        <f>IF(COUNTIF($B$9:B219,B219)&lt;=O219,N219+1,N219)</f>
        <v>1569</v>
      </c>
      <c r="Q219" s="20">
        <f>SUMIF($B:$B,B219,$P:$P)</f>
        <v>10000000</v>
      </c>
      <c r="R219">
        <f t="shared" si="17"/>
        <v>235.36795857523944</v>
      </c>
    </row>
    <row r="220" spans="1:18" ht="23.25" x14ac:dyDescent="0.2">
      <c r="A220" s="15" ph="1">
        <v>21300077</v>
      </c>
      <c r="B220" s="17" t="s">
        <v>1612</v>
      </c>
      <c r="C220" s="15" t="s" ph="1">
        <v>1868</v>
      </c>
      <c r="D220" s="15">
        <v>200000</v>
      </c>
      <c r="E220" s="15" ph="1">
        <v>90</v>
      </c>
      <c r="F220" s="15" t="s" ph="1">
        <v>1854</v>
      </c>
      <c r="G220" s="15" t="str">
        <f t="shared" si="18"/>
        <v>조지 앤슨 계약서</v>
      </c>
      <c r="H220" s="15">
        <v>5</v>
      </c>
      <c r="I220" s="15">
        <v>10</v>
      </c>
      <c r="J220" s="15">
        <f t="shared" si="19"/>
        <v>1569</v>
      </c>
      <c r="K220" s="15">
        <f t="shared" si="15"/>
        <v>1500000</v>
      </c>
      <c r="L220">
        <f>SUMIF($B:$B,B220,$K:$K)/K220</f>
        <v>166</v>
      </c>
      <c r="M220">
        <f>L220/SUMIF($B:$B,B220,$L:$L)</f>
        <v>1.5691197238349296E-4</v>
      </c>
      <c r="N220">
        <f t="shared" si="16"/>
        <v>1569</v>
      </c>
      <c r="O220">
        <f>10000000-SUMIF($B:$B,B220,$N:$N)</f>
        <v>149</v>
      </c>
      <c r="P220" s="19">
        <f>IF(COUNTIF($B$9:B220,B220)&lt;=O220,N220+1,N220)</f>
        <v>1569</v>
      </c>
      <c r="Q220" s="20">
        <f>SUMIF($B:$B,B220,$P:$P)</f>
        <v>10000000</v>
      </c>
      <c r="R220">
        <f t="shared" si="17"/>
        <v>235.36795857523944</v>
      </c>
    </row>
    <row r="221" spans="1:18" ht="23.25" x14ac:dyDescent="0.2">
      <c r="A221" s="15" ph="1">
        <v>21300078</v>
      </c>
      <c r="B221" s="17" t="s">
        <v>1612</v>
      </c>
      <c r="C221" s="15" t="s" ph="1">
        <v>1869</v>
      </c>
      <c r="D221" s="15">
        <v>200000</v>
      </c>
      <c r="E221" s="15" ph="1">
        <v>90</v>
      </c>
      <c r="F221" s="15" t="s" ph="1">
        <v>1854</v>
      </c>
      <c r="G221" s="15" t="str">
        <f t="shared" si="18"/>
        <v>존 바이런 계약서</v>
      </c>
      <c r="H221" s="15">
        <v>5</v>
      </c>
      <c r="I221" s="15">
        <v>10</v>
      </c>
      <c r="J221" s="15">
        <f t="shared" si="19"/>
        <v>1569</v>
      </c>
      <c r="K221" s="15">
        <f t="shared" si="15"/>
        <v>1500000</v>
      </c>
      <c r="L221">
        <f>SUMIF($B:$B,B221,$K:$K)/K221</f>
        <v>166</v>
      </c>
      <c r="M221">
        <f>L221/SUMIF($B:$B,B221,$L:$L)</f>
        <v>1.5691197238349296E-4</v>
      </c>
      <c r="N221">
        <f t="shared" si="16"/>
        <v>1569</v>
      </c>
      <c r="O221">
        <f>10000000-SUMIF($B:$B,B221,$N:$N)</f>
        <v>149</v>
      </c>
      <c r="P221" s="19">
        <f>IF(COUNTIF($B$9:B221,B221)&lt;=O221,N221+1,N221)</f>
        <v>1569</v>
      </c>
      <c r="Q221" s="20">
        <f>SUMIF($B:$B,B221,$P:$P)</f>
        <v>10000000</v>
      </c>
      <c r="R221">
        <f t="shared" si="17"/>
        <v>235.36795857523944</v>
      </c>
    </row>
    <row r="222" spans="1:18" ht="23.25" x14ac:dyDescent="0.2">
      <c r="A222" s="15" ph="1">
        <v>21300079</v>
      </c>
      <c r="B222" s="17" t="s">
        <v>1612</v>
      </c>
      <c r="C222" s="15" t="s" ph="1">
        <v>1870</v>
      </c>
      <c r="D222" s="15">
        <v>200000</v>
      </c>
      <c r="E222" s="15" ph="1">
        <v>90</v>
      </c>
      <c r="F222" s="15" t="s" ph="1">
        <v>1854</v>
      </c>
      <c r="G222" s="15" t="str">
        <f t="shared" si="18"/>
        <v>가토 기요마사 계약서</v>
      </c>
      <c r="H222" s="15">
        <v>5</v>
      </c>
      <c r="I222" s="15">
        <v>10</v>
      </c>
      <c r="J222" s="15">
        <f t="shared" si="19"/>
        <v>1569</v>
      </c>
      <c r="K222" s="15">
        <f t="shared" si="15"/>
        <v>1500000</v>
      </c>
      <c r="L222">
        <f>SUMIF($B:$B,B222,$K:$K)/K222</f>
        <v>166</v>
      </c>
      <c r="M222">
        <f>L222/SUMIF($B:$B,B222,$L:$L)</f>
        <v>1.5691197238349296E-4</v>
      </c>
      <c r="N222">
        <f t="shared" si="16"/>
        <v>1569</v>
      </c>
      <c r="O222">
        <f>10000000-SUMIF($B:$B,B222,$N:$N)</f>
        <v>149</v>
      </c>
      <c r="P222" s="19">
        <f>IF(COUNTIF($B$9:B222,B222)&lt;=O222,N222+1,N222)</f>
        <v>1569</v>
      </c>
      <c r="Q222" s="20">
        <f>SUMIF($B:$B,B222,$P:$P)</f>
        <v>10000000</v>
      </c>
      <c r="R222">
        <f t="shared" si="17"/>
        <v>235.36795857523944</v>
      </c>
    </row>
    <row r="223" spans="1:18" ht="23.25" x14ac:dyDescent="0.2">
      <c r="A223" s="15" ph="1">
        <v>21300067</v>
      </c>
      <c r="B223" s="17" t="s">
        <v>1612</v>
      </c>
      <c r="C223" s="15" t="s" ph="1">
        <v>1871</v>
      </c>
      <c r="D223" s="15">
        <v>200000</v>
      </c>
      <c r="E223" s="15" ph="1">
        <v>90</v>
      </c>
      <c r="F223" s="15" t="s" ph="1">
        <v>1854</v>
      </c>
      <c r="G223" s="15" t="str">
        <f t="shared" si="18"/>
        <v>구키 요시타카 계약서</v>
      </c>
      <c r="H223" s="15">
        <v>5</v>
      </c>
      <c r="I223" s="15">
        <v>10</v>
      </c>
      <c r="J223" s="15">
        <f t="shared" si="19"/>
        <v>1569</v>
      </c>
      <c r="K223" s="15">
        <f t="shared" si="15"/>
        <v>1500000</v>
      </c>
      <c r="L223">
        <f>SUMIF($B:$B,B223,$K:$K)/K223</f>
        <v>166</v>
      </c>
      <c r="M223">
        <f>L223/SUMIF($B:$B,B223,$L:$L)</f>
        <v>1.5691197238349296E-4</v>
      </c>
      <c r="N223">
        <f t="shared" si="16"/>
        <v>1569</v>
      </c>
      <c r="O223">
        <f>10000000-SUMIF($B:$B,B223,$N:$N)</f>
        <v>149</v>
      </c>
      <c r="P223" s="19">
        <f>IF(COUNTIF($B$9:B223,B223)&lt;=O223,N223+1,N223)</f>
        <v>1569</v>
      </c>
      <c r="Q223" s="20">
        <f>SUMIF($B:$B,B223,$P:$P)</f>
        <v>10000000</v>
      </c>
      <c r="R223">
        <f t="shared" si="17"/>
        <v>235.36795857523944</v>
      </c>
    </row>
    <row r="224" spans="1:18" ht="23.25" x14ac:dyDescent="0.2">
      <c r="A224" s="15" ph="1">
        <v>21300012</v>
      </c>
      <c r="B224" s="17" t="s">
        <v>1612</v>
      </c>
      <c r="C224" s="15" t="s" ph="1">
        <v>1872</v>
      </c>
      <c r="D224" s="15">
        <v>1000000</v>
      </c>
      <c r="E224" s="15" ph="1">
        <v>10</v>
      </c>
      <c r="F224" s="15" t="s" ph="1">
        <v>1661</v>
      </c>
      <c r="G224" s="15" t="str">
        <f t="shared" si="18"/>
        <v>페르난도 데마가야네스 계약서</v>
      </c>
      <c r="H224" s="15">
        <v>5</v>
      </c>
      <c r="I224" s="15">
        <v>10</v>
      </c>
      <c r="J224" s="15">
        <f t="shared" si="19"/>
        <v>313</v>
      </c>
      <c r="K224" s="15">
        <f t="shared" si="15"/>
        <v>7500000</v>
      </c>
      <c r="L224">
        <f>SUMIF($B:$B,B224,$K:$K)/K224</f>
        <v>33.200000000000003</v>
      </c>
      <c r="M224">
        <f>L224/SUMIF($B:$B,B224,$L:$L)</f>
        <v>3.1382394476698592E-5</v>
      </c>
      <c r="N224">
        <f t="shared" si="16"/>
        <v>313</v>
      </c>
      <c r="O224">
        <f>10000000-SUMIF($B:$B,B224,$N:$N)</f>
        <v>149</v>
      </c>
      <c r="P224" s="19">
        <f>IF(COUNTIF($B$9:B224,B224)&lt;=O224,N224+1,N224)</f>
        <v>313</v>
      </c>
      <c r="Q224" s="20">
        <f>SUMIF($B:$B,B224,$P:$P)</f>
        <v>10000000</v>
      </c>
      <c r="R224">
        <f t="shared" si="17"/>
        <v>235.36795857523944</v>
      </c>
    </row>
    <row r="225" spans="1:18" ht="23.25" x14ac:dyDescent="0.2">
      <c r="A225" s="15" ph="1">
        <v>21300029</v>
      </c>
      <c r="B225" s="17" t="s">
        <v>1612</v>
      </c>
      <c r="C225" s="15" t="s" ph="1">
        <v>1873</v>
      </c>
      <c r="D225" s="15">
        <v>1000000</v>
      </c>
      <c r="E225" s="15" ph="1">
        <v>10</v>
      </c>
      <c r="F225" s="15" t="s" ph="1">
        <v>1661</v>
      </c>
      <c r="G225" s="15" t="str">
        <f t="shared" si="18"/>
        <v>도쿠가와 이에야스 계약서</v>
      </c>
      <c r="H225" s="15">
        <v>5</v>
      </c>
      <c r="I225" s="15">
        <v>10</v>
      </c>
      <c r="J225" s="15">
        <f t="shared" si="19"/>
        <v>313</v>
      </c>
      <c r="K225" s="15">
        <f t="shared" si="15"/>
        <v>7500000</v>
      </c>
      <c r="L225">
        <f>SUMIF($B:$B,B225,$K:$K)/K225</f>
        <v>33.200000000000003</v>
      </c>
      <c r="M225">
        <f>L225/SUMIF($B:$B,B225,$L:$L)</f>
        <v>3.1382394476698592E-5</v>
      </c>
      <c r="N225">
        <f t="shared" si="16"/>
        <v>313</v>
      </c>
      <c r="O225">
        <f>10000000-SUMIF($B:$B,B225,$N:$N)</f>
        <v>149</v>
      </c>
      <c r="P225" s="19">
        <f>IF(COUNTIF($B$9:B225,B225)&lt;=O225,N225+1,N225)</f>
        <v>313</v>
      </c>
      <c r="Q225" s="20">
        <f>SUMIF($B:$B,B225,$P:$P)</f>
        <v>10000000</v>
      </c>
      <c r="R225">
        <f t="shared" si="17"/>
        <v>235.36795857523944</v>
      </c>
    </row>
    <row r="226" spans="1:18" ht="23.25" x14ac:dyDescent="0.2">
      <c r="A226" s="15" ph="1">
        <v>21300002</v>
      </c>
      <c r="B226" s="17" t="s">
        <v>1612</v>
      </c>
      <c r="C226" s="15" t="s" ph="1">
        <v>1925</v>
      </c>
      <c r="D226" s="15">
        <v>1000000</v>
      </c>
      <c r="E226" s="15" ph="1">
        <v>0</v>
      </c>
      <c r="F226" s="15" t="s" ph="1">
        <v>1661</v>
      </c>
      <c r="G226" s="15" t="str">
        <f t="shared" si="18"/>
        <v>사피예 술탄 계약서</v>
      </c>
      <c r="H226" s="15">
        <v>5</v>
      </c>
      <c r="I226" s="15">
        <v>10</v>
      </c>
      <c r="J226" s="15">
        <f t="shared" si="19"/>
        <v>313</v>
      </c>
      <c r="K226" s="15">
        <f t="shared" si="15"/>
        <v>7500000</v>
      </c>
      <c r="L226">
        <f>SUMIF($B:$B,B226,$K:$K)/K226</f>
        <v>33.200000000000003</v>
      </c>
      <c r="M226">
        <f>L226/SUMIF($B:$B,B226,$L:$L)</f>
        <v>3.1382394476698592E-5</v>
      </c>
      <c r="N226">
        <f t="shared" si="16"/>
        <v>313</v>
      </c>
      <c r="O226">
        <f>10000000-SUMIF($B:$B,B226,$N:$N)</f>
        <v>149</v>
      </c>
      <c r="P226" s="19">
        <f>IF(COUNTIF($B$9:B226,B226)&lt;=O226,N226+1,N226)</f>
        <v>313</v>
      </c>
      <c r="Q226" s="20">
        <f>SUMIF($B:$B,B226,$P:$P)</f>
        <v>10000000</v>
      </c>
      <c r="R226">
        <f t="shared" si="17"/>
        <v>235.36795857523944</v>
      </c>
    </row>
    <row r="227" spans="1:18" ht="23.25" x14ac:dyDescent="0.2">
      <c r="A227" s="15" ph="1">
        <v>21300039</v>
      </c>
      <c r="B227" s="17" t="s">
        <v>1612</v>
      </c>
      <c r="C227" s="15" t="s" ph="1">
        <v>1926</v>
      </c>
      <c r="D227" s="15">
        <v>200000</v>
      </c>
      <c r="E227" s="15" ph="1">
        <v>0</v>
      </c>
      <c r="F227" s="15" t="s" ph="1">
        <v>1854</v>
      </c>
      <c r="G227" s="15" t="str">
        <f t="shared" si="18"/>
        <v>카테리나 데메디치 계약서</v>
      </c>
      <c r="H227" s="15">
        <v>5</v>
      </c>
      <c r="I227" s="15">
        <v>10</v>
      </c>
      <c r="J227" s="15">
        <f t="shared" si="19"/>
        <v>1569</v>
      </c>
      <c r="K227" s="15">
        <f t="shared" si="15"/>
        <v>1500000</v>
      </c>
      <c r="L227">
        <f>SUMIF($B:$B,B227,$K:$K)/K227</f>
        <v>166</v>
      </c>
      <c r="M227">
        <f>L227/SUMIF($B:$B,B227,$L:$L)</f>
        <v>1.5691197238349296E-4</v>
      </c>
      <c r="N227">
        <f t="shared" si="16"/>
        <v>1569</v>
      </c>
      <c r="O227">
        <f>10000000-SUMIF($B:$B,B227,$N:$N)</f>
        <v>149</v>
      </c>
      <c r="P227" s="19">
        <f>IF(COUNTIF($B$9:B227,B227)&lt;=O227,N227+1,N227)</f>
        <v>1569</v>
      </c>
      <c r="Q227" s="20">
        <f>SUMIF($B:$B,B227,$P:$P)</f>
        <v>10000000</v>
      </c>
      <c r="R227">
        <f t="shared" si="17"/>
        <v>235.36795857523944</v>
      </c>
    </row>
    <row r="228" spans="1:18" ht="23.25" x14ac:dyDescent="0.2">
      <c r="A228" s="15" ph="1">
        <v>21300041</v>
      </c>
      <c r="B228" s="17" t="s">
        <v>1612</v>
      </c>
      <c r="C228" s="15" t="s" ph="1">
        <v>1927</v>
      </c>
      <c r="D228" s="15">
        <v>200000</v>
      </c>
      <c r="E228" s="15" ph="1">
        <v>0</v>
      </c>
      <c r="F228" s="15" t="s" ph="1">
        <v>1854</v>
      </c>
      <c r="G228" s="15" t="str">
        <f t="shared" si="18"/>
        <v>메리 스튜어트 계약서</v>
      </c>
      <c r="H228" s="15">
        <v>5</v>
      </c>
      <c r="I228" s="15">
        <v>10</v>
      </c>
      <c r="J228" s="15">
        <f t="shared" si="19"/>
        <v>1569</v>
      </c>
      <c r="K228" s="15">
        <f t="shared" si="15"/>
        <v>1500000</v>
      </c>
      <c r="L228">
        <f>SUMIF($B:$B,B228,$K:$K)/K228</f>
        <v>166</v>
      </c>
      <c r="M228">
        <f>L228/SUMIF($B:$B,B228,$L:$L)</f>
        <v>1.5691197238349296E-4</v>
      </c>
      <c r="N228">
        <f t="shared" si="16"/>
        <v>1569</v>
      </c>
      <c r="O228">
        <f>10000000-SUMIF($B:$B,B228,$N:$N)</f>
        <v>149</v>
      </c>
      <c r="P228" s="19">
        <f>IF(COUNTIF($B$9:B228,B228)&lt;=O228,N228+1,N228)</f>
        <v>1569</v>
      </c>
      <c r="Q228" s="20">
        <f>SUMIF($B:$B,B228,$P:$P)</f>
        <v>10000000</v>
      </c>
      <c r="R228">
        <f t="shared" si="17"/>
        <v>235.36795857523944</v>
      </c>
    </row>
    <row r="229" spans="1:18" ht="23.25" x14ac:dyDescent="0.2">
      <c r="A229" s="15" ph="1">
        <v>21300129</v>
      </c>
      <c r="B229" s="17" t="s">
        <v>1612</v>
      </c>
      <c r="C229" s="15" t="s" ph="1">
        <v>1928</v>
      </c>
      <c r="D229" s="15">
        <v>20000</v>
      </c>
      <c r="E229" s="15" ph="1">
        <v>0</v>
      </c>
      <c r="F229" s="15" t="s" ph="1">
        <v>1671</v>
      </c>
      <c r="G229" s="15" t="str">
        <f t="shared" si="18"/>
        <v>앤 불린 계약서</v>
      </c>
      <c r="H229" s="15">
        <v>5</v>
      </c>
      <c r="I229" s="15">
        <v>10</v>
      </c>
      <c r="J229" s="15">
        <f t="shared" si="19"/>
        <v>15691</v>
      </c>
      <c r="K229" s="15">
        <f t="shared" si="15"/>
        <v>150000</v>
      </c>
      <c r="L229">
        <f>SUMIF($B:$B,B229,$K:$K)/K229</f>
        <v>1660</v>
      </c>
      <c r="M229">
        <f>L229/SUMIF($B:$B,B229,$L:$L)</f>
        <v>1.5691197238349296E-3</v>
      </c>
      <c r="N229">
        <f t="shared" si="16"/>
        <v>15691</v>
      </c>
      <c r="O229">
        <f>10000000-SUMIF($B:$B,B229,$N:$N)</f>
        <v>149</v>
      </c>
      <c r="P229" s="19">
        <f>IF(COUNTIF($B$9:B229,B229)&lt;=O229,N229+1,N229)</f>
        <v>15691</v>
      </c>
      <c r="Q229" s="20">
        <f>SUMIF($B:$B,B229,$P:$P)</f>
        <v>10000000</v>
      </c>
      <c r="R229">
        <f t="shared" si="17"/>
        <v>235.36795857523944</v>
      </c>
    </row>
    <row r="230" spans="1:18" ht="23.25" x14ac:dyDescent="0.2">
      <c r="A230" s="15" ph="1">
        <v>21300132</v>
      </c>
      <c r="B230" s="17" t="s">
        <v>1612</v>
      </c>
      <c r="C230" s="15" t="s" ph="1">
        <v>1929</v>
      </c>
      <c r="D230" s="15">
        <v>20000</v>
      </c>
      <c r="E230" s="15" ph="1">
        <v>0</v>
      </c>
      <c r="F230" s="15" t="s" ph="1">
        <v>1671</v>
      </c>
      <c r="G230" s="15" t="str">
        <f t="shared" si="18"/>
        <v>안 도트리슈 계약서</v>
      </c>
      <c r="H230" s="15">
        <v>5</v>
      </c>
      <c r="I230" s="15">
        <v>10</v>
      </c>
      <c r="J230" s="15">
        <f t="shared" si="19"/>
        <v>15691</v>
      </c>
      <c r="K230" s="15">
        <f t="shared" si="15"/>
        <v>150000</v>
      </c>
      <c r="L230">
        <f>SUMIF($B:$B,B230,$K:$K)/K230</f>
        <v>1660</v>
      </c>
      <c r="M230">
        <f>L230/SUMIF($B:$B,B230,$L:$L)</f>
        <v>1.5691197238349296E-3</v>
      </c>
      <c r="N230">
        <f t="shared" si="16"/>
        <v>15691</v>
      </c>
      <c r="O230">
        <f>10000000-SUMIF($B:$B,B230,$N:$N)</f>
        <v>149</v>
      </c>
      <c r="P230" s="19">
        <f>IF(COUNTIF($B$9:B230,B230)&lt;=O230,N230+1,N230)</f>
        <v>15691</v>
      </c>
      <c r="Q230" s="20">
        <f>SUMIF($B:$B,B230,$P:$P)</f>
        <v>10000000</v>
      </c>
      <c r="R230">
        <f t="shared" si="17"/>
        <v>235.36795857523944</v>
      </c>
    </row>
    <row r="231" spans="1:18" ht="23.25" x14ac:dyDescent="0.2">
      <c r="A231" s="15" ph="1">
        <v>21300128</v>
      </c>
      <c r="B231" s="17" t="s">
        <v>1612</v>
      </c>
      <c r="C231" s="15" t="s" ph="1">
        <v>1930</v>
      </c>
      <c r="D231" s="15">
        <v>20000</v>
      </c>
      <c r="E231" s="15" ph="1">
        <v>0</v>
      </c>
      <c r="F231" s="15" t="s" ph="1">
        <v>1671</v>
      </c>
      <c r="G231" s="15" t="str">
        <f t="shared" si="18"/>
        <v>이자벨 드로렌 계약서</v>
      </c>
      <c r="H231" s="15">
        <v>5</v>
      </c>
      <c r="I231" s="15">
        <v>10</v>
      </c>
      <c r="J231" s="15">
        <f t="shared" si="19"/>
        <v>15691</v>
      </c>
      <c r="K231" s="15">
        <f t="shared" si="15"/>
        <v>150000</v>
      </c>
      <c r="L231">
        <f>SUMIF($B:$B,B231,$K:$K)/K231</f>
        <v>1660</v>
      </c>
      <c r="M231">
        <f>L231/SUMIF($B:$B,B231,$L:$L)</f>
        <v>1.5691197238349296E-3</v>
      </c>
      <c r="N231">
        <f t="shared" si="16"/>
        <v>15691</v>
      </c>
      <c r="O231">
        <f>10000000-SUMIF($B:$B,B231,$N:$N)</f>
        <v>149</v>
      </c>
      <c r="P231" s="19">
        <f>IF(COUNTIF($B$9:B231,B231)&lt;=O231,N231+1,N231)</f>
        <v>15691</v>
      </c>
      <c r="Q231" s="20">
        <f>SUMIF($B:$B,B231,$P:$P)</f>
        <v>10000000</v>
      </c>
      <c r="R231">
        <f t="shared" si="17"/>
        <v>235.36795857523944</v>
      </c>
    </row>
    <row r="232" spans="1:18" ht="23.25" x14ac:dyDescent="0.2">
      <c r="A232" s="15" ph="1">
        <v>21300494</v>
      </c>
      <c r="B232" s="17" t="s">
        <v>1612</v>
      </c>
      <c r="C232" s="15" t="s" ph="1">
        <v>1931</v>
      </c>
      <c r="D232" s="15">
        <v>4000</v>
      </c>
      <c r="E232" s="15" ph="1">
        <v>0</v>
      </c>
      <c r="F232" s="15" t="s" ph="1">
        <v>1655</v>
      </c>
      <c r="G232" s="15" t="str">
        <f t="shared" si="18"/>
        <v>아녜스 소렐 계약서</v>
      </c>
      <c r="H232" s="15">
        <v>5</v>
      </c>
      <c r="I232" s="15">
        <v>10</v>
      </c>
      <c r="J232" s="15">
        <f t="shared" si="19"/>
        <v>78455</v>
      </c>
      <c r="K232" s="15">
        <f t="shared" si="15"/>
        <v>30000</v>
      </c>
      <c r="L232">
        <f>SUMIF($B:$B,B232,$K:$K)/K232</f>
        <v>8300</v>
      </c>
      <c r="M232">
        <f>L232/SUMIF($B:$B,B232,$L:$L)</f>
        <v>7.8455986191746478E-3</v>
      </c>
      <c r="N232">
        <f t="shared" si="16"/>
        <v>78455</v>
      </c>
      <c r="O232">
        <f>10000000-SUMIF($B:$B,B232,$N:$N)</f>
        <v>149</v>
      </c>
      <c r="P232" s="19">
        <f>IF(COUNTIF($B$9:B232,B232)&lt;=O232,N232+1,N232)</f>
        <v>78455</v>
      </c>
      <c r="Q232" s="20">
        <f>SUMIF($B:$B,B232,$P:$P)</f>
        <v>10000000</v>
      </c>
      <c r="R232">
        <f t="shared" si="17"/>
        <v>235.36795857523944</v>
      </c>
    </row>
    <row r="233" spans="1:18" ht="23.25" x14ac:dyDescent="0.2">
      <c r="A233" s="15" ph="1">
        <v>21300502</v>
      </c>
      <c r="B233" s="17" t="s">
        <v>1612</v>
      </c>
      <c r="C233" s="15" t="s" ph="1">
        <v>1932</v>
      </c>
      <c r="D233" s="15">
        <v>4000</v>
      </c>
      <c r="E233" s="15" ph="1">
        <v>0</v>
      </c>
      <c r="F233" s="15" t="s" ph="1">
        <v>1655</v>
      </c>
      <c r="G233" s="15" t="str">
        <f t="shared" si="18"/>
        <v>마리아 피타 계약서</v>
      </c>
      <c r="H233" s="15">
        <v>5</v>
      </c>
      <c r="I233" s="15">
        <v>10</v>
      </c>
      <c r="J233" s="15">
        <f t="shared" si="19"/>
        <v>78455</v>
      </c>
      <c r="K233" s="15">
        <f t="shared" si="15"/>
        <v>30000</v>
      </c>
      <c r="L233">
        <f>SUMIF($B:$B,B233,$K:$K)/K233</f>
        <v>8300</v>
      </c>
      <c r="M233">
        <f>L233/SUMIF($B:$B,B233,$L:$L)</f>
        <v>7.8455986191746478E-3</v>
      </c>
      <c r="N233">
        <f t="shared" si="16"/>
        <v>78455</v>
      </c>
      <c r="O233">
        <f>10000000-SUMIF($B:$B,B233,$N:$N)</f>
        <v>149</v>
      </c>
      <c r="P233" s="19">
        <f>IF(COUNTIF($B$9:B233,B233)&lt;=O233,N233+1,N233)</f>
        <v>78455</v>
      </c>
      <c r="Q233" s="20">
        <f>SUMIF($B:$B,B233,$P:$P)</f>
        <v>10000000</v>
      </c>
      <c r="R233">
        <f t="shared" si="17"/>
        <v>235.36795857523944</v>
      </c>
    </row>
    <row r="234" spans="1:18" ht="23.25" x14ac:dyDescent="0.2">
      <c r="A234" s="15" ph="1">
        <v>21300021</v>
      </c>
      <c r="B234" s="17" t="s">
        <v>1612</v>
      </c>
      <c r="C234" s="15" t="s" ph="1">
        <v>1933</v>
      </c>
      <c r="D234" s="15">
        <v>1000000</v>
      </c>
      <c r="E234" s="15" ph="1">
        <v>0</v>
      </c>
      <c r="F234" s="15" t="s" ph="1">
        <v>1661</v>
      </c>
      <c r="G234" s="15" t="str">
        <f t="shared" ref="G234:G241" si="20">C234&amp;" 계약서"</f>
        <v>갈릴레오 갈릴레이 계약서</v>
      </c>
      <c r="H234" s="15">
        <v>5</v>
      </c>
      <c r="I234" s="15">
        <v>10</v>
      </c>
      <c r="J234" s="15">
        <f t="shared" ref="J234:J241" si="21">P234</f>
        <v>313</v>
      </c>
      <c r="K234" s="15">
        <f t="shared" ref="K234:K241" si="22">AVERAGE(H234:I234)*D234</f>
        <v>7500000</v>
      </c>
      <c r="L234">
        <f>SUMIF($B:$B,B234,$K:$K)/K234</f>
        <v>33.200000000000003</v>
      </c>
      <c r="M234">
        <f>L234/SUMIF($B:$B,B234,$L:$L)</f>
        <v>3.1382394476698592E-5</v>
      </c>
      <c r="N234">
        <f t="shared" ref="N234:N241" si="23">ROUNDDOWN(10000000*M234,0)</f>
        <v>313</v>
      </c>
      <c r="O234">
        <f>10000000-SUMIF($B:$B,B234,$N:$N)</f>
        <v>149</v>
      </c>
      <c r="P234" s="19">
        <f>IF(COUNTIF($B$9:B234,B234)&lt;=O234,N234+1,N234)</f>
        <v>313</v>
      </c>
      <c r="Q234" s="20">
        <f>SUMIF($B:$B,B234,$P:$P)</f>
        <v>10000000</v>
      </c>
      <c r="R234">
        <f t="shared" ref="R234:R241" si="24">M234*K234</f>
        <v>235.36795857523944</v>
      </c>
    </row>
    <row r="235" spans="1:18" ht="23.25" x14ac:dyDescent="0.2">
      <c r="A235" s="15" ph="1">
        <v>21300081</v>
      </c>
      <c r="B235" s="17" t="s">
        <v>1612</v>
      </c>
      <c r="C235" s="15" t="s" ph="1">
        <v>1934</v>
      </c>
      <c r="D235" s="15">
        <v>200000</v>
      </c>
      <c r="E235" s="15" ph="1">
        <v>0</v>
      </c>
      <c r="F235" s="15" t="s" ph="1">
        <v>1854</v>
      </c>
      <c r="G235" s="15" t="str">
        <f t="shared" si="20"/>
        <v>필리푸스 파라켈수스 계약서</v>
      </c>
      <c r="H235" s="15">
        <v>5</v>
      </c>
      <c r="I235" s="15">
        <v>10</v>
      </c>
      <c r="J235" s="15">
        <f t="shared" si="21"/>
        <v>1569</v>
      </c>
      <c r="K235" s="15">
        <f t="shared" si="22"/>
        <v>1500000</v>
      </c>
      <c r="L235">
        <f>SUMIF($B:$B,B235,$K:$K)/K235</f>
        <v>166</v>
      </c>
      <c r="M235">
        <f>L235/SUMIF($B:$B,B235,$L:$L)</f>
        <v>1.5691197238349296E-4</v>
      </c>
      <c r="N235">
        <f t="shared" si="23"/>
        <v>1569</v>
      </c>
      <c r="O235">
        <f>10000000-SUMIF($B:$B,B235,$N:$N)</f>
        <v>149</v>
      </c>
      <c r="P235" s="19">
        <f>IF(COUNTIF($B$9:B235,B235)&lt;=O235,N235+1,N235)</f>
        <v>1569</v>
      </c>
      <c r="Q235" s="20">
        <f>SUMIF($B:$B,B235,$P:$P)</f>
        <v>10000000</v>
      </c>
      <c r="R235">
        <f t="shared" si="24"/>
        <v>235.36795857523944</v>
      </c>
    </row>
    <row r="236" spans="1:18" ht="23.25" x14ac:dyDescent="0.2">
      <c r="A236" s="15" ph="1">
        <v>21300111</v>
      </c>
      <c r="B236" s="17" t="s">
        <v>1612</v>
      </c>
      <c r="C236" s="15" t="s" ph="1">
        <v>1935</v>
      </c>
      <c r="D236" s="15">
        <v>20000</v>
      </c>
      <c r="E236" s="15" ph="1">
        <v>0</v>
      </c>
      <c r="F236" s="15" t="s" ph="1">
        <v>1671</v>
      </c>
      <c r="G236" s="15" t="str">
        <f t="shared" si="20"/>
        <v>이사벨라 코르테세 계약서</v>
      </c>
      <c r="H236" s="15">
        <v>5</v>
      </c>
      <c r="I236" s="15">
        <v>10</v>
      </c>
      <c r="J236" s="15">
        <f t="shared" si="21"/>
        <v>15691</v>
      </c>
      <c r="K236" s="15">
        <f t="shared" si="22"/>
        <v>150000</v>
      </c>
      <c r="L236">
        <f>SUMIF($B:$B,B236,$K:$K)/K236</f>
        <v>1660</v>
      </c>
      <c r="M236">
        <f>L236/SUMIF($B:$B,B236,$L:$L)</f>
        <v>1.5691197238349296E-3</v>
      </c>
      <c r="N236">
        <f t="shared" si="23"/>
        <v>15691</v>
      </c>
      <c r="O236">
        <f>10000000-SUMIF($B:$B,B236,$N:$N)</f>
        <v>149</v>
      </c>
      <c r="P236" s="19">
        <f>IF(COUNTIF($B$9:B236,B236)&lt;=O236,N236+1,N236)</f>
        <v>15691</v>
      </c>
      <c r="Q236" s="20">
        <f>SUMIF($B:$B,B236,$P:$P)</f>
        <v>10000000</v>
      </c>
      <c r="R236">
        <f t="shared" si="24"/>
        <v>235.36795857523944</v>
      </c>
    </row>
    <row r="237" spans="1:18" ht="23.25" x14ac:dyDescent="0.2">
      <c r="A237" s="15" ph="1">
        <v>21300110</v>
      </c>
      <c r="B237" s="17" t="s">
        <v>1612</v>
      </c>
      <c r="C237" s="15" t="s" ph="1">
        <v>1936</v>
      </c>
      <c r="D237" s="15">
        <v>20000</v>
      </c>
      <c r="E237" s="15" ph="1">
        <v>0</v>
      </c>
      <c r="F237" s="15" t="s" ph="1">
        <v>1671</v>
      </c>
      <c r="G237" s="15" t="str">
        <f t="shared" si="20"/>
        <v>루이스 부르주아 계약서</v>
      </c>
      <c r="H237" s="15">
        <v>5</v>
      </c>
      <c r="I237" s="15">
        <v>10</v>
      </c>
      <c r="J237" s="15">
        <f t="shared" si="21"/>
        <v>15691</v>
      </c>
      <c r="K237" s="15">
        <f t="shared" si="22"/>
        <v>150000</v>
      </c>
      <c r="L237">
        <f>SUMIF($B:$B,B237,$K:$K)/K237</f>
        <v>1660</v>
      </c>
      <c r="M237">
        <f>L237/SUMIF($B:$B,B237,$L:$L)</f>
        <v>1.5691197238349296E-3</v>
      </c>
      <c r="N237">
        <f t="shared" si="23"/>
        <v>15691</v>
      </c>
      <c r="O237">
        <f>10000000-SUMIF($B:$B,B237,$N:$N)</f>
        <v>149</v>
      </c>
      <c r="P237" s="19">
        <f>IF(COUNTIF($B$9:B237,B237)&lt;=O237,N237+1,N237)</f>
        <v>15691</v>
      </c>
      <c r="Q237" s="20">
        <f>SUMIF($B:$B,B237,$P:$P)</f>
        <v>10000000</v>
      </c>
      <c r="R237">
        <f t="shared" si="24"/>
        <v>235.36795857523944</v>
      </c>
    </row>
    <row r="238" spans="1:18" ht="23.25" x14ac:dyDescent="0.2">
      <c r="A238" s="15" ph="1">
        <v>21300236</v>
      </c>
      <c r="B238" s="17" t="s">
        <v>1612</v>
      </c>
      <c r="C238" s="15" t="s" ph="1">
        <v>1937</v>
      </c>
      <c r="D238" s="15">
        <v>20000</v>
      </c>
      <c r="E238" s="15" ph="1">
        <v>0</v>
      </c>
      <c r="F238" s="15" t="s" ph="1">
        <v>1671</v>
      </c>
      <c r="G238" s="15" t="str">
        <f t="shared" si="20"/>
        <v>파올로 토스카넬리 계약서</v>
      </c>
      <c r="H238" s="15">
        <v>5</v>
      </c>
      <c r="I238" s="15">
        <v>10</v>
      </c>
      <c r="J238" s="15">
        <f t="shared" si="21"/>
        <v>15691</v>
      </c>
      <c r="K238" s="15">
        <f t="shared" si="22"/>
        <v>150000</v>
      </c>
      <c r="L238">
        <f>SUMIF($B:$B,B238,$K:$K)/K238</f>
        <v>1660</v>
      </c>
      <c r="M238">
        <f>L238/SUMIF($B:$B,B238,$L:$L)</f>
        <v>1.5691197238349296E-3</v>
      </c>
      <c r="N238">
        <f t="shared" si="23"/>
        <v>15691</v>
      </c>
      <c r="O238">
        <f>10000000-SUMIF($B:$B,B238,$N:$N)</f>
        <v>149</v>
      </c>
      <c r="P238" s="19">
        <f>IF(COUNTIF($B$9:B238,B238)&lt;=O238,N238+1,N238)</f>
        <v>15691</v>
      </c>
      <c r="Q238" s="20">
        <f>SUMIF($B:$B,B238,$P:$P)</f>
        <v>10000000</v>
      </c>
      <c r="R238">
        <f t="shared" si="24"/>
        <v>235.36795857523944</v>
      </c>
    </row>
    <row r="239" spans="1:18" ht="23.25" x14ac:dyDescent="0.2">
      <c r="A239" s="15" ph="1">
        <v>21300442</v>
      </c>
      <c r="B239" s="17" t="s">
        <v>1612</v>
      </c>
      <c r="C239" s="15" t="s" ph="1">
        <v>1938</v>
      </c>
      <c r="D239" s="15">
        <v>4000</v>
      </c>
      <c r="E239" s="15" ph="1">
        <v>0</v>
      </c>
      <c r="F239" s="15" t="s" ph="1">
        <v>1655</v>
      </c>
      <c r="G239" s="15" t="str">
        <f t="shared" si="20"/>
        <v>니콜라스 플라멜 계약서</v>
      </c>
      <c r="H239" s="15">
        <v>5</v>
      </c>
      <c r="I239" s="15">
        <v>10</v>
      </c>
      <c r="J239" s="15">
        <f t="shared" si="21"/>
        <v>78455</v>
      </c>
      <c r="K239" s="15">
        <f t="shared" si="22"/>
        <v>30000</v>
      </c>
      <c r="L239">
        <f>SUMIF($B:$B,B239,$K:$K)/K239</f>
        <v>8300</v>
      </c>
      <c r="M239">
        <f>L239/SUMIF($B:$B,B239,$L:$L)</f>
        <v>7.8455986191746478E-3</v>
      </c>
      <c r="N239">
        <f t="shared" si="23"/>
        <v>78455</v>
      </c>
      <c r="O239">
        <f>10000000-SUMIF($B:$B,B239,$N:$N)</f>
        <v>149</v>
      </c>
      <c r="P239" s="19">
        <f>IF(COUNTIF($B$9:B239,B239)&lt;=O239,N239+1,N239)</f>
        <v>78455</v>
      </c>
      <c r="Q239" s="20">
        <f>SUMIF($B:$B,B239,$P:$P)</f>
        <v>10000000</v>
      </c>
      <c r="R239">
        <f t="shared" si="24"/>
        <v>235.36795857523944</v>
      </c>
    </row>
    <row r="240" spans="1:18" ht="23.25" x14ac:dyDescent="0.2">
      <c r="A240" s="15" ph="1">
        <v>21300500</v>
      </c>
      <c r="B240" s="17" t="s">
        <v>1612</v>
      </c>
      <c r="C240" s="15" t="s" ph="1">
        <v>1939</v>
      </c>
      <c r="D240" s="15">
        <v>4000</v>
      </c>
      <c r="E240" s="15" ph="1">
        <v>0</v>
      </c>
      <c r="F240" s="15" t="s" ph="1">
        <v>1655</v>
      </c>
      <c r="G240" s="15" t="str">
        <f t="shared" si="20"/>
        <v>카산드라 페델레 계약서</v>
      </c>
      <c r="H240" s="15">
        <v>5</v>
      </c>
      <c r="I240" s="15">
        <v>10</v>
      </c>
      <c r="J240" s="15">
        <f t="shared" si="21"/>
        <v>78455</v>
      </c>
      <c r="K240" s="15">
        <f t="shared" si="22"/>
        <v>30000</v>
      </c>
      <c r="L240">
        <f>SUMIF($B:$B,B240,$K:$K)/K240</f>
        <v>8300</v>
      </c>
      <c r="M240">
        <f>L240/SUMIF($B:$B,B240,$L:$L)</f>
        <v>7.8455986191746478E-3</v>
      </c>
      <c r="N240">
        <f t="shared" si="23"/>
        <v>78455</v>
      </c>
      <c r="O240">
        <f>10000000-SUMIF($B:$B,B240,$N:$N)</f>
        <v>149</v>
      </c>
      <c r="P240" s="19">
        <f>IF(COUNTIF($B$9:B240,B240)&lt;=O240,N240+1,N240)</f>
        <v>78455</v>
      </c>
      <c r="Q240" s="20">
        <f>SUMIF($B:$B,B240,$P:$P)</f>
        <v>10000000</v>
      </c>
      <c r="R240">
        <f t="shared" si="24"/>
        <v>235.36795857523944</v>
      </c>
    </row>
    <row r="241" spans="1:18" ht="23.25" x14ac:dyDescent="0.2">
      <c r="A241" s="15" ph="1">
        <v>21300331</v>
      </c>
      <c r="B241" s="17" t="s">
        <v>1612</v>
      </c>
      <c r="C241" s="15" t="s" ph="1">
        <v>1940</v>
      </c>
      <c r="D241" s="15">
        <v>4000</v>
      </c>
      <c r="E241" s="15" ph="1">
        <v>0</v>
      </c>
      <c r="F241" s="15" t="s" ph="1">
        <v>1655</v>
      </c>
      <c r="G241" s="15" t="str">
        <f t="shared" si="20"/>
        <v>두아르트 페레이라 계약서</v>
      </c>
      <c r="H241" s="15">
        <v>5</v>
      </c>
      <c r="I241" s="15">
        <v>10</v>
      </c>
      <c r="J241" s="15">
        <f t="shared" si="21"/>
        <v>78455</v>
      </c>
      <c r="K241" s="15">
        <f t="shared" si="22"/>
        <v>30000</v>
      </c>
      <c r="L241">
        <f>SUMIF($B:$B,B241,$K:$K)/K241</f>
        <v>8300</v>
      </c>
      <c r="M241">
        <f>L241/SUMIF($B:$B,B241,$L:$L)</f>
        <v>7.8455986191746478E-3</v>
      </c>
      <c r="N241">
        <f t="shared" si="23"/>
        <v>78455</v>
      </c>
      <c r="O241">
        <f>10000000-SUMIF($B:$B,B241,$N:$N)</f>
        <v>149</v>
      </c>
      <c r="P241" s="19">
        <f>IF(COUNTIF($B$9:B325,B241)&lt;=O241,N241+1,N241)</f>
        <v>78455</v>
      </c>
      <c r="Q241" s="20">
        <f>SUMIF($B:$B,B241,$P:$P)</f>
        <v>10000000</v>
      </c>
      <c r="R241">
        <f t="shared" si="24"/>
        <v>235.36795857523944</v>
      </c>
    </row>
    <row r="242" spans="1:18" ht="23.25" x14ac:dyDescent="0.2">
      <c r="A242" s="15" ph="1">
        <v>21300065</v>
      </c>
      <c r="B242" s="17" t="s">
        <v>1612</v>
      </c>
      <c r="C242" s="15" t="s" ph="1">
        <v>1890</v>
      </c>
      <c r="D242" s="15">
        <v>1000000</v>
      </c>
      <c r="E242" s="15" ph="1">
        <v>0</v>
      </c>
      <c r="F242" s="15" t="s" ph="1">
        <v>1661</v>
      </c>
      <c r="G242" s="15" t="str">
        <f t="shared" ref="G242:G256" si="25">C242&amp;" 계약서"</f>
        <v>바스쿠 다가마 계약서</v>
      </c>
      <c r="H242" s="15">
        <v>5</v>
      </c>
      <c r="I242" s="15">
        <v>10</v>
      </c>
      <c r="J242" s="15">
        <f t="shared" ref="J242:J256" si="26">P242</f>
        <v>313</v>
      </c>
      <c r="K242" s="15">
        <f t="shared" ref="K242:K256" si="27">AVERAGE(H242:I242)*D242</f>
        <v>7500000</v>
      </c>
      <c r="L242">
        <f>SUMIF($B:$B,B242,$K:$K)/K242</f>
        <v>33.200000000000003</v>
      </c>
      <c r="M242">
        <f>L242/SUMIF($B:$B,B242,$L:$L)</f>
        <v>3.1382394476698592E-5</v>
      </c>
      <c r="N242">
        <f t="shared" ref="N242:N256" si="28">ROUNDDOWN(10000000*M242,0)</f>
        <v>313</v>
      </c>
      <c r="O242">
        <f>10000000-SUMIF($B:$B,B242,$N:$N)</f>
        <v>149</v>
      </c>
      <c r="P242" s="19">
        <f>IF(COUNTIF($B$9:B293,B242)&lt;=O242,N242+1,N242)</f>
        <v>313</v>
      </c>
      <c r="Q242" s="20">
        <f>SUMIF($B:$B,B242,$P:$P)</f>
        <v>10000000</v>
      </c>
      <c r="R242">
        <f t="shared" ref="R242:R256" si="29">M242*K242</f>
        <v>235.36795857523944</v>
      </c>
    </row>
    <row r="243" spans="1:18" ht="23.25" x14ac:dyDescent="0.2">
      <c r="A243" s="15" ph="1">
        <v>21200006</v>
      </c>
      <c r="B243" s="17" t="s">
        <v>1612</v>
      </c>
      <c r="C243" s="15" t="s" ph="1">
        <v>1910</v>
      </c>
      <c r="D243" s="15">
        <v>1000000</v>
      </c>
      <c r="E243" s="15" ph="1">
        <v>0</v>
      </c>
      <c r="F243" s="15" t="s" ph="1">
        <v>1661</v>
      </c>
      <c r="G243" s="15" t="str">
        <f t="shared" si="25"/>
        <v>피에트로 콘티 계약서</v>
      </c>
      <c r="H243" s="15">
        <v>5</v>
      </c>
      <c r="I243" s="15">
        <v>10</v>
      </c>
      <c r="J243" s="15">
        <f t="shared" si="26"/>
        <v>313</v>
      </c>
      <c r="K243" s="15">
        <f t="shared" si="27"/>
        <v>7500000</v>
      </c>
      <c r="L243">
        <f>SUMIF($B:$B,B243,$K:$K)/K243</f>
        <v>33.200000000000003</v>
      </c>
      <c r="M243">
        <f>L243/SUMIF($B:$B,B243,$L:$L)</f>
        <v>3.1382394476698592E-5</v>
      </c>
      <c r="N243">
        <f t="shared" si="28"/>
        <v>313</v>
      </c>
      <c r="O243">
        <f>10000000-SUMIF($B:$B,B243,$N:$N)</f>
        <v>149</v>
      </c>
      <c r="P243" s="19">
        <f>IF(COUNTIF($B$9:B243,B243)&lt;=O243,N243+1,N243)</f>
        <v>313</v>
      </c>
      <c r="Q243" s="20">
        <f>SUMIF($B:$B,B243,$P:$P)</f>
        <v>10000000</v>
      </c>
      <c r="R243">
        <f t="shared" si="29"/>
        <v>235.36795857523944</v>
      </c>
    </row>
    <row r="244" spans="1:18" ht="23.25" x14ac:dyDescent="0.2">
      <c r="A244" s="15" ph="1">
        <v>21300142</v>
      </c>
      <c r="B244" s="17" t="s">
        <v>1612</v>
      </c>
      <c r="C244" s="15" t="s" ph="1">
        <v>1911</v>
      </c>
      <c r="D244" s="15">
        <v>20000</v>
      </c>
      <c r="E244" s="15" ph="1">
        <v>0</v>
      </c>
      <c r="F244" s="15" t="s" ph="1">
        <v>1671</v>
      </c>
      <c r="G244" s="15" t="str">
        <f t="shared" si="25"/>
        <v>카미로 스테파노 계약서</v>
      </c>
      <c r="H244" s="15">
        <v>5</v>
      </c>
      <c r="I244" s="15">
        <v>10</v>
      </c>
      <c r="J244" s="15">
        <f t="shared" si="26"/>
        <v>15691</v>
      </c>
      <c r="K244" s="15">
        <f t="shared" si="27"/>
        <v>150000</v>
      </c>
      <c r="L244">
        <f>SUMIF($B:$B,B244,$K:$K)/K244</f>
        <v>1660</v>
      </c>
      <c r="M244">
        <f>L244/SUMIF($B:$B,B244,$L:$L)</f>
        <v>1.5691197238349296E-3</v>
      </c>
      <c r="N244">
        <f t="shared" si="28"/>
        <v>15691</v>
      </c>
      <c r="O244">
        <f>10000000-SUMIF($B:$B,B244,$N:$N)</f>
        <v>149</v>
      </c>
      <c r="P244" s="19">
        <f>IF(COUNTIF($B$9:B310,B244)&lt;=O244,N244+1,N244)</f>
        <v>15691</v>
      </c>
      <c r="Q244" s="20">
        <f>SUMIF($B:$B,B244,$P:$P)</f>
        <v>10000000</v>
      </c>
      <c r="R244">
        <f t="shared" si="29"/>
        <v>235.36795857523944</v>
      </c>
    </row>
    <row r="245" spans="1:18" ht="23.25" x14ac:dyDescent="0.2">
      <c r="A245" s="15" ph="1">
        <v>21300513</v>
      </c>
      <c r="B245" s="17" t="s">
        <v>1612</v>
      </c>
      <c r="C245" s="15" t="s" ph="1">
        <v>1891</v>
      </c>
      <c r="D245" s="15">
        <v>1000000</v>
      </c>
      <c r="E245" s="15" ph="1">
        <v>0</v>
      </c>
      <c r="F245" s="15" t="s" ph="1">
        <v>1661</v>
      </c>
      <c r="G245" s="15" t="str">
        <f t="shared" si="25"/>
        <v>티노카틀1 계약서</v>
      </c>
      <c r="H245" s="15">
        <v>5</v>
      </c>
      <c r="I245" s="15">
        <v>10</v>
      </c>
      <c r="J245" s="15">
        <f t="shared" si="26"/>
        <v>313</v>
      </c>
      <c r="K245" s="15">
        <f t="shared" si="27"/>
        <v>7500000</v>
      </c>
      <c r="L245">
        <f>SUMIF($B:$B,B245,$K:$K)/K245</f>
        <v>33.200000000000003</v>
      </c>
      <c r="M245">
        <f>L245/SUMIF($B:$B,B245,$L:$L)</f>
        <v>3.1382394476698592E-5</v>
      </c>
      <c r="N245">
        <f t="shared" si="28"/>
        <v>313</v>
      </c>
      <c r="O245">
        <f>10000000-SUMIF($B:$B,B245,$N:$N)</f>
        <v>149</v>
      </c>
      <c r="P245" s="19">
        <f>IF(COUNTIF($B$9:B293,B245)&lt;=O245,N245+1,N245)</f>
        <v>313</v>
      </c>
      <c r="Q245" s="20">
        <f>SUMIF($B:$B,B245,$P:$P)</f>
        <v>10000000</v>
      </c>
      <c r="R245">
        <f t="shared" si="29"/>
        <v>235.36795857523944</v>
      </c>
    </row>
    <row r="246" spans="1:18" ht="23.25" x14ac:dyDescent="0.2">
      <c r="A246" s="15" ph="1">
        <v>21200007</v>
      </c>
      <c r="B246" s="17" t="s">
        <v>1612</v>
      </c>
      <c r="C246" s="15" t="s" ph="1">
        <v>1912</v>
      </c>
      <c r="D246" s="15">
        <v>1000000</v>
      </c>
      <c r="E246" s="15" ph="1">
        <v>0</v>
      </c>
      <c r="F246" s="15" t="s" ph="1">
        <v>1661</v>
      </c>
      <c r="G246" s="15" t="str">
        <f t="shared" si="25"/>
        <v>밀란다 베르테 계약서</v>
      </c>
      <c r="H246" s="15">
        <v>5</v>
      </c>
      <c r="I246" s="15">
        <v>10</v>
      </c>
      <c r="J246" s="15">
        <f t="shared" si="26"/>
        <v>313</v>
      </c>
      <c r="K246" s="15">
        <f t="shared" si="27"/>
        <v>7500000</v>
      </c>
      <c r="L246">
        <f>SUMIF($B:$B,B246,$K:$K)/K246</f>
        <v>33.200000000000003</v>
      </c>
      <c r="M246">
        <f>L246/SUMIF($B:$B,B246,$L:$L)</f>
        <v>3.1382394476698592E-5</v>
      </c>
      <c r="N246">
        <f t="shared" si="28"/>
        <v>313</v>
      </c>
      <c r="O246">
        <f>10000000-SUMIF($B:$B,B246,$N:$N)</f>
        <v>149</v>
      </c>
      <c r="P246" s="19">
        <f>IF(COUNTIF($B$9:B246,B246)&lt;=O246,N246+1,N246)</f>
        <v>313</v>
      </c>
      <c r="Q246" s="20">
        <f>SUMIF($B:$B,B246,$P:$P)</f>
        <v>10000000</v>
      </c>
      <c r="R246">
        <f t="shared" si="29"/>
        <v>235.36795857523944</v>
      </c>
    </row>
    <row r="247" spans="1:18" ht="23.25" x14ac:dyDescent="0.2">
      <c r="A247" s="15" ph="1">
        <v>21300251</v>
      </c>
      <c r="B247" s="17" t="s">
        <v>1612</v>
      </c>
      <c r="C247" s="15" t="s" ph="1">
        <v>1913</v>
      </c>
      <c r="D247" s="15">
        <v>20000</v>
      </c>
      <c r="E247" s="15" ph="1">
        <v>0</v>
      </c>
      <c r="F247" s="15" t="s" ph="1">
        <v>1671</v>
      </c>
      <c r="G247" s="15" t="str">
        <f t="shared" si="25"/>
        <v>토니오 롯시 계약서</v>
      </c>
      <c r="H247" s="15">
        <v>5</v>
      </c>
      <c r="I247" s="15">
        <v>10</v>
      </c>
      <c r="J247" s="15">
        <f t="shared" si="26"/>
        <v>15691</v>
      </c>
      <c r="K247" s="15">
        <f t="shared" si="27"/>
        <v>150000</v>
      </c>
      <c r="L247">
        <f>SUMIF($B:$B,B247,$K:$K)/K247</f>
        <v>1660</v>
      </c>
      <c r="M247">
        <f>L247/SUMIF($B:$B,B247,$L:$L)</f>
        <v>1.5691197238349296E-3</v>
      </c>
      <c r="N247">
        <f t="shared" si="28"/>
        <v>15691</v>
      </c>
      <c r="O247">
        <f>10000000-SUMIF($B:$B,B247,$N:$N)</f>
        <v>149</v>
      </c>
      <c r="P247" s="19">
        <f>IF(COUNTIF($B$9:B247,B247)&lt;=O247,N247+1,N247)</f>
        <v>15691</v>
      </c>
      <c r="Q247" s="20">
        <f>SUMIF($B:$B,B247,$P:$P)</f>
        <v>10000000</v>
      </c>
      <c r="R247">
        <f t="shared" si="29"/>
        <v>235.36795857523944</v>
      </c>
    </row>
    <row r="248" spans="1:18" ht="23.25" x14ac:dyDescent="0.2">
      <c r="A248" s="15" ph="1">
        <v>21300511</v>
      </c>
      <c r="B248" s="17" t="s">
        <v>1612</v>
      </c>
      <c r="C248" s="15" t="s" ph="1">
        <v>1914</v>
      </c>
      <c r="D248" s="15">
        <v>20000</v>
      </c>
      <c r="E248" s="15" ph="1">
        <v>0</v>
      </c>
      <c r="F248" s="15" t="s" ph="1">
        <v>1671</v>
      </c>
      <c r="G248" s="15" t="str">
        <f t="shared" si="25"/>
        <v>카츄아파 계약서</v>
      </c>
      <c r="H248" s="15">
        <v>5</v>
      </c>
      <c r="I248" s="15">
        <v>10</v>
      </c>
      <c r="J248" s="15">
        <f t="shared" si="26"/>
        <v>15691</v>
      </c>
      <c r="K248" s="15">
        <f t="shared" si="27"/>
        <v>150000</v>
      </c>
      <c r="L248">
        <f>SUMIF($B:$B,B248,$K:$K)/K248</f>
        <v>1660</v>
      </c>
      <c r="M248">
        <f>L248/SUMIF($B:$B,B248,$L:$L)</f>
        <v>1.5691197238349296E-3</v>
      </c>
      <c r="N248">
        <f t="shared" si="28"/>
        <v>15691</v>
      </c>
      <c r="O248">
        <f>10000000-SUMIF($B:$B,B248,$N:$N)</f>
        <v>149</v>
      </c>
      <c r="P248" s="19">
        <f>IF(COUNTIF($B$9:B310,B248)&lt;=O248,N248+1,N248)</f>
        <v>15691</v>
      </c>
      <c r="Q248" s="20">
        <f>SUMIF($B:$B,B248,$P:$P)</f>
        <v>10000000</v>
      </c>
      <c r="R248">
        <f t="shared" si="29"/>
        <v>235.36795857523944</v>
      </c>
    </row>
    <row r="249" spans="1:18" ht="23.25" x14ac:dyDescent="0.2">
      <c r="A249" s="15" ph="1">
        <v>21300011</v>
      </c>
      <c r="B249" s="17" t="s">
        <v>1612</v>
      </c>
      <c r="C249" s="15" t="s" ph="1">
        <v>1941</v>
      </c>
      <c r="D249" s="15">
        <v>1000000</v>
      </c>
      <c r="E249" s="15" ph="1">
        <v>0</v>
      </c>
      <c r="F249" s="15" t="s" ph="1">
        <v>1661</v>
      </c>
      <c r="G249" s="15" t="str">
        <f t="shared" si="25"/>
        <v>줄리 도비니 계약서</v>
      </c>
      <c r="H249" s="15">
        <v>5</v>
      </c>
      <c r="I249" s="15">
        <v>10</v>
      </c>
      <c r="J249" s="15">
        <f t="shared" si="26"/>
        <v>313</v>
      </c>
      <c r="K249" s="15">
        <f t="shared" si="27"/>
        <v>7500000</v>
      </c>
      <c r="L249">
        <f>SUMIF($B:$B,B249,$K:$K)/K249</f>
        <v>33.200000000000003</v>
      </c>
      <c r="M249">
        <f>L249/SUMIF($B:$B,B249,$L:$L)</f>
        <v>3.1382394476698592E-5</v>
      </c>
      <c r="N249">
        <f t="shared" si="28"/>
        <v>313</v>
      </c>
      <c r="O249">
        <f>10000000-SUMIF($B:$B,B249,$N:$N)</f>
        <v>149</v>
      </c>
      <c r="P249" s="19">
        <f>IF(COUNTIF($B$9:B249,B249)&lt;=O249,N249+1,N249)</f>
        <v>313</v>
      </c>
      <c r="Q249" s="20">
        <f>SUMIF($B:$B,B249,$P:$P)</f>
        <v>10000000</v>
      </c>
      <c r="R249">
        <f t="shared" si="29"/>
        <v>235.36795857523944</v>
      </c>
    </row>
    <row r="250" spans="1:18" ht="23.25" x14ac:dyDescent="0.2">
      <c r="A250" s="15" ph="1">
        <v>21300036</v>
      </c>
      <c r="B250" s="17" t="s">
        <v>1612</v>
      </c>
      <c r="C250" s="15" t="s" ph="1">
        <v>1942</v>
      </c>
      <c r="D250" s="15">
        <v>200000</v>
      </c>
      <c r="E250" s="15" ph="1">
        <v>0</v>
      </c>
      <c r="F250" s="15" t="s" ph="1">
        <v>1854</v>
      </c>
      <c r="G250" s="15" t="str">
        <f t="shared" si="25"/>
        <v>카테리나 스포르차 계약서</v>
      </c>
      <c r="H250" s="15">
        <v>5</v>
      </c>
      <c r="I250" s="15">
        <v>10</v>
      </c>
      <c r="J250" s="15">
        <f t="shared" si="26"/>
        <v>1569</v>
      </c>
      <c r="K250" s="15">
        <f t="shared" si="27"/>
        <v>1500000</v>
      </c>
      <c r="L250">
        <f>SUMIF($B:$B,B250,$K:$K)/K250</f>
        <v>166</v>
      </c>
      <c r="M250">
        <f>L250/SUMIF($B:$B,B250,$L:$L)</f>
        <v>1.5691197238349296E-4</v>
      </c>
      <c r="N250">
        <f t="shared" si="28"/>
        <v>1569</v>
      </c>
      <c r="O250">
        <f>10000000-SUMIF($B:$B,B250,$N:$N)</f>
        <v>149</v>
      </c>
      <c r="P250" s="19">
        <f>IF(COUNTIF($B$9:B250,B250)&lt;=O250,N250+1,N250)</f>
        <v>1569</v>
      </c>
      <c r="Q250" s="20">
        <f>SUMIF($B:$B,B250,$P:$P)</f>
        <v>10000000</v>
      </c>
      <c r="R250">
        <f t="shared" si="29"/>
        <v>235.36795857523944</v>
      </c>
    </row>
    <row r="251" spans="1:18" ht="23.25" x14ac:dyDescent="0.2">
      <c r="A251" s="15" ph="1">
        <v>21300060</v>
      </c>
      <c r="B251" s="17" t="s">
        <v>1612</v>
      </c>
      <c r="C251" s="15" t="s" ph="1">
        <v>1943</v>
      </c>
      <c r="D251" s="15">
        <v>200000</v>
      </c>
      <c r="E251" s="15" ph="1">
        <v>0</v>
      </c>
      <c r="F251" s="15" t="s" ph="1">
        <v>1854</v>
      </c>
      <c r="G251" s="15" t="str">
        <f t="shared" si="25"/>
        <v>시모네타 베스푸치 계약서</v>
      </c>
      <c r="H251" s="15">
        <v>5</v>
      </c>
      <c r="I251" s="15">
        <v>10</v>
      </c>
      <c r="J251" s="15">
        <f t="shared" si="26"/>
        <v>1569</v>
      </c>
      <c r="K251" s="15">
        <f t="shared" si="27"/>
        <v>1500000</v>
      </c>
      <c r="L251">
        <f>SUMIF($B:$B,B251,$K:$K)/K251</f>
        <v>166</v>
      </c>
      <c r="M251">
        <f>L251/SUMIF($B:$B,B251,$L:$L)</f>
        <v>1.5691197238349296E-4</v>
      </c>
      <c r="N251">
        <f t="shared" si="28"/>
        <v>1569</v>
      </c>
      <c r="O251">
        <f>10000000-SUMIF($B:$B,B251,$N:$N)</f>
        <v>149</v>
      </c>
      <c r="P251" s="19">
        <f>IF(COUNTIF($B$9:B251,B251)&lt;=O251,N251+1,N251)</f>
        <v>1569</v>
      </c>
      <c r="Q251" s="20">
        <f>SUMIF($B:$B,B251,$P:$P)</f>
        <v>10000000</v>
      </c>
      <c r="R251">
        <f t="shared" si="29"/>
        <v>235.36795857523944</v>
      </c>
    </row>
    <row r="252" spans="1:18" ht="23.25" x14ac:dyDescent="0.2">
      <c r="A252" s="15" ph="1">
        <v>21300154</v>
      </c>
      <c r="B252" s="17" t="s">
        <v>1612</v>
      </c>
      <c r="C252" s="15" t="s" ph="1">
        <v>1944</v>
      </c>
      <c r="D252" s="15">
        <v>20000</v>
      </c>
      <c r="E252" s="15" ph="1">
        <v>0</v>
      </c>
      <c r="F252" s="15" t="s" ph="1">
        <v>1671</v>
      </c>
      <c r="G252" s="15" t="str">
        <f t="shared" si="25"/>
        <v>존 데이비스 계약서</v>
      </c>
      <c r="H252" s="15">
        <v>5</v>
      </c>
      <c r="I252" s="15">
        <v>10</v>
      </c>
      <c r="J252" s="15">
        <f t="shared" si="26"/>
        <v>15691</v>
      </c>
      <c r="K252" s="15">
        <f t="shared" si="27"/>
        <v>150000</v>
      </c>
      <c r="L252">
        <f>SUMIF($B:$B,B252,$K:$K)/K252</f>
        <v>1660</v>
      </c>
      <c r="M252">
        <f>L252/SUMIF($B:$B,B252,$L:$L)</f>
        <v>1.5691197238349296E-3</v>
      </c>
      <c r="N252">
        <f t="shared" si="28"/>
        <v>15691</v>
      </c>
      <c r="O252">
        <f>10000000-SUMIF($B:$B,B252,$N:$N)</f>
        <v>149</v>
      </c>
      <c r="P252" s="19">
        <f>IF(COUNTIF($B$9:B252,B252)&lt;=O252,N252+1,N252)</f>
        <v>15691</v>
      </c>
      <c r="Q252" s="20">
        <f>SUMIF($B:$B,B252,$P:$P)</f>
        <v>10000000</v>
      </c>
      <c r="R252">
        <f t="shared" si="29"/>
        <v>235.36795857523944</v>
      </c>
    </row>
    <row r="253" spans="1:18" ht="23.25" x14ac:dyDescent="0.2">
      <c r="A253" s="15" ph="1">
        <v>21300130</v>
      </c>
      <c r="B253" s="17" t="s">
        <v>1612</v>
      </c>
      <c r="C253" s="15" t="s" ph="1">
        <v>1945</v>
      </c>
      <c r="D253" s="15">
        <v>20000</v>
      </c>
      <c r="E253" s="15" ph="1">
        <v>0</v>
      </c>
      <c r="F253" s="15" t="s" ph="1">
        <v>1671</v>
      </c>
      <c r="G253" s="15" t="str">
        <f t="shared" si="25"/>
        <v>아나 데멘도사 계약서</v>
      </c>
      <c r="H253" s="15">
        <v>5</v>
      </c>
      <c r="I253" s="15">
        <v>10</v>
      </c>
      <c r="J253" s="15">
        <f t="shared" si="26"/>
        <v>15691</v>
      </c>
      <c r="K253" s="15">
        <f t="shared" si="27"/>
        <v>150000</v>
      </c>
      <c r="L253">
        <f>SUMIF($B:$B,B253,$K:$K)/K253</f>
        <v>1660</v>
      </c>
      <c r="M253">
        <f>L253/SUMIF($B:$B,B253,$L:$L)</f>
        <v>1.5691197238349296E-3</v>
      </c>
      <c r="N253">
        <f t="shared" si="28"/>
        <v>15691</v>
      </c>
      <c r="O253">
        <f>10000000-SUMIF($B:$B,B253,$N:$N)</f>
        <v>149</v>
      </c>
      <c r="P253" s="19">
        <f>IF(COUNTIF($B$9:B253,B253)&lt;=O253,N253+1,N253)</f>
        <v>15691</v>
      </c>
      <c r="Q253" s="20">
        <f>SUMIF($B:$B,B253,$P:$P)</f>
        <v>10000000</v>
      </c>
      <c r="R253">
        <f t="shared" si="29"/>
        <v>235.36795857523944</v>
      </c>
    </row>
    <row r="254" spans="1:18" ht="23.25" x14ac:dyDescent="0.2">
      <c r="A254" s="15" ph="1">
        <v>21300370</v>
      </c>
      <c r="B254" s="17" t="s">
        <v>1612</v>
      </c>
      <c r="C254" s="15" t="s" ph="1">
        <v>1946</v>
      </c>
      <c r="D254" s="15">
        <v>4000</v>
      </c>
      <c r="E254" s="15" ph="1">
        <v>0</v>
      </c>
      <c r="F254" s="15" t="s" ph="1">
        <v>1655</v>
      </c>
      <c r="G254" s="15" t="str">
        <f t="shared" si="25"/>
        <v>월터 로런스 계약서</v>
      </c>
      <c r="H254" s="15">
        <v>5</v>
      </c>
      <c r="I254" s="15">
        <v>10</v>
      </c>
      <c r="J254" s="15">
        <f t="shared" si="26"/>
        <v>78455</v>
      </c>
      <c r="K254" s="15">
        <f t="shared" si="27"/>
        <v>30000</v>
      </c>
      <c r="L254">
        <f>SUMIF($B:$B,B254,$K:$K)/K254</f>
        <v>8300</v>
      </c>
      <c r="M254">
        <f>L254/SUMIF($B:$B,B254,$L:$L)</f>
        <v>7.8455986191746478E-3</v>
      </c>
      <c r="N254">
        <f t="shared" si="28"/>
        <v>78455</v>
      </c>
      <c r="O254">
        <f>10000000-SUMIF($B:$B,B254,$N:$N)</f>
        <v>149</v>
      </c>
      <c r="P254" s="19">
        <f>IF(COUNTIF($B$9:B254,B254)&lt;=O254,N254+1,N254)</f>
        <v>78455</v>
      </c>
      <c r="Q254" s="20">
        <f>SUMIF($B:$B,B254,$P:$P)</f>
        <v>10000000</v>
      </c>
      <c r="R254">
        <f t="shared" si="29"/>
        <v>235.36795857523944</v>
      </c>
    </row>
    <row r="255" spans="1:18" ht="23.25" x14ac:dyDescent="0.2">
      <c r="A255" s="15" ph="1">
        <v>21300309</v>
      </c>
      <c r="B255" s="17" t="s">
        <v>1612</v>
      </c>
      <c r="C255" s="15" t="s" ph="1">
        <v>1947</v>
      </c>
      <c r="D255" s="15">
        <v>4000</v>
      </c>
      <c r="E255" s="15" ph="1">
        <v>0</v>
      </c>
      <c r="F255" s="15" t="s" ph="1">
        <v>1655</v>
      </c>
      <c r="G255" s="15" t="str">
        <f t="shared" si="25"/>
        <v>비올란테 도리아 계약서</v>
      </c>
      <c r="H255" s="15">
        <v>5</v>
      </c>
      <c r="I255" s="15">
        <v>10</v>
      </c>
      <c r="J255" s="15">
        <f t="shared" si="26"/>
        <v>78455</v>
      </c>
      <c r="K255" s="15">
        <f t="shared" si="27"/>
        <v>30000</v>
      </c>
      <c r="L255">
        <f>SUMIF($B:$B,B255,$K:$K)/K255</f>
        <v>8300</v>
      </c>
      <c r="M255">
        <f>L255/SUMIF($B:$B,B255,$L:$L)</f>
        <v>7.8455986191746478E-3</v>
      </c>
      <c r="N255">
        <f t="shared" si="28"/>
        <v>78455</v>
      </c>
      <c r="O255">
        <f>10000000-SUMIF($B:$B,B255,$N:$N)</f>
        <v>149</v>
      </c>
      <c r="P255" s="19">
        <f>IF(COUNTIF($B$9:B255,B255)&lt;=O255,N255+1,N255)</f>
        <v>78455</v>
      </c>
      <c r="Q255" s="20">
        <f>SUMIF($B:$B,B255,$P:$P)</f>
        <v>10000000</v>
      </c>
      <c r="R255">
        <f t="shared" si="29"/>
        <v>235.36795857523944</v>
      </c>
    </row>
    <row r="256" spans="1:18" ht="23.25" x14ac:dyDescent="0.2">
      <c r="A256" s="15" ph="1">
        <v>21300493</v>
      </c>
      <c r="B256" s="17" t="s">
        <v>1612</v>
      </c>
      <c r="C256" s="15" t="s" ph="1">
        <v>1948</v>
      </c>
      <c r="D256" s="15">
        <v>4000</v>
      </c>
      <c r="E256" s="15" ph="1">
        <v>0</v>
      </c>
      <c r="F256" s="15" t="s" ph="1">
        <v>1655</v>
      </c>
      <c r="G256" s="15" t="str">
        <f t="shared" si="25"/>
        <v>프란체스카 카치니 계약서</v>
      </c>
      <c r="H256" s="15">
        <v>5</v>
      </c>
      <c r="I256" s="15">
        <v>10</v>
      </c>
      <c r="J256" s="15">
        <f t="shared" si="26"/>
        <v>78455</v>
      </c>
      <c r="K256" s="15">
        <f t="shared" si="27"/>
        <v>30000</v>
      </c>
      <c r="L256">
        <f>SUMIF($B:$B,B256,$K:$K)/K256</f>
        <v>8300</v>
      </c>
      <c r="M256">
        <f>L256/SUMIF($B:$B,B256,$L:$L)</f>
        <v>7.8455986191746478E-3</v>
      </c>
      <c r="N256">
        <f t="shared" si="28"/>
        <v>78455</v>
      </c>
      <c r="O256">
        <f>10000000-SUMIF($B:$B,B256,$N:$N)</f>
        <v>149</v>
      </c>
      <c r="P256" s="19">
        <f>IF(COUNTIF($B$9:B325,B256)&lt;=O256,N256+1,N256)</f>
        <v>78455</v>
      </c>
      <c r="Q256" s="20">
        <f>SUMIF($B:$B,B256,$P:$P)</f>
        <v>10000000</v>
      </c>
      <c r="R256">
        <f t="shared" si="29"/>
        <v>235.36795857523944</v>
      </c>
    </row>
    <row r="257" spans="1:18" ht="23.25" x14ac:dyDescent="0.2">
      <c r="A257" s="15" ph="1">
        <v>21300007</v>
      </c>
      <c r="B257" s="17" t="s">
        <v>1612</v>
      </c>
      <c r="C257" s="15" t="s" ph="1">
        <v>1949</v>
      </c>
      <c r="D257" s="15">
        <v>1000000</v>
      </c>
      <c r="E257" s="15" ph="1">
        <v>0</v>
      </c>
      <c r="F257" s="15" t="s" ph="1">
        <v>1661</v>
      </c>
      <c r="G257" s="15" t="str">
        <f t="shared" ref="G257:G264" si="30">C257&amp;" 계약서"</f>
        <v>카라 룸루 계약서</v>
      </c>
      <c r="H257" s="15">
        <v>5</v>
      </c>
      <c r="I257" s="15">
        <v>10</v>
      </c>
      <c r="J257" s="15">
        <f t="shared" ref="J257:J264" si="31">P257</f>
        <v>313</v>
      </c>
      <c r="K257" s="15">
        <f t="shared" ref="K257:K264" si="32">AVERAGE(H257:I257)*D257</f>
        <v>7500000</v>
      </c>
      <c r="L257">
        <f>SUMIF($B:$B,B257,$K:$K)/K257</f>
        <v>33.200000000000003</v>
      </c>
      <c r="M257">
        <f>L257/SUMIF($B:$B,B257,$L:$L)</f>
        <v>3.1382394476698592E-5</v>
      </c>
      <c r="N257">
        <f t="shared" ref="N257:N264" si="33">ROUNDDOWN(10000000*M257,0)</f>
        <v>313</v>
      </c>
      <c r="O257">
        <f>10000000-SUMIF($B:$B,B257,$N:$N)</f>
        <v>149</v>
      </c>
      <c r="P257" s="19">
        <f>IF(COUNTIF($B$9:B257,B257)&lt;=O257,N257+1,N257)</f>
        <v>313</v>
      </c>
      <c r="Q257" s="20">
        <f>SUMIF($B:$B,B257,$P:$P)</f>
        <v>10000000</v>
      </c>
      <c r="R257">
        <f t="shared" ref="R257:R264" si="34">M257*K257</f>
        <v>235.36795857523944</v>
      </c>
    </row>
    <row r="258" spans="1:18" ht="23.25" x14ac:dyDescent="0.2">
      <c r="A258" s="15" ph="1">
        <v>21300049</v>
      </c>
      <c r="B258" s="17" t="s">
        <v>1612</v>
      </c>
      <c r="C258" s="15" t="s" ph="1">
        <v>1950</v>
      </c>
      <c r="D258" s="15">
        <v>200000</v>
      </c>
      <c r="E258" s="15" ph="1">
        <v>0</v>
      </c>
      <c r="F258" s="15" t="s" ph="1">
        <v>1854</v>
      </c>
      <c r="G258" s="15" t="str">
        <f t="shared" si="30"/>
        <v>가르시아 알바레스 계약서</v>
      </c>
      <c r="H258" s="15">
        <v>5</v>
      </c>
      <c r="I258" s="15">
        <v>10</v>
      </c>
      <c r="J258" s="15">
        <f t="shared" si="31"/>
        <v>1569</v>
      </c>
      <c r="K258" s="15">
        <f t="shared" si="32"/>
        <v>1500000</v>
      </c>
      <c r="L258">
        <f>SUMIF($B:$B,B258,$K:$K)/K258</f>
        <v>166</v>
      </c>
      <c r="M258">
        <f>L258/SUMIF($B:$B,B258,$L:$L)</f>
        <v>1.5691197238349296E-4</v>
      </c>
      <c r="N258">
        <f t="shared" si="33"/>
        <v>1569</v>
      </c>
      <c r="O258">
        <f>10000000-SUMIF($B:$B,B258,$N:$N)</f>
        <v>149</v>
      </c>
      <c r="P258" s="19">
        <f>IF(COUNTIF($B$9:B258,B258)&lt;=O258,N258+1,N258)</f>
        <v>1569</v>
      </c>
      <c r="Q258" s="20">
        <f>SUMIF($B:$B,B258,$P:$P)</f>
        <v>10000000</v>
      </c>
      <c r="R258">
        <f t="shared" si="34"/>
        <v>235.36795857523944</v>
      </c>
    </row>
    <row r="259" spans="1:18" ht="23.25" x14ac:dyDescent="0.2">
      <c r="A259" s="15" ph="1">
        <v>21300054</v>
      </c>
      <c r="B259" s="17" t="s">
        <v>1612</v>
      </c>
      <c r="C259" s="15" t="s" ph="1">
        <v>1951</v>
      </c>
      <c r="D259" s="15">
        <v>200000</v>
      </c>
      <c r="E259" s="15" ph="1">
        <v>0</v>
      </c>
      <c r="F259" s="15" t="s" ph="1">
        <v>1854</v>
      </c>
      <c r="G259" s="15" t="str">
        <f t="shared" si="30"/>
        <v>다라 쉰 계약서</v>
      </c>
      <c r="H259" s="15">
        <v>5</v>
      </c>
      <c r="I259" s="15">
        <v>10</v>
      </c>
      <c r="J259" s="15">
        <f t="shared" si="31"/>
        <v>1569</v>
      </c>
      <c r="K259" s="15">
        <f t="shared" si="32"/>
        <v>1500000</v>
      </c>
      <c r="L259">
        <f>SUMIF($B:$B,B259,$K:$K)/K259</f>
        <v>166</v>
      </c>
      <c r="M259">
        <f>L259/SUMIF($B:$B,B259,$L:$L)</f>
        <v>1.5691197238349296E-4</v>
      </c>
      <c r="N259">
        <f t="shared" si="33"/>
        <v>1569</v>
      </c>
      <c r="O259">
        <f>10000000-SUMIF($B:$B,B259,$N:$N)</f>
        <v>149</v>
      </c>
      <c r="P259" s="19">
        <f>IF(COUNTIF($B$9:B259,B259)&lt;=O259,N259+1,N259)</f>
        <v>1569</v>
      </c>
      <c r="Q259" s="20">
        <f>SUMIF($B:$B,B259,$P:$P)</f>
        <v>10000000</v>
      </c>
      <c r="R259">
        <f t="shared" si="34"/>
        <v>235.36795857523944</v>
      </c>
    </row>
    <row r="260" spans="1:18" ht="23.25" x14ac:dyDescent="0.2">
      <c r="A260" s="15" ph="1">
        <v>21300143</v>
      </c>
      <c r="B260" s="17" t="s">
        <v>1612</v>
      </c>
      <c r="C260" s="15" t="s" ph="1">
        <v>1952</v>
      </c>
      <c r="D260" s="15">
        <v>20000</v>
      </c>
      <c r="E260" s="15" ph="1">
        <v>0</v>
      </c>
      <c r="F260" s="15" t="s" ph="1">
        <v>1671</v>
      </c>
      <c r="G260" s="15" t="str">
        <f t="shared" si="30"/>
        <v>디오구 파군드스 계약서</v>
      </c>
      <c r="H260" s="15">
        <v>5</v>
      </c>
      <c r="I260" s="15">
        <v>10</v>
      </c>
      <c r="J260" s="15">
        <f t="shared" si="31"/>
        <v>15691</v>
      </c>
      <c r="K260" s="15">
        <f t="shared" si="32"/>
        <v>150000</v>
      </c>
      <c r="L260">
        <f>SUMIF($B:$B,B260,$K:$K)/K260</f>
        <v>1660</v>
      </c>
      <c r="M260">
        <f>L260/SUMIF($B:$B,B260,$L:$L)</f>
        <v>1.5691197238349296E-3</v>
      </c>
      <c r="N260">
        <f t="shared" si="33"/>
        <v>15691</v>
      </c>
      <c r="O260">
        <f>10000000-SUMIF($B:$B,B260,$N:$N)</f>
        <v>149</v>
      </c>
      <c r="P260" s="19">
        <f>IF(COUNTIF($B$9:B260,B260)&lt;=O260,N260+1,N260)</f>
        <v>15691</v>
      </c>
      <c r="Q260" s="20">
        <f>SUMIF($B:$B,B260,$P:$P)</f>
        <v>10000000</v>
      </c>
      <c r="R260">
        <f t="shared" si="34"/>
        <v>235.36795857523944</v>
      </c>
    </row>
    <row r="261" spans="1:18" ht="23.25" x14ac:dyDescent="0.2">
      <c r="A261" s="15" ph="1">
        <v>21300148</v>
      </c>
      <c r="B261" s="17" t="s">
        <v>1612</v>
      </c>
      <c r="C261" s="15" t="s" ph="1">
        <v>1953</v>
      </c>
      <c r="D261" s="15">
        <v>20000</v>
      </c>
      <c r="E261" s="15" ph="1">
        <v>0</v>
      </c>
      <c r="F261" s="15" t="s" ph="1">
        <v>1671</v>
      </c>
      <c r="G261" s="15" t="str">
        <f t="shared" si="30"/>
        <v>에스테반 오르테가 계약서</v>
      </c>
      <c r="H261" s="15">
        <v>5</v>
      </c>
      <c r="I261" s="15">
        <v>10</v>
      </c>
      <c r="J261" s="15">
        <f t="shared" si="31"/>
        <v>15691</v>
      </c>
      <c r="K261" s="15">
        <f t="shared" si="32"/>
        <v>150000</v>
      </c>
      <c r="L261">
        <f>SUMIF($B:$B,B261,$K:$K)/K261</f>
        <v>1660</v>
      </c>
      <c r="M261">
        <f>L261/SUMIF($B:$B,B261,$L:$L)</f>
        <v>1.5691197238349296E-3</v>
      </c>
      <c r="N261">
        <f t="shared" si="33"/>
        <v>15691</v>
      </c>
      <c r="O261">
        <f>10000000-SUMIF($B:$B,B261,$N:$N)</f>
        <v>149</v>
      </c>
      <c r="P261" s="19">
        <f>IF(COUNTIF($B$9:B261,B261)&lt;=O261,N261+1,N261)</f>
        <v>15691</v>
      </c>
      <c r="Q261" s="20">
        <f>SUMIF($B:$B,B261,$P:$P)</f>
        <v>10000000</v>
      </c>
      <c r="R261">
        <f t="shared" si="34"/>
        <v>235.36795857523944</v>
      </c>
    </row>
    <row r="262" spans="1:18" ht="23.25" x14ac:dyDescent="0.2">
      <c r="A262" s="15" ph="1">
        <v>21300334</v>
      </c>
      <c r="B262" s="17" t="s">
        <v>1612</v>
      </c>
      <c r="C262" s="15" t="s" ph="1">
        <v>1954</v>
      </c>
      <c r="D262" s="15">
        <v>4000</v>
      </c>
      <c r="E262" s="15" ph="1">
        <v>0</v>
      </c>
      <c r="F262" s="15" t="s" ph="1">
        <v>1655</v>
      </c>
      <c r="G262" s="15" t="str">
        <f t="shared" si="30"/>
        <v>에드먼드 하비 계약서</v>
      </c>
      <c r="H262" s="15">
        <v>5</v>
      </c>
      <c r="I262" s="15">
        <v>10</v>
      </c>
      <c r="J262" s="15">
        <f t="shared" si="31"/>
        <v>78455</v>
      </c>
      <c r="K262" s="15">
        <f t="shared" si="32"/>
        <v>30000</v>
      </c>
      <c r="L262">
        <f>SUMIF($B:$B,B262,$K:$K)/K262</f>
        <v>8300</v>
      </c>
      <c r="M262">
        <f>L262/SUMIF($B:$B,B262,$L:$L)</f>
        <v>7.8455986191746478E-3</v>
      </c>
      <c r="N262">
        <f t="shared" si="33"/>
        <v>78455</v>
      </c>
      <c r="O262">
        <f>10000000-SUMIF($B:$B,B262,$N:$N)</f>
        <v>149</v>
      </c>
      <c r="P262" s="19">
        <f>IF(COUNTIF($B$9:B262,B262)&lt;=O262,N262+1,N262)</f>
        <v>78455</v>
      </c>
      <c r="Q262" s="20">
        <f>SUMIF($B:$B,B262,$P:$P)</f>
        <v>10000000</v>
      </c>
      <c r="R262">
        <f t="shared" si="34"/>
        <v>235.36795857523944</v>
      </c>
    </row>
    <row r="263" spans="1:18" ht="23.25" x14ac:dyDescent="0.2">
      <c r="A263" s="15" ph="1">
        <v>21300347</v>
      </c>
      <c r="B263" s="17" t="s">
        <v>1612</v>
      </c>
      <c r="C263" s="15" t="s" ph="1">
        <v>1955</v>
      </c>
      <c r="D263" s="15">
        <v>4000</v>
      </c>
      <c r="E263" s="15" ph="1">
        <v>0</v>
      </c>
      <c r="F263" s="15" t="s" ph="1">
        <v>1655</v>
      </c>
      <c r="G263" s="15" t="str">
        <f t="shared" si="30"/>
        <v>자크 브룸 계약서</v>
      </c>
      <c r="H263" s="15">
        <v>5</v>
      </c>
      <c r="I263" s="15">
        <v>10</v>
      </c>
      <c r="J263" s="15">
        <f t="shared" si="31"/>
        <v>78455</v>
      </c>
      <c r="K263" s="15">
        <f t="shared" si="32"/>
        <v>30000</v>
      </c>
      <c r="L263">
        <f>SUMIF($B:$B,B263,$K:$K)/K263</f>
        <v>8300</v>
      </c>
      <c r="M263">
        <f>L263/SUMIF($B:$B,B263,$L:$L)</f>
        <v>7.8455986191746478E-3</v>
      </c>
      <c r="N263">
        <f t="shared" si="33"/>
        <v>78455</v>
      </c>
      <c r="O263">
        <f>10000000-SUMIF($B:$B,B263,$N:$N)</f>
        <v>149</v>
      </c>
      <c r="P263" s="19">
        <f>IF(COUNTIF($B$9:B263,B263)&lt;=O263,N263+1,N263)</f>
        <v>78455</v>
      </c>
      <c r="Q263" s="20">
        <f>SUMIF($B:$B,B263,$P:$P)</f>
        <v>10000000</v>
      </c>
      <c r="R263">
        <f t="shared" si="34"/>
        <v>235.36795857523944</v>
      </c>
    </row>
    <row r="264" spans="1:18" ht="23.25" x14ac:dyDescent="0.2">
      <c r="A264" s="15" ph="1">
        <v>21300348</v>
      </c>
      <c r="B264" s="17" t="s">
        <v>1612</v>
      </c>
      <c r="C264" s="15" t="s" ph="1">
        <v>1956</v>
      </c>
      <c r="D264" s="15">
        <v>4000</v>
      </c>
      <c r="E264" s="15" ph="1">
        <v>0</v>
      </c>
      <c r="F264" s="15" t="s" ph="1">
        <v>1655</v>
      </c>
      <c r="G264" s="15" t="str">
        <f t="shared" si="30"/>
        <v>조셉 이스트먼 계약서</v>
      </c>
      <c r="H264" s="15">
        <v>5</v>
      </c>
      <c r="I264" s="15">
        <v>10</v>
      </c>
      <c r="J264" s="15">
        <f t="shared" si="31"/>
        <v>78455</v>
      </c>
      <c r="K264" s="15">
        <f t="shared" si="32"/>
        <v>30000</v>
      </c>
      <c r="L264">
        <f>SUMIF($B:$B,B264,$K:$K)/K264</f>
        <v>8300</v>
      </c>
      <c r="M264">
        <f>L264/SUMIF($B:$B,B264,$L:$L)</f>
        <v>7.8455986191746478E-3</v>
      </c>
      <c r="N264">
        <f t="shared" si="33"/>
        <v>78455</v>
      </c>
      <c r="O264">
        <f>10000000-SUMIF($B:$B,B264,$N:$N)</f>
        <v>149</v>
      </c>
      <c r="P264" s="19">
        <f>IF(COUNTIF($B$9:B325,B264)&lt;=O264,N264+1,N264)</f>
        <v>78455</v>
      </c>
      <c r="Q264" s="20">
        <f>SUMIF($B:$B,B264,$P:$P)</f>
        <v>10000000</v>
      </c>
      <c r="R264">
        <f t="shared" si="34"/>
        <v>235.36795857523944</v>
      </c>
    </row>
    <row r="265" spans="1:18" ht="23.25" x14ac:dyDescent="0.2">
      <c r="A265" s="15" ph="1">
        <v>21200008</v>
      </c>
      <c r="B265" s="17" t="s">
        <v>1612</v>
      </c>
      <c r="C265" s="15" t="s" ph="1">
        <v>1915</v>
      </c>
      <c r="D265" s="15">
        <v>1000000</v>
      </c>
      <c r="E265" s="15" ph="1">
        <v>0</v>
      </c>
      <c r="F265" s="15" t="s" ph="1">
        <v>1661</v>
      </c>
      <c r="G265" s="15" t="str">
        <f>C265&amp;" 계약서"</f>
        <v>살바도르 레이스 계약서</v>
      </c>
      <c r="H265" s="15">
        <v>5</v>
      </c>
      <c r="I265" s="15">
        <v>10</v>
      </c>
      <c r="J265" s="15">
        <f>P265</f>
        <v>313</v>
      </c>
      <c r="K265" s="15">
        <f>AVERAGE(H265:I265)*D265</f>
        <v>7500000</v>
      </c>
      <c r="L265">
        <f>SUMIF($B:$B,B265,$K:$K)/K265</f>
        <v>33.200000000000003</v>
      </c>
      <c r="M265">
        <f>L265/SUMIF($B:$B,B265,$L:$L)</f>
        <v>3.1382394476698592E-5</v>
      </c>
      <c r="N265">
        <f>ROUNDDOWN(10000000*M265,0)</f>
        <v>313</v>
      </c>
      <c r="O265">
        <f>10000000-SUMIF($B:$B,B265,$N:$N)</f>
        <v>149</v>
      </c>
      <c r="P265" s="19">
        <f>IF(COUNTIF($B$9:B265,B265)&lt;=O265,N265+1,N265)</f>
        <v>313</v>
      </c>
      <c r="Q265" s="20">
        <f>SUMIF($B:$B,B265,$P:$P)</f>
        <v>10000000</v>
      </c>
      <c r="R265">
        <f>M265*K265</f>
        <v>235.36795857523944</v>
      </c>
    </row>
    <row r="266" spans="1:18" ht="23.25" x14ac:dyDescent="0.2">
      <c r="A266" s="15" ph="1">
        <v>21300015</v>
      </c>
      <c r="B266" s="17" t="s">
        <v>1612</v>
      </c>
      <c r="C266" s="15" t="s" ph="1">
        <v>1916</v>
      </c>
      <c r="D266" s="15">
        <v>200000</v>
      </c>
      <c r="E266" s="15" ph="1">
        <v>0</v>
      </c>
      <c r="F266" s="15" t="s" ph="1">
        <v>1854</v>
      </c>
      <c r="G266" s="15" t="str">
        <f>C266&amp;" 계약서"</f>
        <v>호레스 디스탈디 계약서</v>
      </c>
      <c r="H266" s="15">
        <v>5</v>
      </c>
      <c r="I266" s="15">
        <v>10</v>
      </c>
      <c r="J266" s="15">
        <f>P266</f>
        <v>1569</v>
      </c>
      <c r="K266" s="15">
        <f>AVERAGE(H266:I266)*D266</f>
        <v>1500000</v>
      </c>
      <c r="L266">
        <f>SUMIF($B:$B,B266,$K:$K)/K266</f>
        <v>166</v>
      </c>
      <c r="M266">
        <f>L266/SUMIF($B:$B,B266,$L:$L)</f>
        <v>1.5691197238349296E-4</v>
      </c>
      <c r="N266">
        <f>ROUNDDOWN(10000000*M266,0)</f>
        <v>1569</v>
      </c>
      <c r="O266">
        <f>10000000-SUMIF($B:$B,B266,$N:$N)</f>
        <v>149</v>
      </c>
      <c r="P266" s="19">
        <f>IF(COUNTIF($B$9:B266,B266)&lt;=O266,N266+1,N266)</f>
        <v>1569</v>
      </c>
      <c r="Q266" s="20">
        <f>SUMIF($B:$B,B266,$P:$P)</f>
        <v>10000000</v>
      </c>
      <c r="R266">
        <f>M266*K266</f>
        <v>235.36795857523944</v>
      </c>
    </row>
    <row r="267" spans="1:18" ht="23.25" x14ac:dyDescent="0.2">
      <c r="A267" s="15" ph="1">
        <v>21300252</v>
      </c>
      <c r="B267" s="17" t="s">
        <v>1612</v>
      </c>
      <c r="C267" s="15" t="s" ph="1">
        <v>1917</v>
      </c>
      <c r="D267" s="15">
        <v>20000</v>
      </c>
      <c r="E267" s="15" ph="1">
        <v>0</v>
      </c>
      <c r="F267" s="15" t="s" ph="1">
        <v>1671</v>
      </c>
      <c r="G267" s="15" t="str">
        <f>C267&amp;" 계약서"</f>
        <v>리오노 아반츄라 계약서</v>
      </c>
      <c r="H267" s="15">
        <v>5</v>
      </c>
      <c r="I267" s="15">
        <v>10</v>
      </c>
      <c r="J267" s="15">
        <f>P267</f>
        <v>15691</v>
      </c>
      <c r="K267" s="15">
        <f>AVERAGE(H267:I267)*D267</f>
        <v>150000</v>
      </c>
      <c r="L267">
        <f>SUMIF($B:$B,B267,$K:$K)/K267</f>
        <v>1660</v>
      </c>
      <c r="M267">
        <f>L267/SUMIF($B:$B,B267,$L:$L)</f>
        <v>1.5691197238349296E-3</v>
      </c>
      <c r="N267">
        <f>ROUNDDOWN(10000000*M267,0)</f>
        <v>15691</v>
      </c>
      <c r="O267">
        <f>10000000-SUMIF($B:$B,B267,$N:$N)</f>
        <v>149</v>
      </c>
      <c r="P267" s="19">
        <f>IF(COUNTIF($B$9:B310,B267)&lt;=O267,N267+1,N267)</f>
        <v>15691</v>
      </c>
      <c r="Q267" s="20">
        <f>SUMIF($B:$B,B267,$P:$P)</f>
        <v>10000000</v>
      </c>
      <c r="R267">
        <f>M267*K267</f>
        <v>235.36795857523944</v>
      </c>
    </row>
    <row r="268" spans="1:18" ht="23.25" x14ac:dyDescent="0.2">
      <c r="A268" s="15" ph="1">
        <v>21300516</v>
      </c>
      <c r="B268" s="17" t="s">
        <v>1612</v>
      </c>
      <c r="C268" s="15" t="s" ph="1">
        <v>1892</v>
      </c>
      <c r="D268" s="15">
        <v>1000000</v>
      </c>
      <c r="E268" s="15" ph="1">
        <v>0</v>
      </c>
      <c r="F268" s="15" t="s" ph="1">
        <v>1661</v>
      </c>
      <c r="G268" s="15" t="str">
        <f>C268&amp;" 계약서"</f>
        <v>조커 다실버1 계약서</v>
      </c>
      <c r="H268" s="15">
        <v>5</v>
      </c>
      <c r="I268" s="15">
        <v>10</v>
      </c>
      <c r="J268" s="15">
        <f>P268</f>
        <v>313</v>
      </c>
      <c r="K268" s="15">
        <f>AVERAGE(H268:I268)*D268</f>
        <v>7500000</v>
      </c>
      <c r="L268">
        <f>SUMIF($B:$B,B268,$K:$K)/K268</f>
        <v>33.200000000000003</v>
      </c>
      <c r="M268">
        <f>L268/SUMIF($B:$B,B268,$L:$L)</f>
        <v>3.1382394476698592E-5</v>
      </c>
      <c r="N268">
        <f>ROUNDDOWN(10000000*M268,0)</f>
        <v>313</v>
      </c>
      <c r="O268">
        <f>10000000-SUMIF($B:$B,B268,$N:$N)</f>
        <v>149</v>
      </c>
      <c r="P268" s="19">
        <f>IF(COUNTIF($B$9:B293,B268)&lt;=O268,N268+1,N268)</f>
        <v>313</v>
      </c>
      <c r="Q268" s="20">
        <f>SUMIF($B:$B,B268,$P:$P)</f>
        <v>10000000</v>
      </c>
      <c r="R268">
        <f>M268*K268</f>
        <v>235.36795857523944</v>
      </c>
    </row>
    <row r="269" spans="1:18" ht="23.25" x14ac:dyDescent="0.2">
      <c r="A269" s="15" ph="1">
        <v>21300032</v>
      </c>
      <c r="B269" s="17" t="s">
        <v>1612</v>
      </c>
      <c r="C269" s="15" t="s" ph="1">
        <v>1965</v>
      </c>
      <c r="D269" s="15">
        <v>1000000</v>
      </c>
      <c r="E269" s="15" ph="1">
        <v>0</v>
      </c>
      <c r="F269" s="15" t="s" ph="1">
        <v>1661</v>
      </c>
      <c r="G269" s="15" t="str">
        <f>C269&amp;" 계약서"</f>
        <v>마리아 마가레타 빙켈만 계약서</v>
      </c>
      <c r="H269" s="15">
        <v>5</v>
      </c>
      <c r="I269" s="15">
        <v>10</v>
      </c>
      <c r="J269" s="15">
        <f>P269</f>
        <v>313</v>
      </c>
      <c r="K269" s="15">
        <f>AVERAGE(H269:I269)*D269</f>
        <v>7500000</v>
      </c>
      <c r="L269">
        <f>SUMIF($B:$B,B269,$K:$K)/K269</f>
        <v>33.200000000000003</v>
      </c>
      <c r="M269">
        <f>L269/SUMIF($B:$B,B269,$L:$L)</f>
        <v>3.1382394476698592E-5</v>
      </c>
      <c r="N269">
        <f>ROUNDDOWN(10000000*M269,0)</f>
        <v>313</v>
      </c>
      <c r="O269">
        <f>10000000-SUMIF($B:$B,B269,$N:$N)</f>
        <v>149</v>
      </c>
      <c r="P269" s="19">
        <f>IF(COUNTIF($B$9:B269,B269)&lt;=O269,N269+1,N269)</f>
        <v>313</v>
      </c>
      <c r="Q269" s="20">
        <f>SUMIF($B:$B,B269,$P:$P)</f>
        <v>10000000</v>
      </c>
      <c r="R269">
        <f>M269*K269</f>
        <v>235.36795857523944</v>
      </c>
    </row>
    <row r="270" spans="1:18" ht="23.25" x14ac:dyDescent="0.2">
      <c r="A270" s="15" ph="1">
        <v>21300093</v>
      </c>
      <c r="B270" s="17" t="s">
        <v>1612</v>
      </c>
      <c r="C270" s="15" t="s" ph="1">
        <v>1966</v>
      </c>
      <c r="D270" s="15">
        <v>200000</v>
      </c>
      <c r="E270" s="15" ph="1">
        <v>0</v>
      </c>
      <c r="F270" s="15" t="s" ph="1">
        <v>1854</v>
      </c>
      <c r="G270" s="15" t="str">
        <f>C270&amp;" 계약서"</f>
        <v>요하네스 케플러 계약서</v>
      </c>
      <c r="H270" s="15">
        <v>5</v>
      </c>
      <c r="I270" s="15">
        <v>10</v>
      </c>
      <c r="J270" s="15">
        <f>P270</f>
        <v>1569</v>
      </c>
      <c r="K270" s="15">
        <f>AVERAGE(H270:I270)*D270</f>
        <v>1500000</v>
      </c>
      <c r="L270">
        <f>SUMIF($B:$B,B270,$K:$K)/K270</f>
        <v>166</v>
      </c>
      <c r="M270">
        <f>L270/SUMIF($B:$B,B270,$L:$L)</f>
        <v>1.5691197238349296E-4</v>
      </c>
      <c r="N270">
        <f>ROUNDDOWN(10000000*M270,0)</f>
        <v>1569</v>
      </c>
      <c r="O270">
        <f>10000000-SUMIF($B:$B,B270,$N:$N)</f>
        <v>149</v>
      </c>
      <c r="P270" s="19">
        <f>IF(COUNTIF($B$9:B270,B270)&lt;=O270,N270+1,N270)</f>
        <v>1569</v>
      </c>
      <c r="Q270" s="20">
        <f>SUMIF($B:$B,B270,$P:$P)</f>
        <v>10000000</v>
      </c>
      <c r="R270">
        <f>M270*K270</f>
        <v>235.36795857523944</v>
      </c>
    </row>
    <row r="271" spans="1:18" ht="23.25" x14ac:dyDescent="0.2">
      <c r="A271" s="15" ph="1">
        <v>21300075</v>
      </c>
      <c r="B271" s="17" t="s">
        <v>1612</v>
      </c>
      <c r="C271" s="15" t="s" ph="1">
        <v>1967</v>
      </c>
      <c r="D271" s="15">
        <v>200000</v>
      </c>
      <c r="E271" s="15" ph="1">
        <v>0</v>
      </c>
      <c r="F271" s="15" t="s" ph="1">
        <v>1854</v>
      </c>
      <c r="G271" s="15" t="str">
        <f>C271&amp;" 계약서"</f>
        <v>마리아 지빌라 메리안 계약서</v>
      </c>
      <c r="H271" s="15">
        <v>5</v>
      </c>
      <c r="I271" s="15">
        <v>10</v>
      </c>
      <c r="J271" s="15">
        <f>P271</f>
        <v>1569</v>
      </c>
      <c r="K271" s="15">
        <f>AVERAGE(H271:I271)*D271</f>
        <v>1500000</v>
      </c>
      <c r="L271">
        <f>SUMIF($B:$B,B271,$K:$K)/K271</f>
        <v>166</v>
      </c>
      <c r="M271">
        <f>L271/SUMIF($B:$B,B271,$L:$L)</f>
        <v>1.5691197238349296E-4</v>
      </c>
      <c r="N271">
        <f>ROUNDDOWN(10000000*M271,0)</f>
        <v>1569</v>
      </c>
      <c r="O271">
        <f>10000000-SUMIF($B:$B,B271,$N:$N)</f>
        <v>149</v>
      </c>
      <c r="P271" s="19">
        <f>IF(COUNTIF($B$9:B271,B271)&lt;=O271,N271+1,N271)</f>
        <v>1569</v>
      </c>
      <c r="Q271" s="20">
        <f>SUMIF($B:$B,B271,$P:$P)</f>
        <v>10000000</v>
      </c>
      <c r="R271">
        <f>M271*K271</f>
        <v>235.36795857523944</v>
      </c>
    </row>
    <row r="272" spans="1:18" ht="23.25" x14ac:dyDescent="0.2">
      <c r="A272" s="15" ph="1">
        <v>21300257</v>
      </c>
      <c r="B272" s="17" t="s">
        <v>1612</v>
      </c>
      <c r="C272" s="15" t="s" ph="1">
        <v>1968</v>
      </c>
      <c r="D272" s="15">
        <v>20000</v>
      </c>
      <c r="E272" s="15" ph="1">
        <v>0</v>
      </c>
      <c r="F272" s="15" t="s" ph="1">
        <v>1671</v>
      </c>
      <c r="G272" s="15" t="str">
        <f>C272&amp;" 계약서"</f>
        <v>페트뤼스 플란시우스 계약서</v>
      </c>
      <c r="H272" s="15">
        <v>5</v>
      </c>
      <c r="I272" s="15">
        <v>10</v>
      </c>
      <c r="J272" s="15">
        <f>P272</f>
        <v>15691</v>
      </c>
      <c r="K272" s="15">
        <f>AVERAGE(H272:I272)*D272</f>
        <v>150000</v>
      </c>
      <c r="L272">
        <f>SUMIF($B:$B,B272,$K:$K)/K272</f>
        <v>1660</v>
      </c>
      <c r="M272">
        <f>L272/SUMIF($B:$B,B272,$L:$L)</f>
        <v>1.5691197238349296E-3</v>
      </c>
      <c r="N272">
        <f>ROUNDDOWN(10000000*M272,0)</f>
        <v>15691</v>
      </c>
      <c r="O272">
        <f>10000000-SUMIF($B:$B,B272,$N:$N)</f>
        <v>149</v>
      </c>
      <c r="P272" s="19">
        <f>IF(COUNTIF($B$9:B272,B272)&lt;=O272,N272+1,N272)</f>
        <v>15691</v>
      </c>
      <c r="Q272" s="20">
        <f>SUMIF($B:$B,B272,$P:$P)</f>
        <v>10000000</v>
      </c>
      <c r="R272">
        <f>M272*K272</f>
        <v>235.36795857523944</v>
      </c>
    </row>
    <row r="273" spans="1:18" ht="23.25" x14ac:dyDescent="0.2">
      <c r="A273" s="15" ph="1">
        <v>21300247</v>
      </c>
      <c r="B273" s="17" t="s">
        <v>1612</v>
      </c>
      <c r="C273" s="15" t="s" ph="1">
        <v>1969</v>
      </c>
      <c r="D273" s="15">
        <v>20000</v>
      </c>
      <c r="E273" s="15" ph="1">
        <v>0</v>
      </c>
      <c r="F273" s="15" t="s" ph="1">
        <v>1671</v>
      </c>
      <c r="G273" s="15" t="str">
        <f>C273&amp;" 계약서"</f>
        <v>마르틴 루터 계약서</v>
      </c>
      <c r="H273" s="15">
        <v>5</v>
      </c>
      <c r="I273" s="15">
        <v>10</v>
      </c>
      <c r="J273" s="15">
        <f>P273</f>
        <v>15691</v>
      </c>
      <c r="K273" s="15">
        <f>AVERAGE(H273:I273)*D273</f>
        <v>150000</v>
      </c>
      <c r="L273">
        <f>SUMIF($B:$B,B273,$K:$K)/K273</f>
        <v>1660</v>
      </c>
      <c r="M273">
        <f>L273/SUMIF($B:$B,B273,$L:$L)</f>
        <v>1.5691197238349296E-3</v>
      </c>
      <c r="N273">
        <f>ROUNDDOWN(10000000*M273,0)</f>
        <v>15691</v>
      </c>
      <c r="O273">
        <f>10000000-SUMIF($B:$B,B273,$N:$N)</f>
        <v>149</v>
      </c>
      <c r="P273" s="19">
        <f>IF(COUNTIF($B$9:B273,B273)&lt;=O273,N273+1,N273)</f>
        <v>15691</v>
      </c>
      <c r="Q273" s="20">
        <f>SUMIF($B:$B,B273,$P:$P)</f>
        <v>10000000</v>
      </c>
      <c r="R273">
        <f>M273*K273</f>
        <v>235.36795857523944</v>
      </c>
    </row>
    <row r="274" spans="1:18" ht="23.25" x14ac:dyDescent="0.2">
      <c r="A274" s="15" ph="1">
        <v>21300352</v>
      </c>
      <c r="B274" s="17" t="s">
        <v>1612</v>
      </c>
      <c r="C274" s="15" t="s" ph="1">
        <v>1970</v>
      </c>
      <c r="D274" s="15">
        <v>4000</v>
      </c>
      <c r="E274" s="15" ph="1">
        <v>0</v>
      </c>
      <c r="F274" s="15" t="s" ph="1">
        <v>1655</v>
      </c>
      <c r="G274" s="15" t="str">
        <f>C274&amp;" 계약서"</f>
        <v>율리안 페르메이르 계약서</v>
      </c>
      <c r="H274" s="15">
        <v>5</v>
      </c>
      <c r="I274" s="15">
        <v>10</v>
      </c>
      <c r="J274" s="15">
        <f>P274</f>
        <v>78455</v>
      </c>
      <c r="K274" s="15">
        <f>AVERAGE(H274:I274)*D274</f>
        <v>30000</v>
      </c>
      <c r="L274">
        <f>SUMIF($B:$B,B274,$K:$K)/K274</f>
        <v>8300</v>
      </c>
      <c r="M274">
        <f>L274/SUMIF($B:$B,B274,$L:$L)</f>
        <v>7.8455986191746478E-3</v>
      </c>
      <c r="N274">
        <f>ROUNDDOWN(10000000*M274,0)</f>
        <v>78455</v>
      </c>
      <c r="O274">
        <f>10000000-SUMIF($B:$B,B274,$N:$N)</f>
        <v>149</v>
      </c>
      <c r="P274" s="19">
        <f>IF(COUNTIF($B$9:B274,B274)&lt;=O274,N274+1,N274)</f>
        <v>78455</v>
      </c>
      <c r="Q274" s="20">
        <f>SUMIF($B:$B,B274,$P:$P)</f>
        <v>10000000</v>
      </c>
      <c r="R274">
        <f>M274*K274</f>
        <v>235.36795857523944</v>
      </c>
    </row>
    <row r="275" spans="1:18" ht="23.25" x14ac:dyDescent="0.2">
      <c r="A275" s="15" ph="1">
        <v>21300388</v>
      </c>
      <c r="B275" s="17" t="s">
        <v>1612</v>
      </c>
      <c r="C275" s="15" t="s" ph="1">
        <v>1971</v>
      </c>
      <c r="D275" s="15">
        <v>4000</v>
      </c>
      <c r="E275" s="15" ph="1">
        <v>0</v>
      </c>
      <c r="F275" s="15" t="s" ph="1">
        <v>1655</v>
      </c>
      <c r="G275" s="15" t="str">
        <f>C275&amp;" 계약서"</f>
        <v>야코프 로헤베인 계약서</v>
      </c>
      <c r="H275" s="15">
        <v>5</v>
      </c>
      <c r="I275" s="15">
        <v>10</v>
      </c>
      <c r="J275" s="15">
        <f>P275</f>
        <v>78455</v>
      </c>
      <c r="K275" s="15">
        <f>AVERAGE(H275:I275)*D275</f>
        <v>30000</v>
      </c>
      <c r="L275">
        <f>SUMIF($B:$B,B275,$K:$K)/K275</f>
        <v>8300</v>
      </c>
      <c r="M275">
        <f>L275/SUMIF($B:$B,B275,$L:$L)</f>
        <v>7.8455986191746478E-3</v>
      </c>
      <c r="N275">
        <f>ROUNDDOWN(10000000*M275,0)</f>
        <v>78455</v>
      </c>
      <c r="O275">
        <f>10000000-SUMIF($B:$B,B275,$N:$N)</f>
        <v>149</v>
      </c>
      <c r="P275" s="19">
        <f>IF(COUNTIF($B$9:B275,B275)&lt;=O275,N275+1,N275)</f>
        <v>78455</v>
      </c>
      <c r="Q275" s="20">
        <f>SUMIF($B:$B,B275,$P:$P)</f>
        <v>10000000</v>
      </c>
      <c r="R275">
        <f>M275*K275</f>
        <v>235.36795857523944</v>
      </c>
    </row>
    <row r="276" spans="1:18" ht="23.25" x14ac:dyDescent="0.2">
      <c r="A276" s="15" ph="1">
        <v>21300507</v>
      </c>
      <c r="B276" s="17" t="s">
        <v>1612</v>
      </c>
      <c r="C276" s="15" t="s" ph="1">
        <v>1972</v>
      </c>
      <c r="D276" s="15">
        <v>4000</v>
      </c>
      <c r="E276" s="15" ph="1">
        <v>0</v>
      </c>
      <c r="F276" s="15" t="s" ph="1">
        <v>1655</v>
      </c>
      <c r="G276" s="15" t="str">
        <f>C276&amp;" 계약서"</f>
        <v>아그네스 베르나우어 계약서</v>
      </c>
      <c r="H276" s="15">
        <v>5</v>
      </c>
      <c r="I276" s="15">
        <v>10</v>
      </c>
      <c r="J276" s="15">
        <f>P276</f>
        <v>78455</v>
      </c>
      <c r="K276" s="15">
        <f>AVERAGE(H276:I276)*D276</f>
        <v>30000</v>
      </c>
      <c r="L276">
        <f>SUMIF($B:$B,B276,$K:$K)/K276</f>
        <v>8300</v>
      </c>
      <c r="M276">
        <f>L276/SUMIF($B:$B,B276,$L:$L)</f>
        <v>7.8455986191746478E-3</v>
      </c>
      <c r="N276">
        <f>ROUNDDOWN(10000000*M276,0)</f>
        <v>78455</v>
      </c>
      <c r="O276">
        <f>10000000-SUMIF($B:$B,B276,$N:$N)</f>
        <v>149</v>
      </c>
      <c r="P276" s="19">
        <f>IF(COUNTIF($B$9:B333,B276)&lt;=O276,N276+1,N276)</f>
        <v>78455</v>
      </c>
      <c r="Q276" s="20">
        <f>SUMIF($B:$B,B276,$P:$P)</f>
        <v>10000000</v>
      </c>
      <c r="R276">
        <f>M276*K276</f>
        <v>235.36795857523944</v>
      </c>
    </row>
    <row r="277" spans="1:18" ht="23.25" x14ac:dyDescent="0.2">
      <c r="A277" s="15" ph="1"/>
      <c r="B277" s="17"/>
      <c r="C277" s="15" ph="1"/>
      <c r="E277" s="15" ph="1"/>
      <c r="F277" s="15" ph="1"/>
      <c r="P277" s="19"/>
      <c r="Q277" s="20"/>
    </row>
    <row r="278" spans="1:18" ht="22.5" customHeight="1" x14ac:dyDescent="0.2">
      <c r="A278" s="15" ph="1"/>
      <c r="B278" s="17"/>
      <c r="C278" s="15" ph="1"/>
      <c r="E278" s="15" ph="1"/>
      <c r="F278" s="15" ph="1"/>
      <c r="P278" s="19"/>
      <c r="Q278" s="20"/>
    </row>
    <row r="279" spans="1:18" ht="23.25" x14ac:dyDescent="0.2">
      <c r="A279" s="15" ph="1">
        <v>21300509</v>
      </c>
      <c r="B279" s="17" t="s">
        <v>1874</v>
      </c>
      <c r="C279" s="15" t="s" ph="1">
        <v>1875</v>
      </c>
      <c r="D279" s="15">
        <v>20000</v>
      </c>
      <c r="E279" s="15" ph="1">
        <v>0</v>
      </c>
      <c r="F279" s="15" t="s" ph="1">
        <v>1671</v>
      </c>
      <c r="G279" s="15" t="str">
        <f t="shared" si="18"/>
        <v>아즈비케 계약서</v>
      </c>
      <c r="H279" s="15">
        <v>5</v>
      </c>
      <c r="I279" s="15">
        <v>10</v>
      </c>
      <c r="J279" s="15">
        <f t="shared" si="19"/>
        <v>40100</v>
      </c>
      <c r="K279" s="15">
        <f t="shared" si="15"/>
        <v>150000</v>
      </c>
      <c r="L279">
        <f>SUMIF($B:$B,B279,$K:$K)/K279</f>
        <v>2028.8</v>
      </c>
      <c r="M279">
        <f>L279/SUMIF($B:$B,B279,$L:$L)</f>
        <v>4.0099446627636553E-3</v>
      </c>
      <c r="N279">
        <f t="shared" si="16"/>
        <v>40099</v>
      </c>
      <c r="O279">
        <f>10000000-SUMIF($B:$B,B279,$N:$N)</f>
        <v>91</v>
      </c>
      <c r="P279" s="19">
        <f>IF(COUNTIF($B$9:B279,B279)&lt;=O279,N279+1,N279)</f>
        <v>40100</v>
      </c>
      <c r="Q279" s="20">
        <f>SUMIF($B:$B,B279,$P:$P)</f>
        <v>10000000</v>
      </c>
      <c r="R279">
        <f t="shared" si="17"/>
        <v>601.49169941454829</v>
      </c>
    </row>
    <row r="280" spans="1:18" ht="23.25" x14ac:dyDescent="0.2">
      <c r="A280" s="15" ph="1">
        <v>21300044</v>
      </c>
      <c r="B280" s="17" t="s">
        <v>1874</v>
      </c>
      <c r="C280" s="15" t="s" ph="1">
        <v>1876</v>
      </c>
      <c r="D280" s="15">
        <v>200000</v>
      </c>
      <c r="E280" s="15" ph="1">
        <v>0</v>
      </c>
      <c r="F280" s="15" t="s" ph="1">
        <v>1854</v>
      </c>
      <c r="G280" s="15" t="str">
        <f t="shared" si="18"/>
        <v>메리 리드 계약서</v>
      </c>
      <c r="H280" s="15">
        <v>5</v>
      </c>
      <c r="I280" s="15">
        <v>10</v>
      </c>
      <c r="J280" s="15">
        <f t="shared" si="19"/>
        <v>4010</v>
      </c>
      <c r="K280" s="15">
        <f t="shared" si="15"/>
        <v>1500000</v>
      </c>
      <c r="L280">
        <f>SUMIF($B:$B,B280,$K:$K)/K280</f>
        <v>202.88</v>
      </c>
      <c r="M280">
        <f>L280/SUMIF($B:$B,B280,$L:$L)</f>
        <v>4.0099446627636556E-4</v>
      </c>
      <c r="N280">
        <f t="shared" si="16"/>
        <v>4009</v>
      </c>
      <c r="O280">
        <f>10000000-SUMIF($B:$B,B280,$N:$N)</f>
        <v>91</v>
      </c>
      <c r="P280" s="19">
        <f>IF(COUNTIF($B$9:B280,B280)&lt;=O280,N280+1,N280)</f>
        <v>4010</v>
      </c>
      <c r="Q280" s="20">
        <f>SUMIF($B:$B,B280,$P:$P)</f>
        <v>10000000</v>
      </c>
      <c r="R280">
        <f t="shared" si="17"/>
        <v>601.49169941454829</v>
      </c>
    </row>
    <row r="281" spans="1:18" ht="23.25" x14ac:dyDescent="0.2">
      <c r="A281" s="15" ph="1">
        <v>21300040</v>
      </c>
      <c r="B281" s="17" t="s">
        <v>1874</v>
      </c>
      <c r="C281" s="15" t="s" ph="1">
        <v>1877</v>
      </c>
      <c r="D281" s="15">
        <v>200000</v>
      </c>
      <c r="E281" s="15" ph="1">
        <v>0</v>
      </c>
      <c r="F281" s="15" t="s" ph="1">
        <v>1854</v>
      </c>
      <c r="G281" s="15" t="str">
        <f t="shared" si="18"/>
        <v>잔 바레 계약서</v>
      </c>
      <c r="H281" s="15">
        <v>5</v>
      </c>
      <c r="I281" s="15">
        <v>10</v>
      </c>
      <c r="J281" s="15">
        <f t="shared" si="19"/>
        <v>4010</v>
      </c>
      <c r="K281" s="15">
        <f t="shared" si="15"/>
        <v>1500000</v>
      </c>
      <c r="L281">
        <f>SUMIF($B:$B,B281,$K:$K)/K281</f>
        <v>202.88</v>
      </c>
      <c r="M281">
        <f>L281/SUMIF($B:$B,B281,$L:$L)</f>
        <v>4.0099446627636556E-4</v>
      </c>
      <c r="N281">
        <f t="shared" si="16"/>
        <v>4009</v>
      </c>
      <c r="O281">
        <f>10000000-SUMIF($B:$B,B281,$N:$N)</f>
        <v>91</v>
      </c>
      <c r="P281" s="19">
        <f>IF(COUNTIF($B$9:B281,B281)&lt;=O281,N281+1,N281)</f>
        <v>4010</v>
      </c>
      <c r="Q281" s="20">
        <f>SUMIF($B:$B,B281,$P:$P)</f>
        <v>10000000</v>
      </c>
      <c r="R281">
        <f t="shared" si="17"/>
        <v>601.49169941454829</v>
      </c>
    </row>
    <row r="282" spans="1:18" ht="23.25" x14ac:dyDescent="0.2">
      <c r="A282" s="15" ph="1">
        <v>21300048</v>
      </c>
      <c r="B282" s="17" t="s">
        <v>1874</v>
      </c>
      <c r="C282" s="15" t="s" ph="1">
        <v>1878</v>
      </c>
      <c r="D282" s="15">
        <v>200000</v>
      </c>
      <c r="E282" s="15" ph="1">
        <v>0</v>
      </c>
      <c r="F282" s="15" t="s" ph="1">
        <v>1854</v>
      </c>
      <c r="G282" s="15" t="str">
        <f t="shared" si="18"/>
        <v>안드레아 그리마니 계약서</v>
      </c>
      <c r="H282" s="15">
        <v>5</v>
      </c>
      <c r="I282" s="15">
        <v>10</v>
      </c>
      <c r="J282" s="15">
        <f t="shared" si="19"/>
        <v>4010</v>
      </c>
      <c r="K282" s="15">
        <f t="shared" si="15"/>
        <v>1500000</v>
      </c>
      <c r="L282">
        <f>SUMIF($B:$B,B282,$K:$K)/K282</f>
        <v>202.88</v>
      </c>
      <c r="M282">
        <f>L282/SUMIF($B:$B,B282,$L:$L)</f>
        <v>4.0099446627636556E-4</v>
      </c>
      <c r="N282">
        <f t="shared" si="16"/>
        <v>4009</v>
      </c>
      <c r="O282">
        <f>10000000-SUMIF($B:$B,B282,$N:$N)</f>
        <v>91</v>
      </c>
      <c r="P282" s="19">
        <f>IF(COUNTIF($B$9:B282,B282)&lt;=O282,N282+1,N282)</f>
        <v>4010</v>
      </c>
      <c r="Q282" s="20">
        <f>SUMIF($B:$B,B282,$P:$P)</f>
        <v>10000000</v>
      </c>
      <c r="R282">
        <f t="shared" si="17"/>
        <v>601.49169941454829</v>
      </c>
    </row>
    <row r="283" spans="1:18" ht="23.25" x14ac:dyDescent="0.2">
      <c r="A283" s="15" ph="1">
        <v>21300393</v>
      </c>
      <c r="B283" s="17" t="s">
        <v>1874</v>
      </c>
      <c r="C283" s="15" t="s" ph="1">
        <v>1879</v>
      </c>
      <c r="D283" s="15">
        <v>4000</v>
      </c>
      <c r="E283" s="15" ph="1">
        <v>0</v>
      </c>
      <c r="F283" s="15" t="s" ph="1">
        <v>1655</v>
      </c>
      <c r="G283" s="15" t="str">
        <f t="shared" si="18"/>
        <v>아불 파즐 계약서</v>
      </c>
      <c r="H283" s="15">
        <v>5</v>
      </c>
      <c r="I283" s="15">
        <v>10</v>
      </c>
      <c r="J283" s="15">
        <f t="shared" si="19"/>
        <v>200498</v>
      </c>
      <c r="K283" s="15">
        <f t="shared" si="15"/>
        <v>30000</v>
      </c>
      <c r="L283">
        <f>SUMIF($B:$B,B283,$K:$K)/K283</f>
        <v>10144</v>
      </c>
      <c r="M283">
        <f>L283/SUMIF($B:$B,B283,$L:$L)</f>
        <v>2.0049723313818279E-2</v>
      </c>
      <c r="N283">
        <f t="shared" si="16"/>
        <v>200497</v>
      </c>
      <c r="O283">
        <f>10000000-SUMIF($B:$B,B283,$N:$N)</f>
        <v>91</v>
      </c>
      <c r="P283" s="19">
        <f>IF(COUNTIF($B$9:B283,B283)&lt;=O283,N283+1,N283)</f>
        <v>200498</v>
      </c>
      <c r="Q283" s="20">
        <f>SUMIF($B:$B,B283,$P:$P)</f>
        <v>10000000</v>
      </c>
      <c r="R283">
        <f t="shared" si="17"/>
        <v>601.49169941454841</v>
      </c>
    </row>
    <row r="284" spans="1:18" ht="23.25" x14ac:dyDescent="0.2">
      <c r="A284" s="15" ph="1">
        <v>21300397</v>
      </c>
      <c r="B284" s="17" t="s">
        <v>1874</v>
      </c>
      <c r="C284" s="15" t="s" ph="1">
        <v>1880</v>
      </c>
      <c r="D284" s="15">
        <v>4000</v>
      </c>
      <c r="E284" s="15" ph="1">
        <v>0</v>
      </c>
      <c r="F284" s="15" t="s" ph="1">
        <v>1655</v>
      </c>
      <c r="G284" s="15" t="str">
        <f t="shared" si="18"/>
        <v>안토니우 드아브레우 계약서</v>
      </c>
      <c r="H284" s="15">
        <v>5</v>
      </c>
      <c r="I284" s="15">
        <v>10</v>
      </c>
      <c r="J284" s="15">
        <f t="shared" si="19"/>
        <v>200498</v>
      </c>
      <c r="K284" s="15">
        <f t="shared" si="15"/>
        <v>30000</v>
      </c>
      <c r="L284">
        <f>SUMIF($B:$B,B284,$K:$K)/K284</f>
        <v>10144</v>
      </c>
      <c r="M284">
        <f>L284/SUMIF($B:$B,B284,$L:$L)</f>
        <v>2.0049723313818279E-2</v>
      </c>
      <c r="N284">
        <f t="shared" si="16"/>
        <v>200497</v>
      </c>
      <c r="O284">
        <f>10000000-SUMIF($B:$B,B284,$N:$N)</f>
        <v>91</v>
      </c>
      <c r="P284" s="19">
        <f>IF(COUNTIF($B$9:B284,B284)&lt;=O284,N284+1,N284)</f>
        <v>200498</v>
      </c>
      <c r="Q284" s="20">
        <f>SUMIF($B:$B,B284,$P:$P)</f>
        <v>10000000</v>
      </c>
      <c r="R284">
        <f t="shared" si="17"/>
        <v>601.49169941454841</v>
      </c>
    </row>
    <row r="285" spans="1:18" ht="23.25" x14ac:dyDescent="0.2">
      <c r="A285" s="15" ph="1">
        <v>21300231</v>
      </c>
      <c r="B285" s="17" t="s">
        <v>1874</v>
      </c>
      <c r="C285" s="15" t="s" ph="1">
        <v>1881</v>
      </c>
      <c r="D285" s="15">
        <v>20000</v>
      </c>
      <c r="E285" s="15" ph="1">
        <v>0</v>
      </c>
      <c r="F285" s="15" t="s" ph="1">
        <v>1671</v>
      </c>
      <c r="G285" s="15" t="str">
        <f t="shared" si="18"/>
        <v>미겔 로페스 데레가스피 계약서</v>
      </c>
      <c r="H285" s="15">
        <v>5</v>
      </c>
      <c r="I285" s="15">
        <v>10</v>
      </c>
      <c r="J285" s="15">
        <f t="shared" si="19"/>
        <v>40100</v>
      </c>
      <c r="K285" s="15">
        <f t="shared" si="15"/>
        <v>150000</v>
      </c>
      <c r="L285">
        <f>SUMIF($B:$B,B285,$K:$K)/K285</f>
        <v>2028.8</v>
      </c>
      <c r="M285">
        <f>L285/SUMIF($B:$B,B285,$L:$L)</f>
        <v>4.0099446627636553E-3</v>
      </c>
      <c r="N285">
        <f t="shared" si="16"/>
        <v>40099</v>
      </c>
      <c r="O285">
        <f>10000000-SUMIF($B:$B,B285,$N:$N)</f>
        <v>91</v>
      </c>
      <c r="P285" s="19">
        <f>IF(COUNTIF($B$9:B285,B285)&lt;=O285,N285+1,N285)</f>
        <v>40100</v>
      </c>
      <c r="Q285" s="20">
        <f>SUMIF($B:$B,B285,$P:$P)</f>
        <v>10000000</v>
      </c>
      <c r="R285">
        <f t="shared" si="17"/>
        <v>601.49169941454829</v>
      </c>
    </row>
    <row r="286" spans="1:18" ht="23.25" x14ac:dyDescent="0.2">
      <c r="A286" s="15" ph="1">
        <v>21300244</v>
      </c>
      <c r="B286" s="17" t="s">
        <v>1874</v>
      </c>
      <c r="C286" s="15" t="s" ph="1">
        <v>1882</v>
      </c>
      <c r="D286" s="15">
        <v>20000</v>
      </c>
      <c r="E286" s="15" ph="1">
        <v>0</v>
      </c>
      <c r="F286" s="15" t="s" ph="1">
        <v>1671</v>
      </c>
      <c r="G286" s="15" t="str">
        <f t="shared" si="18"/>
        <v>허초희 계약서</v>
      </c>
      <c r="H286" s="15">
        <v>5</v>
      </c>
      <c r="I286" s="15">
        <v>10</v>
      </c>
      <c r="J286" s="15">
        <f t="shared" si="19"/>
        <v>40100</v>
      </c>
      <c r="K286" s="15">
        <f t="shared" si="15"/>
        <v>150000</v>
      </c>
      <c r="L286">
        <f>SUMIF($B:$B,B286,$K:$K)/K286</f>
        <v>2028.8</v>
      </c>
      <c r="M286">
        <f>L286/SUMIF($B:$B,B286,$L:$L)</f>
        <v>4.0099446627636553E-3</v>
      </c>
      <c r="N286">
        <f t="shared" si="16"/>
        <v>40099</v>
      </c>
      <c r="O286">
        <f>10000000-SUMIF($B:$B,B286,$N:$N)</f>
        <v>91</v>
      </c>
      <c r="P286" s="19">
        <f>IF(COUNTIF($B$9:B286,B286)&lt;=O286,N286+1,N286)</f>
        <v>40100</v>
      </c>
      <c r="Q286" s="20">
        <f>SUMIF($B:$B,B286,$P:$P)</f>
        <v>10000000</v>
      </c>
      <c r="R286">
        <f t="shared" si="17"/>
        <v>601.49169941454829</v>
      </c>
    </row>
    <row r="287" spans="1:18" ht="23.25" x14ac:dyDescent="0.2">
      <c r="A287" s="15" ph="1">
        <v>21300114</v>
      </c>
      <c r="B287" s="17" t="s">
        <v>1874</v>
      </c>
      <c r="C287" s="15" t="s" ph="1">
        <v>1883</v>
      </c>
      <c r="D287" s="15">
        <v>20000</v>
      </c>
      <c r="E287" s="15" ph="1">
        <v>0</v>
      </c>
      <c r="F287" s="15" t="s" ph="1">
        <v>1671</v>
      </c>
      <c r="G287" s="15" t="str">
        <f t="shared" si="18"/>
        <v>담윤현 계약서</v>
      </c>
      <c r="H287" s="15">
        <v>5</v>
      </c>
      <c r="I287" s="15">
        <v>10</v>
      </c>
      <c r="J287" s="15">
        <f t="shared" si="19"/>
        <v>40100</v>
      </c>
      <c r="K287" s="15">
        <f t="shared" si="15"/>
        <v>150000</v>
      </c>
      <c r="L287">
        <f>SUMIF($B:$B,B287,$K:$K)/K287</f>
        <v>2028.8</v>
      </c>
      <c r="M287">
        <f>L287/SUMIF($B:$B,B287,$L:$L)</f>
        <v>4.0099446627636553E-3</v>
      </c>
      <c r="N287">
        <f t="shared" si="16"/>
        <v>40099</v>
      </c>
      <c r="O287">
        <f>10000000-SUMIF($B:$B,B287,$N:$N)</f>
        <v>91</v>
      </c>
      <c r="P287" s="19">
        <f>IF(COUNTIF($B$9:B287,B287)&lt;=O287,N287+1,N287)</f>
        <v>40100</v>
      </c>
      <c r="Q287" s="20">
        <f>SUMIF($B:$B,B287,$P:$P)</f>
        <v>10000000</v>
      </c>
      <c r="R287">
        <f t="shared" si="17"/>
        <v>601.49169941454829</v>
      </c>
    </row>
    <row r="288" spans="1:18" ht="23.25" x14ac:dyDescent="0.2">
      <c r="A288" s="15" ph="1">
        <v>21300108</v>
      </c>
      <c r="B288" s="17" t="s">
        <v>1874</v>
      </c>
      <c r="C288" s="15" t="s" ph="1">
        <v>1884</v>
      </c>
      <c r="D288" s="15">
        <v>20000</v>
      </c>
      <c r="E288" s="15" ph="1">
        <v>0</v>
      </c>
      <c r="F288" s="15" t="s" ph="1">
        <v>1671</v>
      </c>
      <c r="G288" s="15" t="str">
        <f t="shared" si="18"/>
        <v>이즈모 오쿠니 계약서</v>
      </c>
      <c r="H288" s="15">
        <v>5</v>
      </c>
      <c r="I288" s="15">
        <v>10</v>
      </c>
      <c r="J288" s="15">
        <f t="shared" si="19"/>
        <v>40100</v>
      </c>
      <c r="K288" s="15">
        <f t="shared" si="15"/>
        <v>150000</v>
      </c>
      <c r="L288">
        <f>SUMIF($B:$B,B288,$K:$K)/K288</f>
        <v>2028.8</v>
      </c>
      <c r="M288">
        <f>L288/SUMIF($B:$B,B288,$L:$L)</f>
        <v>4.0099446627636553E-3</v>
      </c>
      <c r="N288">
        <f t="shared" si="16"/>
        <v>40099</v>
      </c>
      <c r="O288">
        <f>10000000-SUMIF($B:$B,B288,$N:$N)</f>
        <v>91</v>
      </c>
      <c r="P288" s="19">
        <f>IF(COUNTIF($B$9:B288,B288)&lt;=O288,N288+1,N288)</f>
        <v>40100</v>
      </c>
      <c r="Q288" s="20">
        <f>SUMIF($B:$B,B288,$P:$P)</f>
        <v>10000000</v>
      </c>
      <c r="R288">
        <f t="shared" si="17"/>
        <v>601.49169941454829</v>
      </c>
    </row>
    <row r="289" spans="1:18" ht="23.25" x14ac:dyDescent="0.2">
      <c r="A289" s="15" ph="1">
        <v>21300115</v>
      </c>
      <c r="B289" s="17" t="s">
        <v>1874</v>
      </c>
      <c r="C289" s="15" t="s" ph="1">
        <v>1885</v>
      </c>
      <c r="D289" s="15">
        <v>20000</v>
      </c>
      <c r="E289" s="15" ph="1">
        <v>0</v>
      </c>
      <c r="F289" s="15" t="s" ph="1">
        <v>1671</v>
      </c>
      <c r="G289" s="15" t="str">
        <f t="shared" si="18"/>
        <v>레베카 롤프 계약서</v>
      </c>
      <c r="H289" s="15">
        <v>5</v>
      </c>
      <c r="I289" s="15">
        <v>10</v>
      </c>
      <c r="J289" s="15">
        <f t="shared" si="19"/>
        <v>40100</v>
      </c>
      <c r="K289" s="15">
        <f t="shared" si="15"/>
        <v>150000</v>
      </c>
      <c r="L289">
        <f>SUMIF($B:$B,B289,$K:$K)/K289</f>
        <v>2028.8</v>
      </c>
      <c r="M289">
        <f>L289/SUMIF($B:$B,B289,$L:$L)</f>
        <v>4.0099446627636553E-3</v>
      </c>
      <c r="N289">
        <f t="shared" si="16"/>
        <v>40099</v>
      </c>
      <c r="O289">
        <f>10000000-SUMIF($B:$B,B289,$N:$N)</f>
        <v>91</v>
      </c>
      <c r="P289" s="19">
        <f>IF(COUNTIF($B$9:B289,B289)&lt;=O289,N289+1,N289)</f>
        <v>40100</v>
      </c>
      <c r="Q289" s="20">
        <f>SUMIF($B:$B,B289,$P:$P)</f>
        <v>10000000</v>
      </c>
      <c r="R289">
        <f t="shared" si="17"/>
        <v>601.49169941454829</v>
      </c>
    </row>
    <row r="290" spans="1:18" ht="23.25" x14ac:dyDescent="0.2">
      <c r="A290" s="15" ph="1">
        <v>21300417</v>
      </c>
      <c r="B290" s="17" t="s">
        <v>1874</v>
      </c>
      <c r="C290" s="15" t="s" ph="1">
        <v>1886</v>
      </c>
      <c r="D290" s="15">
        <v>4000</v>
      </c>
      <c r="E290" s="15" ph="1">
        <v>0</v>
      </c>
      <c r="F290" s="15" t="s" ph="1">
        <v>1655</v>
      </c>
      <c r="G290" s="15" t="str">
        <f t="shared" si="18"/>
        <v>이마이 소쿤 계약서</v>
      </c>
      <c r="H290" s="15">
        <v>5</v>
      </c>
      <c r="I290" s="15">
        <v>10</v>
      </c>
      <c r="J290" s="15">
        <f t="shared" si="19"/>
        <v>200498</v>
      </c>
      <c r="K290" s="15">
        <f t="shared" si="15"/>
        <v>30000</v>
      </c>
      <c r="L290">
        <f>SUMIF($B:$B,B290,$K:$K)/K290</f>
        <v>10144</v>
      </c>
      <c r="M290">
        <f>L290/SUMIF($B:$B,B290,$L:$L)</f>
        <v>2.0049723313818279E-2</v>
      </c>
      <c r="N290">
        <f t="shared" si="16"/>
        <v>200497</v>
      </c>
      <c r="O290">
        <f>10000000-SUMIF($B:$B,B290,$N:$N)</f>
        <v>91</v>
      </c>
      <c r="P290" s="19">
        <f>IF(COUNTIF($B$9:B290,B290)&lt;=O290,N290+1,N290)</f>
        <v>200498</v>
      </c>
      <c r="Q290" s="20">
        <f>SUMIF($B:$B,B290,$P:$P)</f>
        <v>10000000</v>
      </c>
      <c r="R290">
        <f t="shared" si="17"/>
        <v>601.49169941454841</v>
      </c>
    </row>
    <row r="291" spans="1:18" ht="23.25" x14ac:dyDescent="0.2">
      <c r="A291" s="15" ph="1">
        <v>21300418</v>
      </c>
      <c r="B291" s="17" t="s">
        <v>1874</v>
      </c>
      <c r="C291" s="15" t="s" ph="1">
        <v>1887</v>
      </c>
      <c r="D291" s="15">
        <v>4000</v>
      </c>
      <c r="E291" s="15" ph="1">
        <v>0</v>
      </c>
      <c r="F291" s="15" t="s" ph="1">
        <v>1655</v>
      </c>
      <c r="G291" s="15" t="str">
        <f t="shared" si="18"/>
        <v>이마이 소큐 계약서</v>
      </c>
      <c r="H291" s="15">
        <v>5</v>
      </c>
      <c r="I291" s="15">
        <v>10</v>
      </c>
      <c r="J291" s="15">
        <f t="shared" si="19"/>
        <v>200498</v>
      </c>
      <c r="K291" s="15">
        <f t="shared" si="15"/>
        <v>30000</v>
      </c>
      <c r="L291">
        <f>SUMIF($B:$B,B291,$K:$K)/K291</f>
        <v>10144</v>
      </c>
      <c r="M291">
        <f>L291/SUMIF($B:$B,B291,$L:$L)</f>
        <v>2.0049723313818279E-2</v>
      </c>
      <c r="N291">
        <f t="shared" si="16"/>
        <v>200497</v>
      </c>
      <c r="O291">
        <f>10000000-SUMIF($B:$B,B291,$N:$N)</f>
        <v>91</v>
      </c>
      <c r="P291" s="19">
        <f>IF(COUNTIF($B$9:B291,B291)&lt;=O291,N291+1,N291)</f>
        <v>200498</v>
      </c>
      <c r="Q291" s="20">
        <f>SUMIF($B:$B,B291,$P:$P)</f>
        <v>10000000</v>
      </c>
      <c r="R291">
        <f t="shared" si="17"/>
        <v>601.49169941454841</v>
      </c>
    </row>
    <row r="292" spans="1:18" ht="23.25" x14ac:dyDescent="0.2">
      <c r="A292" s="15" ph="1">
        <v>21300272</v>
      </c>
      <c r="B292" s="17" t="s">
        <v>1874</v>
      </c>
      <c r="C292" s="15" t="s" ph="1">
        <v>1888</v>
      </c>
      <c r="D292" s="15">
        <v>20000</v>
      </c>
      <c r="E292" s="15" ph="1">
        <v>0</v>
      </c>
      <c r="F292" s="15" t="s" ph="1">
        <v>1671</v>
      </c>
      <c r="G292" s="15" t="str">
        <f t="shared" si="18"/>
        <v>야스케 계약서</v>
      </c>
      <c r="H292" s="15">
        <v>5</v>
      </c>
      <c r="I292" s="15">
        <v>10</v>
      </c>
      <c r="J292" s="15">
        <f t="shared" si="19"/>
        <v>40100</v>
      </c>
      <c r="K292" s="15">
        <f t="shared" si="15"/>
        <v>150000</v>
      </c>
      <c r="L292">
        <f>SUMIF($B:$B,B292,$K:$K)/K292</f>
        <v>2028.8</v>
      </c>
      <c r="M292">
        <f>L292/SUMIF($B:$B,B292,$L:$L)</f>
        <v>4.0099446627636553E-3</v>
      </c>
      <c r="N292">
        <f t="shared" si="16"/>
        <v>40099</v>
      </c>
      <c r="O292">
        <f>10000000-SUMIF($B:$B,B292,$N:$N)</f>
        <v>91</v>
      </c>
      <c r="P292" s="19">
        <f>IF(COUNTIF($B$9:B292,B292)&lt;=O292,N292+1,N292)</f>
        <v>40100</v>
      </c>
      <c r="Q292" s="20">
        <f>SUMIF($B:$B,B292,$P:$P)</f>
        <v>10000000</v>
      </c>
      <c r="R292">
        <f t="shared" si="17"/>
        <v>601.49169941454829</v>
      </c>
    </row>
    <row r="293" spans="1:18" ht="23.25" x14ac:dyDescent="0.2">
      <c r="A293" s="15" ph="1">
        <v>21300198</v>
      </c>
      <c r="B293" s="17" t="s">
        <v>1874</v>
      </c>
      <c r="C293" s="15" t="s" ph="1">
        <v>1889</v>
      </c>
      <c r="D293" s="15">
        <v>20000</v>
      </c>
      <c r="E293" s="15" ph="1">
        <v>0</v>
      </c>
      <c r="F293" s="15" t="s" ph="1">
        <v>1671</v>
      </c>
      <c r="G293" s="15" t="str">
        <f t="shared" si="18"/>
        <v>다나카 쇼스케 계약서</v>
      </c>
      <c r="H293" s="15">
        <v>5</v>
      </c>
      <c r="I293" s="15">
        <v>10</v>
      </c>
      <c r="J293" s="15">
        <f t="shared" si="19"/>
        <v>40100</v>
      </c>
      <c r="K293" s="15">
        <f t="shared" si="15"/>
        <v>150000</v>
      </c>
      <c r="L293">
        <f>SUMIF($B:$B,B293,$K:$K)/K293</f>
        <v>2028.8</v>
      </c>
      <c r="M293">
        <f>L293/SUMIF($B:$B,B293,$L:$L)</f>
        <v>4.0099446627636553E-3</v>
      </c>
      <c r="N293">
        <f t="shared" si="16"/>
        <v>40099</v>
      </c>
      <c r="O293">
        <f>10000000-SUMIF($B:$B,B293,$N:$N)</f>
        <v>91</v>
      </c>
      <c r="P293" s="19">
        <f>IF(COUNTIF($B$9:B293,B293)&lt;=O293,N293+1,N293)</f>
        <v>40100</v>
      </c>
      <c r="Q293" s="20">
        <f>SUMIF($B:$B,B293,$P:$P)</f>
        <v>10000000</v>
      </c>
      <c r="R293">
        <f t="shared" si="17"/>
        <v>601.49169941454829</v>
      </c>
    </row>
    <row r="294" spans="1:18" ht="23.25" x14ac:dyDescent="0.2">
      <c r="A294" s="15" ph="1">
        <v>21300518</v>
      </c>
      <c r="B294" s="17" t="s">
        <v>1874</v>
      </c>
      <c r="C294" s="15" t="s" ph="1">
        <v>1893</v>
      </c>
      <c r="D294" s="15">
        <v>1000000</v>
      </c>
      <c r="E294" s="15" ph="1">
        <v>0</v>
      </c>
      <c r="F294" s="15" t="s" ph="1">
        <v>1661</v>
      </c>
      <c r="G294" s="15" t="str">
        <f t="shared" si="18"/>
        <v>크리스티나 계약서</v>
      </c>
      <c r="H294" s="15">
        <v>5</v>
      </c>
      <c r="I294" s="15">
        <v>10</v>
      </c>
      <c r="J294" s="15">
        <f t="shared" si="19"/>
        <v>802</v>
      </c>
      <c r="K294" s="15">
        <f t="shared" si="15"/>
        <v>7500000</v>
      </c>
      <c r="L294">
        <f>SUMIF($B:$B,B294,$K:$K)/K294</f>
        <v>40.576000000000001</v>
      </c>
      <c r="M294">
        <f>L294/SUMIF($B:$B,B294,$L:$L)</f>
        <v>8.0198893255273114E-5</v>
      </c>
      <c r="N294">
        <f t="shared" si="16"/>
        <v>801</v>
      </c>
      <c r="O294">
        <f>10000000-SUMIF($B:$B,B294,$N:$N)</f>
        <v>91</v>
      </c>
      <c r="P294" s="19">
        <f>IF(COUNTIF($B$9:B294,B294)&lt;=O294,N294+1,N294)</f>
        <v>802</v>
      </c>
      <c r="Q294" s="20">
        <f>SUMIF($B:$B,B294,$P:$P)</f>
        <v>10000000</v>
      </c>
      <c r="R294">
        <f t="shared" si="17"/>
        <v>601.49169941454841</v>
      </c>
    </row>
    <row r="295" spans="1:18" ht="23.25" x14ac:dyDescent="0.2">
      <c r="A295" s="15" ph="1">
        <v>21300469</v>
      </c>
      <c r="B295" s="17" t="s">
        <v>1874</v>
      </c>
      <c r="C295" s="15" t="s" ph="1">
        <v>1894</v>
      </c>
      <c r="D295" s="15">
        <v>1000000</v>
      </c>
      <c r="E295" s="15" ph="1">
        <v>0</v>
      </c>
      <c r="F295" s="15" t="s" ph="1">
        <v>1661</v>
      </c>
      <c r="G295" s="15" t="str">
        <f t="shared" si="18"/>
        <v>미령 계약서</v>
      </c>
      <c r="H295" s="15">
        <v>5</v>
      </c>
      <c r="I295" s="15">
        <v>10</v>
      </c>
      <c r="J295" s="15">
        <f t="shared" si="19"/>
        <v>802</v>
      </c>
      <c r="K295" s="15">
        <f t="shared" si="15"/>
        <v>7500000</v>
      </c>
      <c r="L295">
        <f>SUMIF($B:$B,B295,$K:$K)/K295</f>
        <v>40.576000000000001</v>
      </c>
      <c r="M295">
        <f>L295/SUMIF($B:$B,B295,$L:$L)</f>
        <v>8.0198893255273114E-5</v>
      </c>
      <c r="N295">
        <f t="shared" si="16"/>
        <v>801</v>
      </c>
      <c r="O295">
        <f>10000000-SUMIF($B:$B,B295,$N:$N)</f>
        <v>91</v>
      </c>
      <c r="P295" s="19">
        <f>IF(COUNTIF($B$9:B295,B295)&lt;=O295,N295+1,N295)</f>
        <v>802</v>
      </c>
      <c r="Q295" s="20">
        <f>SUMIF($B:$B,B295,$P:$P)</f>
        <v>10000000</v>
      </c>
      <c r="R295">
        <f t="shared" si="17"/>
        <v>601.49169941454841</v>
      </c>
    </row>
    <row r="296" spans="1:18" ht="23.25" x14ac:dyDescent="0.2">
      <c r="A296" s="15" ph="1">
        <v>21300053</v>
      </c>
      <c r="B296" s="17" t="s">
        <v>1874</v>
      </c>
      <c r="C296" s="15" t="s" ph="1">
        <v>1895</v>
      </c>
      <c r="D296" s="15">
        <v>1000000</v>
      </c>
      <c r="E296" s="15" ph="1">
        <v>0</v>
      </c>
      <c r="F296" s="15" t="s" ph="1">
        <v>1661</v>
      </c>
      <c r="G296" s="15" t="str">
        <f t="shared" si="18"/>
        <v>아고스티노 바르바리고 계약서</v>
      </c>
      <c r="H296" s="15">
        <v>5</v>
      </c>
      <c r="I296" s="15">
        <v>10</v>
      </c>
      <c r="J296" s="15">
        <f t="shared" si="19"/>
        <v>802</v>
      </c>
      <c r="K296" s="15">
        <f t="shared" si="15"/>
        <v>7500000</v>
      </c>
      <c r="L296">
        <f>SUMIF($B:$B,B296,$K:$K)/K296</f>
        <v>40.576000000000001</v>
      </c>
      <c r="M296">
        <f>L296/SUMIF($B:$B,B296,$L:$L)</f>
        <v>8.0198893255273114E-5</v>
      </c>
      <c r="N296">
        <f t="shared" si="16"/>
        <v>801</v>
      </c>
      <c r="O296">
        <f>10000000-SUMIF($B:$B,B296,$N:$N)</f>
        <v>91</v>
      </c>
      <c r="P296" s="19">
        <f>IF(COUNTIF($B$9:B296,B296)&lt;=O296,N296+1,N296)</f>
        <v>802</v>
      </c>
      <c r="Q296" s="20">
        <f>SUMIF($B:$B,B296,$P:$P)</f>
        <v>10000000</v>
      </c>
      <c r="R296">
        <f t="shared" si="17"/>
        <v>601.49169941454841</v>
      </c>
    </row>
    <row r="297" spans="1:18" ht="23.25" x14ac:dyDescent="0.2">
      <c r="A297" s="15" ph="1">
        <v>21300512</v>
      </c>
      <c r="B297" s="17" t="s">
        <v>1874</v>
      </c>
      <c r="C297" s="15" t="s" ph="1">
        <v>1896</v>
      </c>
      <c r="D297" s="15">
        <v>1000000</v>
      </c>
      <c r="E297" s="15" ph="1">
        <v>0</v>
      </c>
      <c r="F297" s="15" t="s" ph="1">
        <v>1661</v>
      </c>
      <c r="G297" s="15" t="str">
        <f t="shared" si="18"/>
        <v>죽음의 신 루돌프1 계약서</v>
      </c>
      <c r="H297" s="15">
        <v>5</v>
      </c>
      <c r="I297" s="15">
        <v>10</v>
      </c>
      <c r="J297" s="15">
        <f t="shared" si="19"/>
        <v>802</v>
      </c>
      <c r="K297" s="15">
        <f t="shared" si="15"/>
        <v>7500000</v>
      </c>
      <c r="L297">
        <f>SUMIF($B:$B,B297,$K:$K)/K297</f>
        <v>40.576000000000001</v>
      </c>
      <c r="M297">
        <f>L297/SUMIF($B:$B,B297,$L:$L)</f>
        <v>8.0198893255273114E-5</v>
      </c>
      <c r="N297">
        <f t="shared" si="16"/>
        <v>801</v>
      </c>
      <c r="O297">
        <f>10000000-SUMIF($B:$B,B297,$N:$N)</f>
        <v>91</v>
      </c>
      <c r="P297" s="19">
        <f>IF(COUNTIF($B$9:B297,B297)&lt;=O297,N297+1,N297)</f>
        <v>802</v>
      </c>
      <c r="Q297" s="20">
        <f>SUMIF($B:$B,B297,$P:$P)</f>
        <v>10000000</v>
      </c>
      <c r="R297">
        <f t="shared" si="17"/>
        <v>601.49169941454841</v>
      </c>
    </row>
    <row r="298" spans="1:18" ht="23.25" x14ac:dyDescent="0.2">
      <c r="A298" s="15" ph="1">
        <v>21300050</v>
      </c>
      <c r="B298" s="17" t="s">
        <v>1874</v>
      </c>
      <c r="C298" s="15" t="s" ph="1">
        <v>1897</v>
      </c>
      <c r="D298" s="15">
        <v>1000000</v>
      </c>
      <c r="E298" s="15" ph="1">
        <v>0</v>
      </c>
      <c r="F298" s="15" t="s" ph="1">
        <v>1661</v>
      </c>
      <c r="G298" s="15" t="str">
        <f t="shared" si="18"/>
        <v>에르난 베리오 계약서</v>
      </c>
      <c r="H298" s="15">
        <v>5</v>
      </c>
      <c r="I298" s="15">
        <v>10</v>
      </c>
      <c r="J298" s="15">
        <f t="shared" si="19"/>
        <v>802</v>
      </c>
      <c r="K298" s="15">
        <f t="shared" si="15"/>
        <v>7500000</v>
      </c>
      <c r="L298">
        <f>SUMIF($B:$B,B298,$K:$K)/K298</f>
        <v>40.576000000000001</v>
      </c>
      <c r="M298">
        <f>L298/SUMIF($B:$B,B298,$L:$L)</f>
        <v>8.0198893255273114E-5</v>
      </c>
      <c r="N298">
        <f t="shared" si="16"/>
        <v>801</v>
      </c>
      <c r="O298">
        <f>10000000-SUMIF($B:$B,B298,$N:$N)</f>
        <v>91</v>
      </c>
      <c r="P298" s="19">
        <f>IF(COUNTIF($B$9:B298,B298)&lt;=O298,N298+1,N298)</f>
        <v>802</v>
      </c>
      <c r="Q298" s="20">
        <f>SUMIF($B:$B,B298,$P:$P)</f>
        <v>10000000</v>
      </c>
      <c r="R298">
        <f t="shared" si="17"/>
        <v>601.49169941454841</v>
      </c>
    </row>
    <row r="299" spans="1:18" ht="23.25" x14ac:dyDescent="0.2">
      <c r="A299" s="15" ph="1">
        <v>21300003</v>
      </c>
      <c r="B299" s="17" t="s">
        <v>1874</v>
      </c>
      <c r="C299" s="15" t="s" ph="1">
        <v>1898</v>
      </c>
      <c r="D299" s="15">
        <v>1000000</v>
      </c>
      <c r="E299" s="15" ph="1">
        <v>0</v>
      </c>
      <c r="F299" s="15" t="s" ph="1">
        <v>1661</v>
      </c>
      <c r="G299" s="15" t="str">
        <f t="shared" si="18"/>
        <v>마리 앙투아네트 계약서</v>
      </c>
      <c r="H299" s="15">
        <v>5</v>
      </c>
      <c r="I299" s="15">
        <v>10</v>
      </c>
      <c r="J299" s="15">
        <f t="shared" si="19"/>
        <v>802</v>
      </c>
      <c r="K299" s="15">
        <f t="shared" si="15"/>
        <v>7500000</v>
      </c>
      <c r="L299">
        <f>SUMIF($B:$B,B299,$K:$K)/K299</f>
        <v>40.576000000000001</v>
      </c>
      <c r="M299">
        <f>L299/SUMIF($B:$B,B299,$L:$L)</f>
        <v>8.0198893255273114E-5</v>
      </c>
      <c r="N299">
        <f t="shared" si="16"/>
        <v>801</v>
      </c>
      <c r="O299">
        <f>10000000-SUMIF($B:$B,B299,$N:$N)</f>
        <v>91</v>
      </c>
      <c r="P299" s="19">
        <f>IF(COUNTIF($B$9:B299,B299)&lt;=O299,N299+1,N299)</f>
        <v>802</v>
      </c>
      <c r="Q299" s="20">
        <f>SUMIF($B:$B,B299,$P:$P)</f>
        <v>10000000</v>
      </c>
      <c r="R299">
        <f t="shared" si="17"/>
        <v>601.49169941454841</v>
      </c>
    </row>
    <row r="300" spans="1:18" ht="23.25" x14ac:dyDescent="0.2">
      <c r="A300" s="15" ph="1">
        <v>21300106</v>
      </c>
      <c r="B300" s="17" t="s">
        <v>1874</v>
      </c>
      <c r="C300" s="15" t="s" ph="1">
        <v>1899</v>
      </c>
      <c r="D300" s="15">
        <v>1000000</v>
      </c>
      <c r="E300" s="15" ph="1">
        <v>0</v>
      </c>
      <c r="F300" s="15" t="s" ph="1">
        <v>1661</v>
      </c>
      <c r="G300" s="15" t="str">
        <f t="shared" si="18"/>
        <v>전우치 계약서</v>
      </c>
      <c r="H300" s="15">
        <v>5</v>
      </c>
      <c r="I300" s="15">
        <v>10</v>
      </c>
      <c r="J300" s="15">
        <f t="shared" si="19"/>
        <v>802</v>
      </c>
      <c r="K300" s="15">
        <f t="shared" si="15"/>
        <v>7500000</v>
      </c>
      <c r="L300">
        <f>SUMIF($B:$B,B300,$K:$K)/K300</f>
        <v>40.576000000000001</v>
      </c>
      <c r="M300">
        <f>L300/SUMIF($B:$B,B300,$L:$L)</f>
        <v>8.0198893255273114E-5</v>
      </c>
      <c r="N300">
        <f t="shared" si="16"/>
        <v>801</v>
      </c>
      <c r="O300">
        <f>10000000-SUMIF($B:$B,B300,$N:$N)</f>
        <v>91</v>
      </c>
      <c r="P300" s="19">
        <f>IF(COUNTIF($B$9:B300,B300)&lt;=O300,N300+1,N300)</f>
        <v>802</v>
      </c>
      <c r="Q300" s="20">
        <f>SUMIF($B:$B,B300,$P:$P)</f>
        <v>10000000</v>
      </c>
      <c r="R300">
        <f t="shared" si="17"/>
        <v>601.49169941454841</v>
      </c>
    </row>
    <row r="301" spans="1:18" ht="23.25" x14ac:dyDescent="0.2">
      <c r="A301" s="15" ph="1">
        <v>21300101</v>
      </c>
      <c r="B301" s="17" t="s">
        <v>1874</v>
      </c>
      <c r="C301" s="15" t="s" ph="1">
        <v>1900</v>
      </c>
      <c r="D301" s="15">
        <v>1000000</v>
      </c>
      <c r="E301" s="15" ph="1">
        <v>0</v>
      </c>
      <c r="F301" s="15" t="s" ph="1">
        <v>1661</v>
      </c>
      <c r="G301" s="15" t="str">
        <f t="shared" si="18"/>
        <v>입부 계약서</v>
      </c>
      <c r="H301" s="15">
        <v>5</v>
      </c>
      <c r="I301" s="15">
        <v>10</v>
      </c>
      <c r="J301" s="15">
        <f t="shared" si="19"/>
        <v>802</v>
      </c>
      <c r="K301" s="15">
        <f t="shared" si="15"/>
        <v>7500000</v>
      </c>
      <c r="L301">
        <f>SUMIF($B:$B,B301,$K:$K)/K301</f>
        <v>40.576000000000001</v>
      </c>
      <c r="M301">
        <f>L301/SUMIF($B:$B,B301,$L:$L)</f>
        <v>8.0198893255273114E-5</v>
      </c>
      <c r="N301">
        <f t="shared" si="16"/>
        <v>801</v>
      </c>
      <c r="O301">
        <f>10000000-SUMIF($B:$B,B301,$N:$N)</f>
        <v>91</v>
      </c>
      <c r="P301" s="19">
        <f>IF(COUNTIF($B$9:B301,B301)&lt;=O301,N301+1,N301)</f>
        <v>802</v>
      </c>
      <c r="Q301" s="20">
        <f>SUMIF($B:$B,B301,$P:$P)</f>
        <v>10000000</v>
      </c>
      <c r="R301">
        <f t="shared" si="17"/>
        <v>601.49169941454841</v>
      </c>
    </row>
    <row r="302" spans="1:18" ht="23.25" x14ac:dyDescent="0.2">
      <c r="A302" s="15" ph="1">
        <v>21300517</v>
      </c>
      <c r="B302" s="17" t="s">
        <v>1874</v>
      </c>
      <c r="C302" s="15" t="s" ph="1">
        <v>1901</v>
      </c>
      <c r="D302" s="15">
        <v>1000000</v>
      </c>
      <c r="E302" s="15" ph="1">
        <v>0</v>
      </c>
      <c r="F302" s="15" t="s" ph="1">
        <v>1661</v>
      </c>
      <c r="G302" s="15" t="str">
        <f t="shared" si="18"/>
        <v>아르드비1 계약서</v>
      </c>
      <c r="H302" s="15">
        <v>5</v>
      </c>
      <c r="I302" s="15">
        <v>10</v>
      </c>
      <c r="J302" s="15">
        <f t="shared" si="19"/>
        <v>802</v>
      </c>
      <c r="K302" s="15">
        <f t="shared" si="15"/>
        <v>7500000</v>
      </c>
      <c r="L302">
        <f>SUMIF($B:$B,B302,$K:$K)/K302</f>
        <v>40.576000000000001</v>
      </c>
      <c r="M302">
        <f>L302/SUMIF($B:$B,B302,$L:$L)</f>
        <v>8.0198893255273114E-5</v>
      </c>
      <c r="N302">
        <f t="shared" si="16"/>
        <v>801</v>
      </c>
      <c r="O302">
        <f>10000000-SUMIF($B:$B,B302,$N:$N)</f>
        <v>91</v>
      </c>
      <c r="P302" s="19">
        <f>IF(COUNTIF($B$9:B302,B302)&lt;=O302,N302+1,N302)</f>
        <v>802</v>
      </c>
      <c r="Q302" s="20">
        <f>SUMIF($B:$B,B302,$P:$P)</f>
        <v>10000000</v>
      </c>
      <c r="R302">
        <f t="shared" si="17"/>
        <v>601.49169941454841</v>
      </c>
    </row>
    <row r="303" spans="1:18" ht="23.25" x14ac:dyDescent="0.2">
      <c r="A303" s="15" ph="1">
        <v>21300009</v>
      </c>
      <c r="B303" s="17" t="s">
        <v>1874</v>
      </c>
      <c r="C303" s="15" t="s" ph="1">
        <v>1902</v>
      </c>
      <c r="D303" s="15">
        <v>1000000</v>
      </c>
      <c r="E303" s="15" ph="1">
        <v>0</v>
      </c>
      <c r="F303" s="15" t="s" ph="1">
        <v>1661</v>
      </c>
      <c r="G303" s="15" t="str">
        <f t="shared" si="18"/>
        <v>오다 노부나가 계약서</v>
      </c>
      <c r="H303" s="15">
        <v>5</v>
      </c>
      <c r="I303" s="15">
        <v>10</v>
      </c>
      <c r="J303" s="15">
        <f t="shared" si="19"/>
        <v>802</v>
      </c>
      <c r="K303" s="15">
        <f t="shared" si="15"/>
        <v>7500000</v>
      </c>
      <c r="L303">
        <f>SUMIF($B:$B,B303,$K:$K)/K303</f>
        <v>40.576000000000001</v>
      </c>
      <c r="M303">
        <f>L303/SUMIF($B:$B,B303,$L:$L)</f>
        <v>8.0198893255273114E-5</v>
      </c>
      <c r="N303">
        <f t="shared" si="16"/>
        <v>801</v>
      </c>
      <c r="O303">
        <f>10000000-SUMIF($B:$B,B303,$N:$N)</f>
        <v>91</v>
      </c>
      <c r="P303" s="19">
        <f>IF(COUNTIF($B$9:B303,B303)&lt;=O303,N303+1,N303)</f>
        <v>802</v>
      </c>
      <c r="Q303" s="20">
        <f>SUMIF($B:$B,B303,$P:$P)</f>
        <v>10000000</v>
      </c>
      <c r="R303">
        <f t="shared" si="17"/>
        <v>601.49169941454841</v>
      </c>
    </row>
    <row r="304" spans="1:18" ht="23.25" x14ac:dyDescent="0.2">
      <c r="A304" s="15" ph="1">
        <v>21300082</v>
      </c>
      <c r="B304" s="17" t="s">
        <v>1874</v>
      </c>
      <c r="C304" s="15" t="s" ph="1">
        <v>1903</v>
      </c>
      <c r="D304" s="15">
        <v>1000000</v>
      </c>
      <c r="E304" s="15" ph="1">
        <v>0</v>
      </c>
      <c r="F304" s="15" t="s" ph="1">
        <v>1661</v>
      </c>
      <c r="G304" s="15" t="str">
        <f t="shared" si="18"/>
        <v>안드레스 데우르다네타 계약서</v>
      </c>
      <c r="H304" s="15">
        <v>5</v>
      </c>
      <c r="I304" s="15">
        <v>10</v>
      </c>
      <c r="J304" s="15">
        <f t="shared" si="19"/>
        <v>802</v>
      </c>
      <c r="K304" s="15">
        <f t="shared" si="15"/>
        <v>7500000</v>
      </c>
      <c r="L304">
        <f>SUMIF($B:$B,B304,$K:$K)/K304</f>
        <v>40.576000000000001</v>
      </c>
      <c r="M304">
        <f>L304/SUMIF($B:$B,B304,$L:$L)</f>
        <v>8.0198893255273114E-5</v>
      </c>
      <c r="N304">
        <f t="shared" si="16"/>
        <v>801</v>
      </c>
      <c r="O304">
        <f>10000000-SUMIF($B:$B,B304,$N:$N)</f>
        <v>91</v>
      </c>
      <c r="P304" s="19">
        <f>IF(COUNTIF($B$9:B304,B304)&lt;=O304,N304+1,N304)</f>
        <v>802</v>
      </c>
      <c r="Q304" s="20">
        <f>SUMIF($B:$B,B304,$P:$P)</f>
        <v>10000000</v>
      </c>
      <c r="R304">
        <f t="shared" si="17"/>
        <v>601.49169941454841</v>
      </c>
    </row>
    <row r="305" spans="1:18" ht="23.25" x14ac:dyDescent="0.2">
      <c r="A305" s="15" ph="1">
        <v>21300024</v>
      </c>
      <c r="B305" s="17" t="s">
        <v>1874</v>
      </c>
      <c r="C305" s="15" t="s" ph="1">
        <v>1904</v>
      </c>
      <c r="D305" s="15">
        <v>1000000</v>
      </c>
      <c r="E305" s="15" ph="1">
        <v>0</v>
      </c>
      <c r="F305" s="15" t="s" ph="1">
        <v>1661</v>
      </c>
      <c r="G305" s="15" t="str">
        <f t="shared" si="18"/>
        <v>바솔로뮤 로버츠 계약서</v>
      </c>
      <c r="H305" s="15">
        <v>5</v>
      </c>
      <c r="I305" s="15">
        <v>10</v>
      </c>
      <c r="J305" s="15">
        <f t="shared" si="19"/>
        <v>802</v>
      </c>
      <c r="K305" s="15">
        <f t="shared" si="15"/>
        <v>7500000</v>
      </c>
      <c r="L305">
        <f>SUMIF($B:$B,B305,$K:$K)/K305</f>
        <v>40.576000000000001</v>
      </c>
      <c r="M305">
        <f>L305/SUMIF($B:$B,B305,$L:$L)</f>
        <v>8.0198893255273114E-5</v>
      </c>
      <c r="N305">
        <f t="shared" si="16"/>
        <v>801</v>
      </c>
      <c r="O305">
        <f>10000000-SUMIF($B:$B,B305,$N:$N)</f>
        <v>91</v>
      </c>
      <c r="P305" s="19">
        <f>IF(COUNTIF($B$9:B305,B305)&lt;=O305,N305+1,N305)</f>
        <v>802</v>
      </c>
      <c r="Q305" s="20">
        <f>SUMIF($B:$B,B305,$P:$P)</f>
        <v>10000000</v>
      </c>
      <c r="R305">
        <f t="shared" si="17"/>
        <v>601.49169941454841</v>
      </c>
    </row>
    <row r="306" spans="1:18" ht="23.25" x14ac:dyDescent="0.2">
      <c r="A306" s="15" ph="1">
        <v>21300014</v>
      </c>
      <c r="B306" s="17" t="s">
        <v>1874</v>
      </c>
      <c r="C306" s="15" t="s" ph="1">
        <v>1905</v>
      </c>
      <c r="D306" s="15">
        <v>1000000</v>
      </c>
      <c r="E306" s="15" ph="1">
        <v>0</v>
      </c>
      <c r="F306" s="15" t="s" ph="1">
        <v>1661</v>
      </c>
      <c r="G306" s="15" t="str">
        <f t="shared" si="18"/>
        <v>소피아 알렉세예브나 계약서</v>
      </c>
      <c r="H306" s="15">
        <v>5</v>
      </c>
      <c r="I306" s="15">
        <v>10</v>
      </c>
      <c r="J306" s="15">
        <f t="shared" si="19"/>
        <v>802</v>
      </c>
      <c r="K306" s="15">
        <f t="shared" si="15"/>
        <v>7500000</v>
      </c>
      <c r="L306">
        <f>SUMIF($B:$B,B306,$K:$K)/K306</f>
        <v>40.576000000000001</v>
      </c>
      <c r="M306">
        <f>L306/SUMIF($B:$B,B306,$L:$L)</f>
        <v>8.0198893255273114E-5</v>
      </c>
      <c r="N306">
        <f t="shared" si="16"/>
        <v>801</v>
      </c>
      <c r="O306">
        <f>10000000-SUMIF($B:$B,B306,$N:$N)</f>
        <v>91</v>
      </c>
      <c r="P306" s="19">
        <f>IF(COUNTIF($B$9:B306,B306)&lt;=O306,N306+1,N306)</f>
        <v>802</v>
      </c>
      <c r="Q306" s="20">
        <f>SUMIF($B:$B,B306,$P:$P)</f>
        <v>10000000</v>
      </c>
      <c r="R306">
        <f t="shared" si="17"/>
        <v>601.49169941454841</v>
      </c>
    </row>
    <row r="307" spans="1:18" ht="23.25" x14ac:dyDescent="0.2">
      <c r="A307" s="15" ph="1">
        <v>21300051</v>
      </c>
      <c r="B307" s="17" t="s">
        <v>1874</v>
      </c>
      <c r="C307" s="15" t="s" ph="1">
        <v>1906</v>
      </c>
      <c r="D307" s="15">
        <v>1000000</v>
      </c>
      <c r="E307" s="15" ph="1">
        <v>0</v>
      </c>
      <c r="F307" s="15" t="s" ph="1">
        <v>1661</v>
      </c>
      <c r="G307" s="15" t="str">
        <f t="shared" si="18"/>
        <v>아이든 레이스 계약서</v>
      </c>
      <c r="H307" s="15">
        <v>5</v>
      </c>
      <c r="I307" s="15">
        <v>10</v>
      </c>
      <c r="J307" s="15">
        <f t="shared" si="19"/>
        <v>802</v>
      </c>
      <c r="K307" s="15">
        <f t="shared" si="15"/>
        <v>7500000</v>
      </c>
      <c r="L307">
        <f>SUMIF($B:$B,B307,$K:$K)/K307</f>
        <v>40.576000000000001</v>
      </c>
      <c r="M307">
        <f>L307/SUMIF($B:$B,B307,$L:$L)</f>
        <v>8.0198893255273114E-5</v>
      </c>
      <c r="N307">
        <f t="shared" si="16"/>
        <v>801</v>
      </c>
      <c r="O307">
        <f>10000000-SUMIF($B:$B,B307,$N:$N)</f>
        <v>91</v>
      </c>
      <c r="P307" s="19">
        <f>IF(COUNTIF($B$9:B307,B307)&lt;=O307,N307+1,N307)</f>
        <v>802</v>
      </c>
      <c r="Q307" s="20">
        <f>SUMIF($B:$B,B307,$P:$P)</f>
        <v>10000000</v>
      </c>
      <c r="R307">
        <f t="shared" si="17"/>
        <v>601.49169941454841</v>
      </c>
    </row>
    <row r="308" spans="1:18" ht="23.25" x14ac:dyDescent="0.2">
      <c r="A308" s="15" ph="1">
        <v>21300013</v>
      </c>
      <c r="B308" s="17" t="s">
        <v>1874</v>
      </c>
      <c r="C308" s="15" t="s" ph="1">
        <v>1907</v>
      </c>
      <c r="D308" s="15">
        <v>1000000</v>
      </c>
      <c r="E308" s="15" ph="1">
        <v>0</v>
      </c>
      <c r="F308" s="15" t="s" ph="1">
        <v>1661</v>
      </c>
      <c r="G308" s="15" t="str">
        <f t="shared" si="18"/>
        <v>쿠아우테목 계약서</v>
      </c>
      <c r="H308" s="15">
        <v>5</v>
      </c>
      <c r="I308" s="15">
        <v>10</v>
      </c>
      <c r="J308" s="15">
        <f t="shared" si="19"/>
        <v>802</v>
      </c>
      <c r="K308" s="15">
        <f t="shared" si="15"/>
        <v>7500000</v>
      </c>
      <c r="L308">
        <f>SUMIF($B:$B,B308,$K:$K)/K308</f>
        <v>40.576000000000001</v>
      </c>
      <c r="M308">
        <f>L308/SUMIF($B:$B,B308,$L:$L)</f>
        <v>8.0198893255273114E-5</v>
      </c>
      <c r="N308">
        <f t="shared" si="16"/>
        <v>801</v>
      </c>
      <c r="O308">
        <f>10000000-SUMIF($B:$B,B308,$N:$N)</f>
        <v>91</v>
      </c>
      <c r="P308" s="19">
        <f>IF(COUNTIF($B$9:B308,B308)&lt;=O308,N308+1,N308)</f>
        <v>802</v>
      </c>
      <c r="Q308" s="20">
        <f>SUMIF($B:$B,B308,$P:$P)</f>
        <v>10000000</v>
      </c>
      <c r="R308">
        <f t="shared" si="17"/>
        <v>601.49169941454841</v>
      </c>
    </row>
    <row r="309" spans="1:18" ht="23.25" x14ac:dyDescent="0.2">
      <c r="A309" s="15" ph="1">
        <v>21300095</v>
      </c>
      <c r="B309" s="17" t="s">
        <v>1874</v>
      </c>
      <c r="C309" s="15" t="s" ph="1">
        <v>1908</v>
      </c>
      <c r="D309" s="15">
        <v>1000000</v>
      </c>
      <c r="E309" s="15" ph="1">
        <v>0</v>
      </c>
      <c r="F309" s="15" t="s" ph="1">
        <v>1661</v>
      </c>
      <c r="G309" s="15" t="str">
        <f t="shared" si="18"/>
        <v>하웰 데이비스 계약서</v>
      </c>
      <c r="H309" s="15">
        <v>5</v>
      </c>
      <c r="I309" s="15">
        <v>10</v>
      </c>
      <c r="J309" s="15">
        <f t="shared" si="19"/>
        <v>802</v>
      </c>
      <c r="K309" s="15">
        <f t="shared" si="15"/>
        <v>7500000</v>
      </c>
      <c r="L309">
        <f>SUMIF($B:$B,B309,$K:$K)/K309</f>
        <v>40.576000000000001</v>
      </c>
      <c r="M309">
        <f>L309/SUMIF($B:$B,B309,$L:$L)</f>
        <v>8.0198893255273114E-5</v>
      </c>
      <c r="N309">
        <f t="shared" si="16"/>
        <v>801</v>
      </c>
      <c r="O309">
        <f>10000000-SUMIF($B:$B,B309,$N:$N)</f>
        <v>91</v>
      </c>
      <c r="P309" s="19">
        <f>IF(COUNTIF($B$9:B309,B309)&lt;=O309,N309+1,N309)</f>
        <v>802</v>
      </c>
      <c r="Q309" s="20">
        <f>SUMIF($B:$B,B309,$P:$P)</f>
        <v>10000000</v>
      </c>
      <c r="R309">
        <f t="shared" si="17"/>
        <v>601.49169941454841</v>
      </c>
    </row>
    <row r="310" spans="1:18" ht="23.25" x14ac:dyDescent="0.2">
      <c r="A310" s="15" ph="1">
        <v>21300058</v>
      </c>
      <c r="B310" s="17" t="s">
        <v>1874</v>
      </c>
      <c r="C310" s="15" t="s" ph="1">
        <v>1909</v>
      </c>
      <c r="D310" s="15">
        <v>1000000</v>
      </c>
      <c r="E310" s="15" ph="1">
        <v>0</v>
      </c>
      <c r="F310" s="15" t="s" ph="1">
        <v>1661</v>
      </c>
      <c r="G310" s="15" t="str">
        <f t="shared" si="18"/>
        <v>뮈에진자데 알리 파샤 계약서</v>
      </c>
      <c r="H310" s="15">
        <v>5</v>
      </c>
      <c r="I310" s="15">
        <v>10</v>
      </c>
      <c r="J310" s="15">
        <f t="shared" si="19"/>
        <v>802</v>
      </c>
      <c r="K310" s="15">
        <f t="shared" si="15"/>
        <v>7500000</v>
      </c>
      <c r="L310">
        <f>SUMIF($B:$B,B310,$K:$K)/K310</f>
        <v>40.576000000000001</v>
      </c>
      <c r="M310">
        <f>L310/SUMIF($B:$B,B310,$L:$L)</f>
        <v>8.0198893255273114E-5</v>
      </c>
      <c r="N310">
        <f t="shared" si="16"/>
        <v>801</v>
      </c>
      <c r="O310">
        <f>10000000-SUMIF($B:$B,B310,$N:$N)</f>
        <v>91</v>
      </c>
      <c r="P310" s="19">
        <f>IF(COUNTIF($B$9:B310,B310)&lt;=O310,N310+1,N310)</f>
        <v>802</v>
      </c>
      <c r="Q310" s="20">
        <f>SUMIF($B:$B,B310,$P:$P)</f>
        <v>10000000</v>
      </c>
      <c r="R310">
        <f t="shared" si="17"/>
        <v>601.49169941454841</v>
      </c>
    </row>
    <row r="311" spans="1:18" ht="23.25" x14ac:dyDescent="0.2">
      <c r="A311" s="15" ph="1">
        <v>21200022</v>
      </c>
      <c r="B311" s="17" t="s">
        <v>1874</v>
      </c>
      <c r="C311" s="15" t="s" ph="1">
        <v>1918</v>
      </c>
      <c r="D311" s="15">
        <v>1000000</v>
      </c>
      <c r="E311" s="15" ph="1">
        <v>0</v>
      </c>
      <c r="F311" s="15" t="s" ph="1">
        <v>1661</v>
      </c>
      <c r="G311" s="15" t="str">
        <f t="shared" ref="G311:G340" si="35">C311&amp;" 계약서"</f>
        <v>사이이다 알 후라 계약서</v>
      </c>
      <c r="H311" s="15">
        <v>5</v>
      </c>
      <c r="I311" s="15">
        <v>10</v>
      </c>
      <c r="J311" s="15">
        <f t="shared" ref="J311:J340" si="36">P311</f>
        <v>802</v>
      </c>
      <c r="K311" s="15">
        <f t="shared" ref="K311:K339" si="37">AVERAGE(H311:I311)*D311</f>
        <v>7500000</v>
      </c>
      <c r="L311">
        <f>SUMIF($B:$B,B311,$K:$K)/K311</f>
        <v>40.576000000000001</v>
      </c>
      <c r="M311">
        <f>L311/SUMIF($B:$B,B311,$L:$L)</f>
        <v>8.0198893255273114E-5</v>
      </c>
      <c r="N311">
        <f t="shared" ref="N311:N339" si="38">ROUNDDOWN(10000000*M311,0)</f>
        <v>801</v>
      </c>
      <c r="O311">
        <f>10000000-SUMIF($B:$B,B311,$N:$N)</f>
        <v>91</v>
      </c>
      <c r="P311" s="19">
        <f>IF(COUNTIF($B$9:B311,B311)&lt;=O311,N311+1,N311)</f>
        <v>802</v>
      </c>
      <c r="Q311" s="20">
        <f>SUMIF($B:$B,B311,$P:$P)</f>
        <v>10000000</v>
      </c>
      <c r="R311">
        <f t="shared" ref="R311:R339" si="39">M311*K311</f>
        <v>601.49169941454841</v>
      </c>
    </row>
    <row r="312" spans="1:18" ht="23.25" x14ac:dyDescent="0.2">
      <c r="A312" s="15" ph="1">
        <v>21300203</v>
      </c>
      <c r="B312" s="17" t="s">
        <v>1874</v>
      </c>
      <c r="C312" s="15" t="s" ph="1">
        <v>1919</v>
      </c>
      <c r="D312" s="15">
        <v>20000</v>
      </c>
      <c r="E312" s="15" ph="1">
        <v>0</v>
      </c>
      <c r="F312" s="15" t="s" ph="1">
        <v>1671</v>
      </c>
      <c r="G312" s="15" t="str">
        <f t="shared" si="35"/>
        <v>안토니오 피가페타 계약서</v>
      </c>
      <c r="H312" s="15">
        <v>5</v>
      </c>
      <c r="I312" s="15">
        <v>10</v>
      </c>
      <c r="J312" s="15">
        <f t="shared" si="36"/>
        <v>40100</v>
      </c>
      <c r="K312" s="15">
        <f t="shared" si="37"/>
        <v>150000</v>
      </c>
      <c r="L312">
        <f>SUMIF($B:$B,B312,$K:$K)/K312</f>
        <v>2028.8</v>
      </c>
      <c r="M312">
        <f>L312/SUMIF($B:$B,B312,$L:$L)</f>
        <v>4.0099446627636553E-3</v>
      </c>
      <c r="N312">
        <f t="shared" si="38"/>
        <v>40099</v>
      </c>
      <c r="O312">
        <f>10000000-SUMIF($B:$B,B312,$N:$N)</f>
        <v>91</v>
      </c>
      <c r="P312" s="19">
        <f>IF(COUNTIF($B$9:B312,B312)&lt;=O312,N312+1,N312)</f>
        <v>40100</v>
      </c>
      <c r="Q312" s="20">
        <f>SUMIF($B:$B,B312,$P:$P)</f>
        <v>10000000</v>
      </c>
      <c r="R312">
        <f t="shared" si="39"/>
        <v>601.49169941454829</v>
      </c>
    </row>
    <row r="313" spans="1:18" ht="23.25" x14ac:dyDescent="0.2">
      <c r="A313" s="15" ph="1">
        <v>21300228</v>
      </c>
      <c r="B313" s="17" t="s">
        <v>1874</v>
      </c>
      <c r="C313" s="15" t="s" ph="1">
        <v>1920</v>
      </c>
      <c r="D313" s="15">
        <v>20000</v>
      </c>
      <c r="E313" s="15" ph="1">
        <v>0</v>
      </c>
      <c r="F313" s="15" t="s" ph="1">
        <v>1671</v>
      </c>
      <c r="G313" s="15" t="str">
        <f t="shared" si="35"/>
        <v>아흐메드 알 와타시 계약서</v>
      </c>
      <c r="H313" s="15">
        <v>5</v>
      </c>
      <c r="I313" s="15">
        <v>10</v>
      </c>
      <c r="J313" s="15">
        <f t="shared" si="36"/>
        <v>40100</v>
      </c>
      <c r="K313" s="15">
        <f t="shared" si="37"/>
        <v>150000</v>
      </c>
      <c r="L313">
        <f>SUMIF($B:$B,B313,$K:$K)/K313</f>
        <v>2028.8</v>
      </c>
      <c r="M313">
        <f>L313/SUMIF($B:$B,B313,$L:$L)</f>
        <v>4.0099446627636553E-3</v>
      </c>
      <c r="N313">
        <f t="shared" si="38"/>
        <v>40099</v>
      </c>
      <c r="O313">
        <f>10000000-SUMIF($B:$B,B313,$N:$N)</f>
        <v>91</v>
      </c>
      <c r="P313" s="19">
        <f>IF(COUNTIF($B$9:B313,B313)&lt;=O313,N313+1,N313)</f>
        <v>40100</v>
      </c>
      <c r="Q313" s="20">
        <f>SUMIF($B:$B,B313,$P:$P)</f>
        <v>10000000</v>
      </c>
      <c r="R313">
        <f t="shared" si="39"/>
        <v>601.49169941454829</v>
      </c>
    </row>
    <row r="314" spans="1:18" ht="23.25" x14ac:dyDescent="0.2">
      <c r="A314" s="15" ph="1">
        <v>21300237</v>
      </c>
      <c r="B314" s="17" t="s">
        <v>1874</v>
      </c>
      <c r="C314" s="15" t="s" ph="1">
        <v>1921</v>
      </c>
      <c r="D314" s="15">
        <v>20000</v>
      </c>
      <c r="E314" s="15" ph="1">
        <v>0</v>
      </c>
      <c r="F314" s="15" t="s" ph="1">
        <v>1671</v>
      </c>
      <c r="G314" s="15" t="str">
        <f t="shared" si="35"/>
        <v>셰르 샤 계약서</v>
      </c>
      <c r="H314" s="15">
        <v>5</v>
      </c>
      <c r="I314" s="15">
        <v>10</v>
      </c>
      <c r="J314" s="15">
        <f t="shared" si="36"/>
        <v>40100</v>
      </c>
      <c r="K314" s="15">
        <f t="shared" si="37"/>
        <v>150000</v>
      </c>
      <c r="L314">
        <f>SUMIF($B:$B,B314,$K:$K)/K314</f>
        <v>2028.8</v>
      </c>
      <c r="M314">
        <f>L314/SUMIF($B:$B,B314,$L:$L)</f>
        <v>4.0099446627636553E-3</v>
      </c>
      <c r="N314">
        <f t="shared" si="38"/>
        <v>40099</v>
      </c>
      <c r="O314">
        <f>10000000-SUMIF($B:$B,B314,$N:$N)</f>
        <v>91</v>
      </c>
      <c r="P314" s="19">
        <f>IF(COUNTIF($B$9:B314,B314)&lt;=O314,N314+1,N314)</f>
        <v>40100</v>
      </c>
      <c r="Q314" s="20">
        <f>SUMIF($B:$B,B314,$P:$P)</f>
        <v>10000000</v>
      </c>
      <c r="R314">
        <f t="shared" si="39"/>
        <v>601.49169941454829</v>
      </c>
    </row>
    <row r="315" spans="1:18" ht="23.25" x14ac:dyDescent="0.2">
      <c r="A315" s="15" ph="1">
        <v>21300317</v>
      </c>
      <c r="B315" s="17" t="s">
        <v>1874</v>
      </c>
      <c r="C315" s="15" t="s" ph="1">
        <v>1922</v>
      </c>
      <c r="D315" s="15">
        <v>4000</v>
      </c>
      <c r="E315" s="15" ph="1">
        <v>0</v>
      </c>
      <c r="F315" s="15" t="s" ph="1">
        <v>1655</v>
      </c>
      <c r="G315" s="15" t="str">
        <f t="shared" si="35"/>
        <v>크리스티나 닐스도테르 계약서</v>
      </c>
      <c r="H315" s="15">
        <v>5</v>
      </c>
      <c r="I315" s="15">
        <v>10</v>
      </c>
      <c r="J315" s="15">
        <f t="shared" si="36"/>
        <v>200498</v>
      </c>
      <c r="K315" s="15">
        <f t="shared" si="37"/>
        <v>30000</v>
      </c>
      <c r="L315">
        <f>SUMIF($B:$B,B315,$K:$K)/K315</f>
        <v>10144</v>
      </c>
      <c r="M315">
        <f>L315/SUMIF($B:$B,B315,$L:$L)</f>
        <v>2.0049723313818279E-2</v>
      </c>
      <c r="N315">
        <f t="shared" si="38"/>
        <v>200497</v>
      </c>
      <c r="O315">
        <f>10000000-SUMIF($B:$B,B315,$N:$N)</f>
        <v>91</v>
      </c>
      <c r="P315" s="19">
        <f>IF(COUNTIF($B$9:B315,B315)&lt;=O315,N315+1,N315)</f>
        <v>200498</v>
      </c>
      <c r="Q315" s="20">
        <f>SUMIF($B:$B,B315,$P:$P)</f>
        <v>10000000</v>
      </c>
      <c r="R315">
        <f t="shared" si="39"/>
        <v>601.49169941454841</v>
      </c>
    </row>
    <row r="316" spans="1:18" ht="23.25" x14ac:dyDescent="0.2">
      <c r="A316" s="15" ph="1">
        <v>21200024</v>
      </c>
      <c r="B316" s="17" t="s">
        <v>1874</v>
      </c>
      <c r="C316" s="15" t="s" ph="1">
        <v>1923</v>
      </c>
      <c r="D316" s="15">
        <v>1000000</v>
      </c>
      <c r="E316" s="15" ph="1">
        <v>0</v>
      </c>
      <c r="F316" s="15" t="s" ph="1">
        <v>1661</v>
      </c>
      <c r="G316" s="15" t="str">
        <f t="shared" si="35"/>
        <v>앤 보니 계약서</v>
      </c>
      <c r="H316" s="15">
        <v>5</v>
      </c>
      <c r="I316" s="15">
        <v>10</v>
      </c>
      <c r="J316" s="15">
        <f t="shared" si="36"/>
        <v>802</v>
      </c>
      <c r="K316" s="15">
        <f t="shared" si="37"/>
        <v>7500000</v>
      </c>
      <c r="L316">
        <f>SUMIF($B:$B,B316,$K:$K)/K316</f>
        <v>40.576000000000001</v>
      </c>
      <c r="M316">
        <f>L316/SUMIF($B:$B,B316,$L:$L)</f>
        <v>8.0198893255273114E-5</v>
      </c>
      <c r="N316">
        <f t="shared" si="38"/>
        <v>801</v>
      </c>
      <c r="O316">
        <f>10000000-SUMIF($B:$B,B316,$N:$N)</f>
        <v>91</v>
      </c>
      <c r="P316" s="19">
        <f>IF(COUNTIF($B$9:B316,B316)&lt;=O316,N316+1,N316)</f>
        <v>802</v>
      </c>
      <c r="Q316" s="20">
        <f>SUMIF($B:$B,B316,$P:$P)</f>
        <v>10000000</v>
      </c>
      <c r="R316">
        <f t="shared" si="39"/>
        <v>601.49169941454841</v>
      </c>
    </row>
    <row r="317" spans="1:18" ht="23.25" x14ac:dyDescent="0.2">
      <c r="A317" s="15" ph="1">
        <v>21300153</v>
      </c>
      <c r="B317" s="17" t="s">
        <v>1874</v>
      </c>
      <c r="C317" s="15" t="s" ph="1">
        <v>1924</v>
      </c>
      <c r="D317" s="15">
        <v>20000</v>
      </c>
      <c r="E317" s="15" ph="1">
        <v>0</v>
      </c>
      <c r="F317" s="15" t="s" ph="1">
        <v>1671</v>
      </c>
      <c r="G317" s="15" t="str">
        <f t="shared" si="35"/>
        <v>존 래컴 계약서</v>
      </c>
      <c r="H317" s="15">
        <v>5</v>
      </c>
      <c r="I317" s="15">
        <v>10</v>
      </c>
      <c r="J317" s="15">
        <f t="shared" si="36"/>
        <v>40100</v>
      </c>
      <c r="K317" s="15">
        <f t="shared" si="37"/>
        <v>150000</v>
      </c>
      <c r="L317">
        <f>SUMIF($B:$B,B317,$K:$K)/K317</f>
        <v>2028.8</v>
      </c>
      <c r="M317">
        <f>L317/SUMIF($B:$B,B317,$L:$L)</f>
        <v>4.0099446627636553E-3</v>
      </c>
      <c r="N317">
        <f t="shared" si="38"/>
        <v>40099</v>
      </c>
      <c r="O317">
        <f>10000000-SUMIF($B:$B,B317,$N:$N)</f>
        <v>91</v>
      </c>
      <c r="P317" s="19">
        <f>IF(COUNTIF($B$9:B317,B317)&lt;=O317,N317+1,N317)</f>
        <v>40100</v>
      </c>
      <c r="Q317" s="20">
        <f>SUMIF($B:$B,B317,$P:$P)</f>
        <v>10000000</v>
      </c>
      <c r="R317">
        <f t="shared" si="39"/>
        <v>601.49169941454829</v>
      </c>
    </row>
    <row r="318" spans="1:18" ht="23.25" x14ac:dyDescent="0.2">
      <c r="A318" s="15" ph="1">
        <v>21300002</v>
      </c>
      <c r="B318" s="17" t="s">
        <v>1874</v>
      </c>
      <c r="C318" s="15" t="s" ph="1">
        <v>1925</v>
      </c>
      <c r="D318" s="15">
        <v>1000000</v>
      </c>
      <c r="E318" s="15" ph="1">
        <v>0</v>
      </c>
      <c r="F318" s="15" t="s" ph="1">
        <v>1661</v>
      </c>
      <c r="G318" s="15" t="str">
        <f t="shared" si="35"/>
        <v>사피예 술탄 계약서</v>
      </c>
      <c r="H318" s="15">
        <v>5</v>
      </c>
      <c r="I318" s="15">
        <v>10</v>
      </c>
      <c r="J318" s="15">
        <f t="shared" si="36"/>
        <v>802</v>
      </c>
      <c r="K318" s="15">
        <f t="shared" si="37"/>
        <v>7500000</v>
      </c>
      <c r="L318">
        <f>SUMIF($B:$B,B318,$K:$K)/K318</f>
        <v>40.576000000000001</v>
      </c>
      <c r="M318">
        <f>L318/SUMIF($B:$B,B318,$L:$L)</f>
        <v>8.0198893255273114E-5</v>
      </c>
      <c r="N318">
        <f t="shared" si="38"/>
        <v>801</v>
      </c>
      <c r="O318">
        <f>10000000-SUMIF($B:$B,B318,$N:$N)</f>
        <v>91</v>
      </c>
      <c r="P318" s="19">
        <f>IF(COUNTIF($B$9:B318,B318)&lt;=O318,N318+1,N318)</f>
        <v>802</v>
      </c>
      <c r="Q318" s="20">
        <f>SUMIF($B:$B,B318,$P:$P)</f>
        <v>10000000</v>
      </c>
      <c r="R318">
        <f t="shared" si="39"/>
        <v>601.49169941454841</v>
      </c>
    </row>
    <row r="319" spans="1:18" ht="23.25" x14ac:dyDescent="0.2">
      <c r="A319" s="15" ph="1">
        <v>21300039</v>
      </c>
      <c r="B319" s="17" t="s">
        <v>1874</v>
      </c>
      <c r="C319" s="15" t="s" ph="1">
        <v>1926</v>
      </c>
      <c r="D319" s="15">
        <v>200000</v>
      </c>
      <c r="E319" s="15" ph="1">
        <v>0</v>
      </c>
      <c r="F319" s="15" t="s" ph="1">
        <v>1854</v>
      </c>
      <c r="G319" s="15" t="str">
        <f t="shared" si="35"/>
        <v>카테리나 데메디치 계약서</v>
      </c>
      <c r="H319" s="15">
        <v>5</v>
      </c>
      <c r="I319" s="15">
        <v>10</v>
      </c>
      <c r="J319" s="15">
        <f t="shared" si="36"/>
        <v>4010</v>
      </c>
      <c r="K319" s="15">
        <f t="shared" si="37"/>
        <v>1500000</v>
      </c>
      <c r="L319">
        <f>SUMIF($B:$B,B319,$K:$K)/K319</f>
        <v>202.88</v>
      </c>
      <c r="M319">
        <f>L319/SUMIF($B:$B,B319,$L:$L)</f>
        <v>4.0099446627636556E-4</v>
      </c>
      <c r="N319">
        <f t="shared" si="38"/>
        <v>4009</v>
      </c>
      <c r="O319">
        <f>10000000-SUMIF($B:$B,B319,$N:$N)</f>
        <v>91</v>
      </c>
      <c r="P319" s="19">
        <f>IF(COUNTIF($B$9:B319,B319)&lt;=O319,N319+1,N319)</f>
        <v>4010</v>
      </c>
      <c r="Q319" s="20">
        <f>SUMIF($B:$B,B319,$P:$P)</f>
        <v>10000000</v>
      </c>
      <c r="R319">
        <f t="shared" si="39"/>
        <v>601.49169941454829</v>
      </c>
    </row>
    <row r="320" spans="1:18" ht="23.25" x14ac:dyDescent="0.2">
      <c r="A320" s="15" ph="1">
        <v>21300041</v>
      </c>
      <c r="B320" s="17" t="s">
        <v>1874</v>
      </c>
      <c r="C320" s="15" t="s" ph="1">
        <v>1927</v>
      </c>
      <c r="D320" s="15">
        <v>200000</v>
      </c>
      <c r="E320" s="15" ph="1">
        <v>0</v>
      </c>
      <c r="F320" s="15" t="s" ph="1">
        <v>1854</v>
      </c>
      <c r="G320" s="15" t="str">
        <f t="shared" si="35"/>
        <v>메리 스튜어트 계약서</v>
      </c>
      <c r="H320" s="15">
        <v>5</v>
      </c>
      <c r="I320" s="15">
        <v>10</v>
      </c>
      <c r="J320" s="15">
        <f t="shared" si="36"/>
        <v>4010</v>
      </c>
      <c r="K320" s="15">
        <f t="shared" si="37"/>
        <v>1500000</v>
      </c>
      <c r="L320">
        <f>SUMIF($B:$B,B320,$K:$K)/K320</f>
        <v>202.88</v>
      </c>
      <c r="M320">
        <f>L320/SUMIF($B:$B,B320,$L:$L)</f>
        <v>4.0099446627636556E-4</v>
      </c>
      <c r="N320">
        <f t="shared" si="38"/>
        <v>4009</v>
      </c>
      <c r="O320">
        <f>10000000-SUMIF($B:$B,B320,$N:$N)</f>
        <v>91</v>
      </c>
      <c r="P320" s="19">
        <f>IF(COUNTIF($B$9:B320,B320)&lt;=O320,N320+1,N320)</f>
        <v>4010</v>
      </c>
      <c r="Q320" s="20">
        <f>SUMIF($B:$B,B320,$P:$P)</f>
        <v>10000000</v>
      </c>
      <c r="R320">
        <f t="shared" si="39"/>
        <v>601.49169941454829</v>
      </c>
    </row>
    <row r="321" spans="1:18" ht="23.25" x14ac:dyDescent="0.2">
      <c r="A321" s="15" ph="1">
        <v>21300129</v>
      </c>
      <c r="B321" s="17" t="s">
        <v>1874</v>
      </c>
      <c r="C321" s="15" t="s" ph="1">
        <v>1928</v>
      </c>
      <c r="D321" s="15">
        <v>20000</v>
      </c>
      <c r="E321" s="15" ph="1">
        <v>0</v>
      </c>
      <c r="F321" s="15" t="s" ph="1">
        <v>1671</v>
      </c>
      <c r="G321" s="15" t="str">
        <f t="shared" si="35"/>
        <v>앤 불린 계약서</v>
      </c>
      <c r="H321" s="15">
        <v>5</v>
      </c>
      <c r="I321" s="15">
        <v>10</v>
      </c>
      <c r="J321" s="15">
        <f t="shared" si="36"/>
        <v>40100</v>
      </c>
      <c r="K321" s="15">
        <f t="shared" si="37"/>
        <v>150000</v>
      </c>
      <c r="L321">
        <f>SUMIF($B:$B,B321,$K:$K)/K321</f>
        <v>2028.8</v>
      </c>
      <c r="M321">
        <f>L321/SUMIF($B:$B,B321,$L:$L)</f>
        <v>4.0099446627636553E-3</v>
      </c>
      <c r="N321">
        <f t="shared" si="38"/>
        <v>40099</v>
      </c>
      <c r="O321">
        <f>10000000-SUMIF($B:$B,B321,$N:$N)</f>
        <v>91</v>
      </c>
      <c r="P321" s="19">
        <f>IF(COUNTIF($B$9:B321,B321)&lt;=O321,N321+1,N321)</f>
        <v>40100</v>
      </c>
      <c r="Q321" s="20">
        <f>SUMIF($B:$B,B321,$P:$P)</f>
        <v>10000000</v>
      </c>
      <c r="R321">
        <f t="shared" si="39"/>
        <v>601.49169941454829</v>
      </c>
    </row>
    <row r="322" spans="1:18" ht="23.25" x14ac:dyDescent="0.2">
      <c r="A322" s="15" ph="1">
        <v>21300132</v>
      </c>
      <c r="B322" s="17" t="s">
        <v>1874</v>
      </c>
      <c r="C322" s="15" t="s" ph="1">
        <v>1929</v>
      </c>
      <c r="D322" s="15">
        <v>20000</v>
      </c>
      <c r="E322" s="15" ph="1">
        <v>0</v>
      </c>
      <c r="F322" s="15" t="s" ph="1">
        <v>1671</v>
      </c>
      <c r="G322" s="15" t="str">
        <f t="shared" si="35"/>
        <v>안 도트리슈 계약서</v>
      </c>
      <c r="H322" s="15">
        <v>5</v>
      </c>
      <c r="I322" s="15">
        <v>10</v>
      </c>
      <c r="J322" s="15">
        <f t="shared" si="36"/>
        <v>40100</v>
      </c>
      <c r="K322" s="15">
        <f t="shared" si="37"/>
        <v>150000</v>
      </c>
      <c r="L322">
        <f>SUMIF($B:$B,B322,$K:$K)/K322</f>
        <v>2028.8</v>
      </c>
      <c r="M322">
        <f>L322/SUMIF($B:$B,B322,$L:$L)</f>
        <v>4.0099446627636553E-3</v>
      </c>
      <c r="N322">
        <f t="shared" si="38"/>
        <v>40099</v>
      </c>
      <c r="O322">
        <f>10000000-SUMIF($B:$B,B322,$N:$N)</f>
        <v>91</v>
      </c>
      <c r="P322" s="19">
        <f>IF(COUNTIF($B$9:B322,B322)&lt;=O322,N322+1,N322)</f>
        <v>40100</v>
      </c>
      <c r="Q322" s="20">
        <f>SUMIF($B:$B,B322,$P:$P)</f>
        <v>10000000</v>
      </c>
      <c r="R322">
        <f t="shared" si="39"/>
        <v>601.49169941454829</v>
      </c>
    </row>
    <row r="323" spans="1:18" ht="23.25" x14ac:dyDescent="0.2">
      <c r="A323" s="15" ph="1">
        <v>21300128</v>
      </c>
      <c r="B323" s="17" t="s">
        <v>1874</v>
      </c>
      <c r="C323" s="15" t="s" ph="1">
        <v>1930</v>
      </c>
      <c r="D323" s="15">
        <v>20000</v>
      </c>
      <c r="E323" s="15" ph="1">
        <v>0</v>
      </c>
      <c r="F323" s="15" t="s" ph="1">
        <v>1671</v>
      </c>
      <c r="G323" s="15" t="str">
        <f t="shared" si="35"/>
        <v>이자벨 드로렌 계약서</v>
      </c>
      <c r="H323" s="15">
        <v>5</v>
      </c>
      <c r="I323" s="15">
        <v>10</v>
      </c>
      <c r="J323" s="15">
        <f t="shared" si="36"/>
        <v>40100</v>
      </c>
      <c r="K323" s="15">
        <f t="shared" si="37"/>
        <v>150000</v>
      </c>
      <c r="L323">
        <f>SUMIF($B:$B,B323,$K:$K)/K323</f>
        <v>2028.8</v>
      </c>
      <c r="M323">
        <f>L323/SUMIF($B:$B,B323,$L:$L)</f>
        <v>4.0099446627636553E-3</v>
      </c>
      <c r="N323">
        <f t="shared" si="38"/>
        <v>40099</v>
      </c>
      <c r="O323">
        <f>10000000-SUMIF($B:$B,B323,$N:$N)</f>
        <v>91</v>
      </c>
      <c r="P323" s="19">
        <f>IF(COUNTIF($B$9:B323,B323)&lt;=O323,N323+1,N323)</f>
        <v>40100</v>
      </c>
      <c r="Q323" s="20">
        <f>SUMIF($B:$B,B323,$P:$P)</f>
        <v>10000000</v>
      </c>
      <c r="R323">
        <f t="shared" si="39"/>
        <v>601.49169941454829</v>
      </c>
    </row>
    <row r="324" spans="1:18" ht="23.25" x14ac:dyDescent="0.2">
      <c r="A324" s="15" ph="1">
        <v>21300494</v>
      </c>
      <c r="B324" s="17" t="s">
        <v>1874</v>
      </c>
      <c r="C324" s="15" t="s" ph="1">
        <v>1931</v>
      </c>
      <c r="D324" s="15">
        <v>4000</v>
      </c>
      <c r="E324" s="15" ph="1">
        <v>0</v>
      </c>
      <c r="F324" s="15" t="s" ph="1">
        <v>1655</v>
      </c>
      <c r="G324" s="15" t="str">
        <f t="shared" si="35"/>
        <v>아녜스 소렐 계약서</v>
      </c>
      <c r="H324" s="15">
        <v>5</v>
      </c>
      <c r="I324" s="15">
        <v>10</v>
      </c>
      <c r="J324" s="15">
        <f t="shared" si="36"/>
        <v>200498</v>
      </c>
      <c r="K324" s="15">
        <f t="shared" si="37"/>
        <v>30000</v>
      </c>
      <c r="L324">
        <f>SUMIF($B:$B,B324,$K:$K)/K324</f>
        <v>10144</v>
      </c>
      <c r="M324">
        <f>L324/SUMIF($B:$B,B324,$L:$L)</f>
        <v>2.0049723313818279E-2</v>
      </c>
      <c r="N324">
        <f t="shared" si="38"/>
        <v>200497</v>
      </c>
      <c r="O324">
        <f>10000000-SUMIF($B:$B,B324,$N:$N)</f>
        <v>91</v>
      </c>
      <c r="P324" s="19">
        <f>IF(COUNTIF($B$9:B324,B324)&lt;=O324,N324+1,N324)</f>
        <v>200498</v>
      </c>
      <c r="Q324" s="20">
        <f>SUMIF($B:$B,B324,$P:$P)</f>
        <v>10000000</v>
      </c>
      <c r="R324">
        <f t="shared" si="39"/>
        <v>601.49169941454841</v>
      </c>
    </row>
    <row r="325" spans="1:18" ht="23.25" x14ac:dyDescent="0.2">
      <c r="A325" s="15" ph="1">
        <v>21300502</v>
      </c>
      <c r="B325" s="17" t="s">
        <v>1874</v>
      </c>
      <c r="C325" s="15" t="s" ph="1">
        <v>1932</v>
      </c>
      <c r="D325" s="15">
        <v>4000</v>
      </c>
      <c r="E325" s="15" ph="1">
        <v>0</v>
      </c>
      <c r="F325" s="15" t="s" ph="1">
        <v>1655</v>
      </c>
      <c r="G325" s="15" t="str">
        <f t="shared" si="35"/>
        <v>마리아 피타 계약서</v>
      </c>
      <c r="H325" s="15">
        <v>5</v>
      </c>
      <c r="I325" s="15">
        <v>10</v>
      </c>
      <c r="J325" s="15">
        <f t="shared" si="36"/>
        <v>200498</v>
      </c>
      <c r="K325" s="15">
        <f t="shared" si="37"/>
        <v>30000</v>
      </c>
      <c r="L325">
        <f>SUMIF($B:$B,B325,$K:$K)/K325</f>
        <v>10144</v>
      </c>
      <c r="M325">
        <f>L325/SUMIF($B:$B,B325,$L:$L)</f>
        <v>2.0049723313818279E-2</v>
      </c>
      <c r="N325">
        <f t="shared" si="38"/>
        <v>200497</v>
      </c>
      <c r="O325">
        <f>10000000-SUMIF($B:$B,B325,$N:$N)</f>
        <v>91</v>
      </c>
      <c r="P325" s="19">
        <f>IF(COUNTIF($B$9:B325,B325)&lt;=O325,N325+1,N325)</f>
        <v>200498</v>
      </c>
      <c r="Q325" s="20">
        <f>SUMIF($B:$B,B325,$P:$P)</f>
        <v>10000000</v>
      </c>
      <c r="R325">
        <f t="shared" si="39"/>
        <v>601.49169941454841</v>
      </c>
    </row>
    <row r="326" spans="1:18" ht="23.25" x14ac:dyDescent="0.2">
      <c r="A326" s="15" ph="1">
        <v>21300027</v>
      </c>
      <c r="B326" s="17" t="s">
        <v>1874</v>
      </c>
      <c r="C326" s="15" t="s" ph="1">
        <v>1957</v>
      </c>
      <c r="D326" s="15">
        <v>1000000</v>
      </c>
      <c r="E326" s="15" ph="1">
        <v>0</v>
      </c>
      <c r="F326" s="15" t="s" ph="1">
        <v>1661</v>
      </c>
      <c r="G326" s="15" t="str">
        <f t="shared" si="35"/>
        <v>토마스 튜 계약서</v>
      </c>
      <c r="H326" s="15">
        <v>5</v>
      </c>
      <c r="I326" s="15">
        <v>10</v>
      </c>
      <c r="J326" s="15">
        <f t="shared" si="36"/>
        <v>802</v>
      </c>
      <c r="K326" s="15">
        <f t="shared" si="37"/>
        <v>7500000</v>
      </c>
      <c r="L326">
        <f>SUMIF($B:$B,B326,$K:$K)/K326</f>
        <v>40.576000000000001</v>
      </c>
      <c r="M326">
        <f>L326/SUMIF($B:$B,B326,$L:$L)</f>
        <v>8.0198893255273114E-5</v>
      </c>
      <c r="N326">
        <f t="shared" si="38"/>
        <v>801</v>
      </c>
      <c r="O326">
        <f>10000000-SUMIF($B:$B,B326,$N:$N)</f>
        <v>91</v>
      </c>
      <c r="P326" s="19">
        <f>IF(COUNTIF($B$9:B326,B326)&lt;=O326,N326+1,N326)</f>
        <v>802</v>
      </c>
      <c r="Q326" s="20">
        <f>SUMIF($B:$B,B326,$P:$P)</f>
        <v>10000000</v>
      </c>
      <c r="R326">
        <f t="shared" si="39"/>
        <v>601.49169941454841</v>
      </c>
    </row>
    <row r="327" spans="1:18" ht="23.25" x14ac:dyDescent="0.2">
      <c r="A327" s="15" ph="1">
        <v>21300026</v>
      </c>
      <c r="B327" s="17" t="s">
        <v>1874</v>
      </c>
      <c r="C327" s="15" t="s" ph="1">
        <v>1958</v>
      </c>
      <c r="D327" s="15">
        <v>200000</v>
      </c>
      <c r="E327" s="15" ph="1">
        <v>0</v>
      </c>
      <c r="F327" s="15" t="s" ph="1">
        <v>1854</v>
      </c>
      <c r="G327" s="15" t="str">
        <f t="shared" si="35"/>
        <v>에드워드 잉글랜드 계약서</v>
      </c>
      <c r="H327" s="15">
        <v>5</v>
      </c>
      <c r="I327" s="15">
        <v>10</v>
      </c>
      <c r="J327" s="15">
        <f t="shared" si="36"/>
        <v>4010</v>
      </c>
      <c r="K327" s="15">
        <f t="shared" si="37"/>
        <v>1500000</v>
      </c>
      <c r="L327">
        <f>SUMIF($B:$B,B327,$K:$K)/K327</f>
        <v>202.88</v>
      </c>
      <c r="M327">
        <f>L327/SUMIF($B:$B,B327,$L:$L)</f>
        <v>4.0099446627636556E-4</v>
      </c>
      <c r="N327">
        <f t="shared" si="38"/>
        <v>4009</v>
      </c>
      <c r="O327">
        <f>10000000-SUMIF($B:$B,B327,$N:$N)</f>
        <v>91</v>
      </c>
      <c r="P327" s="19">
        <f>IF(COUNTIF($B$9:B327,B327)&lt;=O327,N327+1,N327)</f>
        <v>4010</v>
      </c>
      <c r="Q327" s="20">
        <f>SUMIF($B:$B,B327,$P:$P)</f>
        <v>10000000</v>
      </c>
      <c r="R327">
        <f t="shared" si="39"/>
        <v>601.49169941454829</v>
      </c>
    </row>
    <row r="328" spans="1:18" ht="23.25" x14ac:dyDescent="0.2">
      <c r="A328" s="15" ph="1">
        <v>21300088</v>
      </c>
      <c r="B328" s="17" t="s">
        <v>1874</v>
      </c>
      <c r="C328" s="15" t="s" ph="1">
        <v>1959</v>
      </c>
      <c r="D328" s="15">
        <v>200000</v>
      </c>
      <c r="E328" s="15" ph="1">
        <v>0</v>
      </c>
      <c r="F328" s="15" t="s" ph="1">
        <v>1854</v>
      </c>
      <c r="G328" s="15" t="str">
        <f t="shared" si="35"/>
        <v>윌리엄 키드 계약서</v>
      </c>
      <c r="H328" s="15">
        <v>5</v>
      </c>
      <c r="I328" s="15">
        <v>10</v>
      </c>
      <c r="J328" s="15">
        <f t="shared" si="36"/>
        <v>4010</v>
      </c>
      <c r="K328" s="15">
        <f t="shared" si="37"/>
        <v>1500000</v>
      </c>
      <c r="L328">
        <f>SUMIF($B:$B,B328,$K:$K)/K328</f>
        <v>202.88</v>
      </c>
      <c r="M328">
        <f>L328/SUMIF($B:$B,B328,$L:$L)</f>
        <v>4.0099446627636556E-4</v>
      </c>
      <c r="N328">
        <f t="shared" si="38"/>
        <v>4009</v>
      </c>
      <c r="O328">
        <f>10000000-SUMIF($B:$B,B328,$N:$N)</f>
        <v>91</v>
      </c>
      <c r="P328" s="19">
        <f>IF(COUNTIF($B$9:B328,B328)&lt;=O328,N328+1,N328)</f>
        <v>4010</v>
      </c>
      <c r="Q328" s="20">
        <f>SUMIF($B:$B,B328,$P:$P)</f>
        <v>10000000</v>
      </c>
      <c r="R328">
        <f t="shared" si="39"/>
        <v>601.49169941454829</v>
      </c>
    </row>
    <row r="329" spans="1:18" ht="23.25" x14ac:dyDescent="0.2">
      <c r="A329" s="15" ph="1">
        <v>21300208</v>
      </c>
      <c r="B329" s="17" t="s">
        <v>1874</v>
      </c>
      <c r="C329" s="15" t="s" ph="1">
        <v>1960</v>
      </c>
      <c r="D329" s="15">
        <v>20000</v>
      </c>
      <c r="E329" s="15" ph="1">
        <v>0</v>
      </c>
      <c r="F329" s="15" t="s" ph="1">
        <v>1671</v>
      </c>
      <c r="G329" s="15" t="str">
        <f t="shared" si="35"/>
        <v>새뮤얼 버지스 계약서</v>
      </c>
      <c r="H329" s="15">
        <v>5</v>
      </c>
      <c r="I329" s="15">
        <v>10</v>
      </c>
      <c r="J329" s="15">
        <f t="shared" si="36"/>
        <v>40100</v>
      </c>
      <c r="K329" s="15">
        <f t="shared" si="37"/>
        <v>150000</v>
      </c>
      <c r="L329">
        <f>SUMIF($B:$B,B329,$K:$K)/K329</f>
        <v>2028.8</v>
      </c>
      <c r="M329">
        <f>L329/SUMIF($B:$B,B329,$L:$L)</f>
        <v>4.0099446627636553E-3</v>
      </c>
      <c r="N329">
        <f t="shared" si="38"/>
        <v>40099</v>
      </c>
      <c r="O329">
        <f>10000000-SUMIF($B:$B,B329,$N:$N)</f>
        <v>91</v>
      </c>
      <c r="P329" s="19">
        <f>IF(COUNTIF($B$9:B329,B329)&lt;=O329,N329+1,N329)</f>
        <v>40100</v>
      </c>
      <c r="Q329" s="20">
        <f>SUMIF($B:$B,B329,$P:$P)</f>
        <v>10000000</v>
      </c>
      <c r="R329">
        <f t="shared" si="39"/>
        <v>601.49169941454829</v>
      </c>
    </row>
    <row r="330" spans="1:18" ht="23.25" x14ac:dyDescent="0.2">
      <c r="A330" s="15" ph="1">
        <v>21300183</v>
      </c>
      <c r="B330" s="17" t="s">
        <v>1874</v>
      </c>
      <c r="C330" s="15" t="s" ph="1">
        <v>1961</v>
      </c>
      <c r="D330" s="15">
        <v>20000</v>
      </c>
      <c r="E330" s="15" ph="1">
        <v>0</v>
      </c>
      <c r="F330" s="15" t="s" ph="1">
        <v>1671</v>
      </c>
      <c r="G330" s="15" t="str">
        <f t="shared" si="35"/>
        <v>찰스 베인 계약서</v>
      </c>
      <c r="H330" s="15">
        <v>5</v>
      </c>
      <c r="I330" s="15">
        <v>10</v>
      </c>
      <c r="J330" s="15">
        <f t="shared" si="36"/>
        <v>40100</v>
      </c>
      <c r="K330" s="15">
        <f t="shared" si="37"/>
        <v>150000</v>
      </c>
      <c r="L330">
        <f>SUMIF($B:$B,B330,$K:$K)/K330</f>
        <v>2028.8</v>
      </c>
      <c r="M330">
        <f>L330/SUMIF($B:$B,B330,$L:$L)</f>
        <v>4.0099446627636553E-3</v>
      </c>
      <c r="N330">
        <f t="shared" si="38"/>
        <v>40099</v>
      </c>
      <c r="O330">
        <f>10000000-SUMIF($B:$B,B330,$N:$N)</f>
        <v>91</v>
      </c>
      <c r="P330" s="19">
        <f>IF(COUNTIF($B$9:B330,B330)&lt;=O330,N330+1,N330)</f>
        <v>40100</v>
      </c>
      <c r="Q330" s="20">
        <f>SUMIF($B:$B,B330,$P:$P)</f>
        <v>10000000</v>
      </c>
      <c r="R330">
        <f t="shared" si="39"/>
        <v>601.49169941454829</v>
      </c>
    </row>
    <row r="331" spans="1:18" ht="23.25" x14ac:dyDescent="0.2">
      <c r="A331" s="15" ph="1">
        <v>21300220</v>
      </c>
      <c r="B331" s="17" t="s">
        <v>1874</v>
      </c>
      <c r="C331" s="15" t="s" ph="1">
        <v>1962</v>
      </c>
      <c r="D331" s="15">
        <v>20000</v>
      </c>
      <c r="E331" s="15" ph="1">
        <v>0</v>
      </c>
      <c r="F331" s="15" t="s" ph="1">
        <v>1671</v>
      </c>
      <c r="G331" s="15" t="str">
        <f t="shared" si="35"/>
        <v>프랑수아 르클레르 계약서</v>
      </c>
      <c r="H331" s="15">
        <v>5</v>
      </c>
      <c r="I331" s="15">
        <v>10</v>
      </c>
      <c r="J331" s="15">
        <f t="shared" si="36"/>
        <v>40100</v>
      </c>
      <c r="K331" s="15">
        <f t="shared" si="37"/>
        <v>150000</v>
      </c>
      <c r="L331">
        <f>SUMIF($B:$B,B331,$K:$K)/K331</f>
        <v>2028.8</v>
      </c>
      <c r="M331">
        <f>L331/SUMIF($B:$B,B331,$L:$L)</f>
        <v>4.0099446627636553E-3</v>
      </c>
      <c r="N331">
        <f t="shared" si="38"/>
        <v>40099</v>
      </c>
      <c r="O331">
        <f>10000000-SUMIF($B:$B,B331,$N:$N)</f>
        <v>91</v>
      </c>
      <c r="P331" s="19">
        <f>IF(COUNTIF($B$9:B331,B331)&lt;=O331,N331+1,N331)</f>
        <v>40100</v>
      </c>
      <c r="Q331" s="20">
        <f>SUMIF($B:$B,B331,$P:$P)</f>
        <v>10000000</v>
      </c>
      <c r="R331">
        <f t="shared" si="39"/>
        <v>601.49169941454829</v>
      </c>
    </row>
    <row r="332" spans="1:18" ht="23.25" x14ac:dyDescent="0.2">
      <c r="A332" s="15" ph="1">
        <v>21300452</v>
      </c>
      <c r="B332" s="17" t="s">
        <v>1874</v>
      </c>
      <c r="C332" s="15" t="s" ph="1">
        <v>1963</v>
      </c>
      <c r="D332" s="15">
        <v>4000</v>
      </c>
      <c r="E332" s="15" ph="1">
        <v>0</v>
      </c>
      <c r="F332" s="15" t="s" ph="1">
        <v>1655</v>
      </c>
      <c r="G332" s="15" t="str">
        <f t="shared" si="35"/>
        <v>조너선 바넷 계약서</v>
      </c>
      <c r="H332" s="15">
        <v>5</v>
      </c>
      <c r="I332" s="15">
        <v>10</v>
      </c>
      <c r="J332" s="15">
        <f t="shared" si="36"/>
        <v>200498</v>
      </c>
      <c r="K332" s="15">
        <f t="shared" si="37"/>
        <v>30000</v>
      </c>
      <c r="L332">
        <f>SUMIF($B:$B,B332,$K:$K)/K332</f>
        <v>10144</v>
      </c>
      <c r="M332">
        <f>L332/SUMIF($B:$B,B332,$L:$L)</f>
        <v>2.0049723313818279E-2</v>
      </c>
      <c r="N332">
        <f t="shared" si="38"/>
        <v>200497</v>
      </c>
      <c r="O332">
        <f>10000000-SUMIF($B:$B,B332,$N:$N)</f>
        <v>91</v>
      </c>
      <c r="P332" s="19">
        <f>IF(COUNTIF($B$9:B332,B332)&lt;=O332,N332+1,N332)</f>
        <v>200498</v>
      </c>
      <c r="Q332" s="20">
        <f>SUMIF($B:$B,B332,$P:$P)</f>
        <v>10000000</v>
      </c>
      <c r="R332">
        <f t="shared" si="39"/>
        <v>601.49169941454841</v>
      </c>
    </row>
    <row r="333" spans="1:18" ht="23.25" x14ac:dyDescent="0.2">
      <c r="A333" s="15" ph="1">
        <v>21300361</v>
      </c>
      <c r="B333" s="17" t="s">
        <v>1874</v>
      </c>
      <c r="C333" s="15" t="s" ph="1">
        <v>1964</v>
      </c>
      <c r="D333" s="15">
        <v>4000</v>
      </c>
      <c r="E333" s="15" ph="1">
        <v>0</v>
      </c>
      <c r="F333" s="15" t="s" ph="1">
        <v>1655</v>
      </c>
      <c r="G333" s="15" t="str">
        <f t="shared" si="35"/>
        <v>리처드 헉슬리 계약서</v>
      </c>
      <c r="H333" s="15">
        <v>5</v>
      </c>
      <c r="I333" s="15">
        <v>10</v>
      </c>
      <c r="J333" s="15">
        <f t="shared" si="36"/>
        <v>200498</v>
      </c>
      <c r="K333" s="15">
        <f t="shared" si="37"/>
        <v>30000</v>
      </c>
      <c r="L333">
        <f>SUMIF($B:$B,B333,$K:$K)/K333</f>
        <v>10144</v>
      </c>
      <c r="M333">
        <f>L333/SUMIF($B:$B,B333,$L:$L)</f>
        <v>2.0049723313818279E-2</v>
      </c>
      <c r="N333">
        <f t="shared" si="38"/>
        <v>200497</v>
      </c>
      <c r="O333">
        <f>10000000-SUMIF($B:$B,B333,$N:$N)</f>
        <v>91</v>
      </c>
      <c r="P333" s="19">
        <f>IF(COUNTIF($B$9:B333,B333)&lt;=O333,N333+1,N333)</f>
        <v>200498</v>
      </c>
      <c r="Q333" s="20">
        <f>SUMIF($B:$B,B333,$P:$P)</f>
        <v>10000000</v>
      </c>
      <c r="R333">
        <f t="shared" si="39"/>
        <v>601.49169941454841</v>
      </c>
    </row>
    <row r="334" spans="1:18" ht="23.25" x14ac:dyDescent="0.2">
      <c r="A334" s="15" ph="1">
        <v>21300030</v>
      </c>
      <c r="B334" s="17" t="s">
        <v>1874</v>
      </c>
      <c r="C334" s="15" t="s" ph="1">
        <v>1973</v>
      </c>
      <c r="D334" s="15">
        <v>1000000</v>
      </c>
      <c r="E334" s="15" ph="1">
        <v>0</v>
      </c>
      <c r="F334" s="15" t="s" ph="1">
        <v>1661</v>
      </c>
      <c r="G334" s="15" t="str">
        <f t="shared" si="35"/>
        <v>마히데브란 계약서</v>
      </c>
      <c r="H334" s="15">
        <v>5</v>
      </c>
      <c r="I334" s="15">
        <v>10</v>
      </c>
      <c r="J334" s="15">
        <f t="shared" si="36"/>
        <v>802</v>
      </c>
      <c r="K334" s="15">
        <f t="shared" si="37"/>
        <v>7500000</v>
      </c>
      <c r="L334">
        <f>SUMIF($B:$B,B334,$K:$K)/K334</f>
        <v>40.576000000000001</v>
      </c>
      <c r="M334">
        <f>L334/SUMIF($B:$B,B334,$L:$L)</f>
        <v>8.0198893255273114E-5</v>
      </c>
      <c r="N334">
        <f t="shared" si="38"/>
        <v>801</v>
      </c>
      <c r="O334">
        <f>10000000-SUMIF($B:$B,B334,$N:$N)</f>
        <v>91</v>
      </c>
      <c r="P334" s="19">
        <f>IF(COUNTIF($B$9:B334,B334)&lt;=O334,N334+1,N334)</f>
        <v>802</v>
      </c>
      <c r="Q334" s="20">
        <f>SUMIF($B:$B,B334,$P:$P)</f>
        <v>10000000</v>
      </c>
      <c r="R334">
        <f t="shared" si="39"/>
        <v>601.49169941454841</v>
      </c>
    </row>
    <row r="335" spans="1:18" ht="23.25" x14ac:dyDescent="0.2">
      <c r="A335" s="15" ph="1">
        <v>21300102</v>
      </c>
      <c r="B335" s="17" t="s">
        <v>1874</v>
      </c>
      <c r="C335" s="15" t="s" ph="1">
        <v>1974</v>
      </c>
      <c r="D335" s="15">
        <v>200000</v>
      </c>
      <c r="E335" s="15" ph="1">
        <v>0</v>
      </c>
      <c r="F335" s="15" t="s" ph="1">
        <v>1854</v>
      </c>
      <c r="G335" s="15" t="str">
        <f t="shared" si="35"/>
        <v>휘렘 술탄 계약서</v>
      </c>
      <c r="H335" s="15">
        <v>5</v>
      </c>
      <c r="I335" s="15">
        <v>10</v>
      </c>
      <c r="J335" s="15">
        <f t="shared" si="36"/>
        <v>4010</v>
      </c>
      <c r="K335" s="15">
        <f t="shared" si="37"/>
        <v>1500000</v>
      </c>
      <c r="L335">
        <f>SUMIF($B:$B,B335,$K:$K)/K335</f>
        <v>202.88</v>
      </c>
      <c r="M335">
        <f>L335/SUMIF($B:$B,B335,$L:$L)</f>
        <v>4.0099446627636556E-4</v>
      </c>
      <c r="N335">
        <f t="shared" si="38"/>
        <v>4009</v>
      </c>
      <c r="O335">
        <f>10000000-SUMIF($B:$B,B335,$N:$N)</f>
        <v>91</v>
      </c>
      <c r="P335" s="19">
        <f>IF(COUNTIF($B$9:B335,B335)&lt;=O335,N335+1,N335)</f>
        <v>4010</v>
      </c>
      <c r="Q335" s="20">
        <f>SUMIF($B:$B,B335,$P:$P)</f>
        <v>10000000</v>
      </c>
      <c r="R335">
        <f t="shared" si="39"/>
        <v>601.49169941454829</v>
      </c>
    </row>
    <row r="336" spans="1:18" ht="23.25" x14ac:dyDescent="0.2">
      <c r="A336" s="15" ph="1">
        <v>21300100</v>
      </c>
      <c r="B336" s="17" t="s">
        <v>1874</v>
      </c>
      <c r="C336" s="15" t="s" ph="1">
        <v>1975</v>
      </c>
      <c r="D336" s="15">
        <v>200000</v>
      </c>
      <c r="E336" s="15" ph="1">
        <v>0</v>
      </c>
      <c r="F336" s="15" t="s" ph="1">
        <v>1854</v>
      </c>
      <c r="G336" s="15" t="str">
        <f t="shared" si="35"/>
        <v>투르구트 레이스 계약서</v>
      </c>
      <c r="H336" s="15">
        <v>5</v>
      </c>
      <c r="I336" s="15">
        <v>10</v>
      </c>
      <c r="J336" s="15">
        <f t="shared" si="36"/>
        <v>4010</v>
      </c>
      <c r="K336" s="15">
        <f t="shared" si="37"/>
        <v>1500000</v>
      </c>
      <c r="L336">
        <f>SUMIF($B:$B,B336,$K:$K)/K336</f>
        <v>202.88</v>
      </c>
      <c r="M336">
        <f>L336/SUMIF($B:$B,B336,$L:$L)</f>
        <v>4.0099446627636556E-4</v>
      </c>
      <c r="N336">
        <f t="shared" si="38"/>
        <v>4009</v>
      </c>
      <c r="O336">
        <f>10000000-SUMIF($B:$B,B336,$N:$N)</f>
        <v>91</v>
      </c>
      <c r="P336" s="19">
        <f>IF(COUNTIF($B$9:B336,B336)&lt;=O336,N336+1,N336)</f>
        <v>4010</v>
      </c>
      <c r="Q336" s="20">
        <f>SUMIF($B:$B,B336,$P:$P)</f>
        <v>10000000</v>
      </c>
      <c r="R336">
        <f t="shared" si="39"/>
        <v>601.49169941454829</v>
      </c>
    </row>
    <row r="337" spans="1:18" ht="23.25" x14ac:dyDescent="0.2">
      <c r="A337" s="15" ph="1">
        <v>21300270</v>
      </c>
      <c r="B337" s="17" t="s">
        <v>1874</v>
      </c>
      <c r="C337" s="15" t="s" ph="1">
        <v>1976</v>
      </c>
      <c r="D337" s="15">
        <v>20000</v>
      </c>
      <c r="E337" s="15" ph="1">
        <v>0</v>
      </c>
      <c r="F337" s="15" t="s" ph="1">
        <v>1671</v>
      </c>
      <c r="G337" s="15" t="str">
        <f t="shared" si="35"/>
        <v>쿠르톨루 무슬리딘 계약서</v>
      </c>
      <c r="H337" s="15">
        <v>5</v>
      </c>
      <c r="I337" s="15">
        <v>10</v>
      </c>
      <c r="J337" s="15">
        <f t="shared" si="36"/>
        <v>40100</v>
      </c>
      <c r="K337" s="15">
        <f t="shared" si="37"/>
        <v>150000</v>
      </c>
      <c r="L337">
        <f>SUMIF($B:$B,B337,$K:$K)/K337</f>
        <v>2028.8</v>
      </c>
      <c r="M337">
        <f>L337/SUMIF($B:$B,B337,$L:$L)</f>
        <v>4.0099446627636553E-3</v>
      </c>
      <c r="N337">
        <f t="shared" si="38"/>
        <v>40099</v>
      </c>
      <c r="O337">
        <f>10000000-SUMIF($B:$B,B337,$N:$N)</f>
        <v>91</v>
      </c>
      <c r="P337" s="19">
        <f>IF(COUNTIF($B$9:B337,B337)&lt;=O337,N337+1,N337)</f>
        <v>40100</v>
      </c>
      <c r="Q337" s="20">
        <f>SUMIF($B:$B,B337,$P:$P)</f>
        <v>10000000</v>
      </c>
      <c r="R337">
        <f t="shared" si="39"/>
        <v>601.49169941454829</v>
      </c>
    </row>
    <row r="338" spans="1:18" ht="23.25" x14ac:dyDescent="0.2">
      <c r="A338" s="15" ph="1">
        <v>21300164</v>
      </c>
      <c r="B338" s="17" t="s">
        <v>1874</v>
      </c>
      <c r="C338" s="15" t="s" ph="1">
        <v>1977</v>
      </c>
      <c r="D338" s="15">
        <v>20000</v>
      </c>
      <c r="E338" s="15" ph="1">
        <v>0</v>
      </c>
      <c r="F338" s="15" t="s" ph="1">
        <v>1671</v>
      </c>
      <c r="G338" s="15" t="str">
        <f t="shared" si="35"/>
        <v>시난 파샤 계약서</v>
      </c>
      <c r="H338" s="15">
        <v>5</v>
      </c>
      <c r="I338" s="15">
        <v>10</v>
      </c>
      <c r="J338" s="15">
        <f t="shared" si="36"/>
        <v>40100</v>
      </c>
      <c r="K338" s="15">
        <f t="shared" si="37"/>
        <v>150000</v>
      </c>
      <c r="L338">
        <f>SUMIF($B:$B,B338,$K:$K)/K338</f>
        <v>2028.8</v>
      </c>
      <c r="M338">
        <f>L338/SUMIF($B:$B,B338,$L:$L)</f>
        <v>4.0099446627636553E-3</v>
      </c>
      <c r="N338">
        <f t="shared" si="38"/>
        <v>40099</v>
      </c>
      <c r="O338">
        <f>10000000-SUMIF($B:$B,B338,$N:$N)</f>
        <v>91</v>
      </c>
      <c r="P338" s="19">
        <f>IF(COUNTIF($B$9:B338,B338)&lt;=O338,N338+1,N338)</f>
        <v>40100</v>
      </c>
      <c r="Q338" s="20">
        <f>SUMIF($B:$B,B338,$P:$P)</f>
        <v>10000000</v>
      </c>
      <c r="R338">
        <f t="shared" si="39"/>
        <v>601.49169941454829</v>
      </c>
    </row>
    <row r="339" spans="1:18" ht="23.25" x14ac:dyDescent="0.2">
      <c r="A339" s="15" ph="1">
        <v>21300365</v>
      </c>
      <c r="B339" s="17" t="s">
        <v>1874</v>
      </c>
      <c r="C339" s="15" t="s" ph="1">
        <v>1978</v>
      </c>
      <c r="D339" s="15">
        <v>4000</v>
      </c>
      <c r="E339" s="15" ph="1">
        <v>0</v>
      </c>
      <c r="F339" s="15" t="s" ph="1">
        <v>1655</v>
      </c>
      <c r="G339" s="15" t="str">
        <f t="shared" si="35"/>
        <v>살림 괴브데 계약서</v>
      </c>
      <c r="H339" s="15">
        <v>5</v>
      </c>
      <c r="I339" s="15">
        <v>10</v>
      </c>
      <c r="J339" s="15">
        <f t="shared" si="36"/>
        <v>200498</v>
      </c>
      <c r="K339" s="15">
        <f t="shared" si="37"/>
        <v>30000</v>
      </c>
      <c r="L339">
        <f>SUMIF($B:$B,B339,$K:$K)/K339</f>
        <v>10144</v>
      </c>
      <c r="M339">
        <f>L339/SUMIF($B:$B,B339,$L:$L)</f>
        <v>2.0049723313818279E-2</v>
      </c>
      <c r="N339">
        <f t="shared" si="38"/>
        <v>200497</v>
      </c>
      <c r="O339">
        <f>10000000-SUMIF($B:$B,B339,$N:$N)</f>
        <v>91</v>
      </c>
      <c r="P339" s="19">
        <f>IF(COUNTIF($B$9:B339,B339)&lt;=O339,N339+1,N339)</f>
        <v>200498</v>
      </c>
      <c r="Q339" s="20">
        <f>SUMIF($B:$B,B339,$P:$P)</f>
        <v>10000000</v>
      </c>
      <c r="R339">
        <f t="shared" si="39"/>
        <v>601.49169941454841</v>
      </c>
    </row>
    <row r="340" spans="1:18" ht="23.25" x14ac:dyDescent="0.2">
      <c r="A340" s="15" ph="1">
        <v>21300460</v>
      </c>
      <c r="B340" s="17" t="s">
        <v>1874</v>
      </c>
      <c r="C340" s="15" t="s" ph="1">
        <v>1979</v>
      </c>
      <c r="D340" s="15">
        <v>4000</v>
      </c>
      <c r="E340" s="15" ph="1">
        <v>0</v>
      </c>
      <c r="F340" s="15" t="s" ph="1">
        <v>1655</v>
      </c>
      <c r="G340" s="15" t="str">
        <f t="shared" si="35"/>
        <v>시난 레이스 계약서</v>
      </c>
      <c r="H340" s="15">
        <v>5</v>
      </c>
      <c r="I340" s="15">
        <v>10</v>
      </c>
      <c r="J340" s="15">
        <f t="shared" si="36"/>
        <v>200498</v>
      </c>
      <c r="K340" s="15">
        <f t="shared" ref="K340:K403" si="40">AVERAGE(H340:I340)*D340</f>
        <v>30000</v>
      </c>
      <c r="L340">
        <f>SUMIF($B:$B,B340,$K:$K)/K340</f>
        <v>10144</v>
      </c>
      <c r="M340">
        <f>L340/SUMIF($B:$B,B340,$L:$L)</f>
        <v>2.0049723313818279E-2</v>
      </c>
      <c r="N340">
        <f t="shared" ref="N340:N403" si="41">ROUNDDOWN(10000000*M340,0)</f>
        <v>200497</v>
      </c>
      <c r="O340">
        <f>10000000-SUMIF($B:$B,B340,$N:$N)</f>
        <v>91</v>
      </c>
      <c r="P340" s="19">
        <f>IF(COUNTIF($B$9:B340,B340)&lt;=O340,N340+1,N340)</f>
        <v>200498</v>
      </c>
      <c r="Q340" s="20">
        <f>SUMIF($B:$B,B340,$P:$P)</f>
        <v>10000000</v>
      </c>
      <c r="R340">
        <f t="shared" ref="R340:R403" si="42">M340*K340</f>
        <v>601.49169941454841</v>
      </c>
    </row>
    <row r="341" spans="1:18" ht="23.25" x14ac:dyDescent="0.2">
      <c r="A341" s="15" ph="1">
        <v>21300457</v>
      </c>
      <c r="B341" s="17" t="s">
        <v>1874</v>
      </c>
      <c r="C341" s="15" t="s" ph="1">
        <v>1980</v>
      </c>
      <c r="D341" s="15">
        <v>4000</v>
      </c>
      <c r="E341" s="15" ph="1">
        <v>0</v>
      </c>
      <c r="F341" s="15" t="s" ph="1">
        <v>1655</v>
      </c>
      <c r="G341" s="15" t="str">
        <f t="shared" ref="G341:G404" si="43">C341&amp;" 계약서"</f>
        <v>세페르 레이스 계약서</v>
      </c>
      <c r="H341" s="15">
        <v>5</v>
      </c>
      <c r="I341" s="15">
        <v>10</v>
      </c>
      <c r="J341" s="15">
        <f t="shared" ref="J341:J404" si="44">P341</f>
        <v>200498</v>
      </c>
      <c r="K341" s="15">
        <f t="shared" si="40"/>
        <v>30000</v>
      </c>
      <c r="L341">
        <f>SUMIF($B:$B,B341,$K:$K)/K341</f>
        <v>10144</v>
      </c>
      <c r="M341">
        <f>L341/SUMIF($B:$B,B341,$L:$L)</f>
        <v>2.0049723313818279E-2</v>
      </c>
      <c r="N341">
        <f t="shared" si="41"/>
        <v>200497</v>
      </c>
      <c r="O341">
        <f>10000000-SUMIF($B:$B,B341,$N:$N)</f>
        <v>91</v>
      </c>
      <c r="P341" s="19">
        <f>IF(COUNTIF($B$9:B341,B341)&lt;=O341,N341+1,N341)</f>
        <v>200498</v>
      </c>
      <c r="Q341" s="20">
        <f>SUMIF($B:$B,B341,$P:$P)</f>
        <v>10000000</v>
      </c>
      <c r="R341">
        <f t="shared" si="42"/>
        <v>601.49169941454841</v>
      </c>
    </row>
    <row r="342" spans="1:18" ht="23.25" x14ac:dyDescent="0.2">
      <c r="A342" s="15" ph="1">
        <v>21300018</v>
      </c>
      <c r="B342" s="17" t="s">
        <v>1874</v>
      </c>
      <c r="C342" s="15" t="s" ph="1">
        <v>1981</v>
      </c>
      <c r="D342" s="15">
        <v>1000000</v>
      </c>
      <c r="E342" s="15" ph="1">
        <v>0</v>
      </c>
      <c r="F342" s="15" t="s" ph="1">
        <v>1661</v>
      </c>
      <c r="G342" s="15" t="str">
        <f t="shared" si="43"/>
        <v>체사레 보르자 계약서</v>
      </c>
      <c r="H342" s="15">
        <v>5</v>
      </c>
      <c r="I342" s="15">
        <v>10</v>
      </c>
      <c r="J342" s="15">
        <f t="shared" si="44"/>
        <v>802</v>
      </c>
      <c r="K342" s="15">
        <f t="shared" si="40"/>
        <v>7500000</v>
      </c>
      <c r="L342">
        <f>SUMIF($B:$B,B342,$K:$K)/K342</f>
        <v>40.576000000000001</v>
      </c>
      <c r="M342">
        <f>L342/SUMIF($B:$B,B342,$L:$L)</f>
        <v>8.0198893255273114E-5</v>
      </c>
      <c r="N342">
        <f t="shared" si="41"/>
        <v>801</v>
      </c>
      <c r="O342">
        <f>10000000-SUMIF($B:$B,B342,$N:$N)</f>
        <v>91</v>
      </c>
      <c r="P342" s="19">
        <f>IF(COUNTIF($B$9:B342,B342)&lt;=O342,N342+1,N342)</f>
        <v>802</v>
      </c>
      <c r="Q342" s="20">
        <f>SUMIF($B:$B,B342,$P:$P)</f>
        <v>10000000</v>
      </c>
      <c r="R342">
        <f t="shared" si="42"/>
        <v>601.49169941454841</v>
      </c>
    </row>
    <row r="343" spans="1:18" ht="23.25" x14ac:dyDescent="0.2">
      <c r="A343" s="15" ph="1">
        <v>21300035</v>
      </c>
      <c r="B343" s="17" t="s">
        <v>1874</v>
      </c>
      <c r="C343" s="15" t="s" ph="1">
        <v>1982</v>
      </c>
      <c r="D343" s="15">
        <v>200000</v>
      </c>
      <c r="E343" s="15" ph="1">
        <v>0</v>
      </c>
      <c r="F343" s="15" t="s" ph="1">
        <v>1854</v>
      </c>
      <c r="G343" s="15" t="str">
        <f t="shared" si="43"/>
        <v>루크레치아 보르자 계약서</v>
      </c>
      <c r="H343" s="15">
        <v>5</v>
      </c>
      <c r="I343" s="15">
        <v>10</v>
      </c>
      <c r="J343" s="15">
        <f t="shared" si="44"/>
        <v>4010</v>
      </c>
      <c r="K343" s="15">
        <f t="shared" si="40"/>
        <v>1500000</v>
      </c>
      <c r="L343">
        <f>SUMIF($B:$B,B343,$K:$K)/K343</f>
        <v>202.88</v>
      </c>
      <c r="M343">
        <f>L343/SUMIF($B:$B,B343,$L:$L)</f>
        <v>4.0099446627636556E-4</v>
      </c>
      <c r="N343">
        <f t="shared" si="41"/>
        <v>4009</v>
      </c>
      <c r="O343">
        <f>10000000-SUMIF($B:$B,B343,$N:$N)</f>
        <v>91</v>
      </c>
      <c r="P343" s="19">
        <f>IF(COUNTIF($B$9:B343,B343)&lt;=O343,N343+1,N343)</f>
        <v>4010</v>
      </c>
      <c r="Q343" s="20">
        <f>SUMIF($B:$B,B343,$P:$P)</f>
        <v>10000000</v>
      </c>
      <c r="R343">
        <f t="shared" si="42"/>
        <v>601.49169941454829</v>
      </c>
    </row>
    <row r="344" spans="1:18" ht="23.25" x14ac:dyDescent="0.2">
      <c r="A344" s="15" ph="1">
        <v>21300057</v>
      </c>
      <c r="B344" s="17" t="s">
        <v>1874</v>
      </c>
      <c r="C344" s="15" t="s" ph="1">
        <v>1983</v>
      </c>
      <c r="D344" s="15">
        <v>200000</v>
      </c>
      <c r="E344" s="15" ph="1">
        <v>0</v>
      </c>
      <c r="F344" s="15" t="s" ph="1">
        <v>1854</v>
      </c>
      <c r="G344" s="15" t="str">
        <f t="shared" si="43"/>
        <v>안드레아 도리아 계약서</v>
      </c>
      <c r="H344" s="15">
        <v>5</v>
      </c>
      <c r="I344" s="15">
        <v>10</v>
      </c>
      <c r="J344" s="15">
        <f t="shared" si="44"/>
        <v>4010</v>
      </c>
      <c r="K344" s="15">
        <f t="shared" si="40"/>
        <v>1500000</v>
      </c>
      <c r="L344">
        <f>SUMIF($B:$B,B344,$K:$K)/K344</f>
        <v>202.88</v>
      </c>
      <c r="M344">
        <f>L344/SUMIF($B:$B,B344,$L:$L)</f>
        <v>4.0099446627636556E-4</v>
      </c>
      <c r="N344">
        <f t="shared" si="41"/>
        <v>4009</v>
      </c>
      <c r="O344">
        <f>10000000-SUMIF($B:$B,B344,$N:$N)</f>
        <v>91</v>
      </c>
      <c r="P344" s="19">
        <f>IF(COUNTIF($B$9:B344,B344)&lt;=O344,N344+1,N344)</f>
        <v>4010</v>
      </c>
      <c r="Q344" s="20">
        <f>SUMIF($B:$B,B344,$P:$P)</f>
        <v>10000000</v>
      </c>
      <c r="R344">
        <f t="shared" si="42"/>
        <v>601.49169941454829</v>
      </c>
    </row>
    <row r="345" spans="1:18" ht="23.25" x14ac:dyDescent="0.2">
      <c r="A345" s="15" ph="1">
        <v>21300269</v>
      </c>
      <c r="B345" s="17" t="s">
        <v>1874</v>
      </c>
      <c r="C345" s="15" t="s" ph="1">
        <v>1984</v>
      </c>
      <c r="D345" s="15">
        <v>20000</v>
      </c>
      <c r="E345" s="15" ph="1">
        <v>0</v>
      </c>
      <c r="F345" s="15" t="s" ph="1">
        <v>1671</v>
      </c>
      <c r="G345" s="15" t="str">
        <f t="shared" si="43"/>
        <v>알비세 카다모스토 계약서</v>
      </c>
      <c r="H345" s="15">
        <v>5</v>
      </c>
      <c r="I345" s="15">
        <v>10</v>
      </c>
      <c r="J345" s="15">
        <f t="shared" si="44"/>
        <v>40100</v>
      </c>
      <c r="K345" s="15">
        <f t="shared" si="40"/>
        <v>150000</v>
      </c>
      <c r="L345">
        <f>SUMIF($B:$B,B345,$K:$K)/K345</f>
        <v>2028.8</v>
      </c>
      <c r="M345">
        <f>L345/SUMIF($B:$B,B345,$L:$L)</f>
        <v>4.0099446627636553E-3</v>
      </c>
      <c r="N345">
        <f t="shared" si="41"/>
        <v>40099</v>
      </c>
      <c r="O345">
        <f>10000000-SUMIF($B:$B,B345,$N:$N)</f>
        <v>91</v>
      </c>
      <c r="P345" s="19">
        <f>IF(COUNTIF($B$9:B345,B345)&lt;=O345,N345+1,N345)</f>
        <v>40100</v>
      </c>
      <c r="Q345" s="20">
        <f>SUMIF($B:$B,B345,$P:$P)</f>
        <v>10000000</v>
      </c>
      <c r="R345">
        <f t="shared" si="42"/>
        <v>601.49169941454829</v>
      </c>
    </row>
    <row r="346" spans="1:18" ht="23.25" x14ac:dyDescent="0.2">
      <c r="A346" s="15" ph="1">
        <v>21300137</v>
      </c>
      <c r="B346" s="17" t="s">
        <v>1874</v>
      </c>
      <c r="C346" s="15" t="s" ph="1">
        <v>1985</v>
      </c>
      <c r="D346" s="15">
        <v>20000</v>
      </c>
      <c r="E346" s="15" ph="1">
        <v>0</v>
      </c>
      <c r="F346" s="15" t="s" ph="1">
        <v>1671</v>
      </c>
      <c r="G346" s="15" t="str">
        <f t="shared" si="43"/>
        <v>알로이지 조반니 계약서</v>
      </c>
      <c r="H346" s="15">
        <v>5</v>
      </c>
      <c r="I346" s="15">
        <v>10</v>
      </c>
      <c r="J346" s="15">
        <f t="shared" si="44"/>
        <v>40100</v>
      </c>
      <c r="K346" s="15">
        <f t="shared" si="40"/>
        <v>150000</v>
      </c>
      <c r="L346">
        <f>SUMIF($B:$B,B346,$K:$K)/K346</f>
        <v>2028.8</v>
      </c>
      <c r="M346">
        <f>L346/SUMIF($B:$B,B346,$L:$L)</f>
        <v>4.0099446627636553E-3</v>
      </c>
      <c r="N346">
        <f t="shared" si="41"/>
        <v>40099</v>
      </c>
      <c r="O346">
        <f>10000000-SUMIF($B:$B,B346,$N:$N)</f>
        <v>91</v>
      </c>
      <c r="P346" s="19">
        <f>IF(COUNTIF($B$9:B346,B346)&lt;=O346,N346+1,N346)</f>
        <v>40100</v>
      </c>
      <c r="Q346" s="20">
        <f>SUMIF($B:$B,B346,$P:$P)</f>
        <v>10000000</v>
      </c>
      <c r="R346">
        <f t="shared" si="42"/>
        <v>601.49169941454829</v>
      </c>
    </row>
    <row r="347" spans="1:18" ht="23.25" x14ac:dyDescent="0.2">
      <c r="A347" s="15" ph="1">
        <v>21300382</v>
      </c>
      <c r="B347" s="17" t="s">
        <v>1874</v>
      </c>
      <c r="C347" s="15" t="s" ph="1">
        <v>1986</v>
      </c>
      <c r="D347" s="15">
        <v>4000</v>
      </c>
      <c r="E347" s="15" ph="1">
        <v>0</v>
      </c>
      <c r="F347" s="15" t="s" ph="1">
        <v>1655</v>
      </c>
      <c r="G347" s="15" t="str">
        <f t="shared" si="43"/>
        <v>미켈레토 코렐라 계약서</v>
      </c>
      <c r="H347" s="15">
        <v>5</v>
      </c>
      <c r="I347" s="15">
        <v>10</v>
      </c>
      <c r="J347" s="15">
        <f t="shared" si="44"/>
        <v>200498</v>
      </c>
      <c r="K347" s="15">
        <f t="shared" si="40"/>
        <v>30000</v>
      </c>
      <c r="L347">
        <f>SUMIF($B:$B,B347,$K:$K)/K347</f>
        <v>10144</v>
      </c>
      <c r="M347">
        <f>L347/SUMIF($B:$B,B347,$L:$L)</f>
        <v>2.0049723313818279E-2</v>
      </c>
      <c r="N347">
        <f t="shared" si="41"/>
        <v>200497</v>
      </c>
      <c r="O347">
        <f>10000000-SUMIF($B:$B,B347,$N:$N)</f>
        <v>91</v>
      </c>
      <c r="P347" s="19">
        <f>IF(COUNTIF($B$9:B347,B347)&lt;=O347,N347+1,N347)</f>
        <v>200498</v>
      </c>
      <c r="Q347" s="20">
        <f>SUMIF($B:$B,B347,$P:$P)</f>
        <v>10000000</v>
      </c>
      <c r="R347">
        <f t="shared" si="42"/>
        <v>601.49169941454841</v>
      </c>
    </row>
    <row r="348" spans="1:18" ht="23.25" x14ac:dyDescent="0.2">
      <c r="A348" s="15" ph="1">
        <v>21300372</v>
      </c>
      <c r="B348" s="17" t="s">
        <v>1874</v>
      </c>
      <c r="C348" s="15" t="s" ph="1">
        <v>1987</v>
      </c>
      <c r="D348" s="15">
        <v>4000</v>
      </c>
      <c r="E348" s="15" ph="1">
        <v>0</v>
      </c>
      <c r="F348" s="15" t="s" ph="1">
        <v>1655</v>
      </c>
      <c r="G348" s="15" t="str">
        <f t="shared" si="43"/>
        <v>페드로 나바로 계약서</v>
      </c>
      <c r="H348" s="15">
        <v>5</v>
      </c>
      <c r="I348" s="15">
        <v>10</v>
      </c>
      <c r="J348" s="15">
        <f t="shared" si="44"/>
        <v>200498</v>
      </c>
      <c r="K348" s="15">
        <f t="shared" si="40"/>
        <v>30000</v>
      </c>
      <c r="L348">
        <f>SUMIF($B:$B,B348,$K:$K)/K348</f>
        <v>10144</v>
      </c>
      <c r="M348">
        <f>L348/SUMIF($B:$B,B348,$L:$L)</f>
        <v>2.0049723313818279E-2</v>
      </c>
      <c r="N348">
        <f t="shared" si="41"/>
        <v>200497</v>
      </c>
      <c r="O348">
        <f>10000000-SUMIF($B:$B,B348,$N:$N)</f>
        <v>91</v>
      </c>
      <c r="P348" s="19">
        <f>IF(COUNTIF($B$9:B348,B348)&lt;=O348,N348+1,N348)</f>
        <v>200498</v>
      </c>
      <c r="Q348" s="20">
        <f>SUMIF($B:$B,B348,$P:$P)</f>
        <v>10000000</v>
      </c>
      <c r="R348">
        <f t="shared" si="42"/>
        <v>601.49169941454841</v>
      </c>
    </row>
    <row r="349" spans="1:18" ht="23.25" x14ac:dyDescent="0.2">
      <c r="A349" s="15" ph="1">
        <v>21300506</v>
      </c>
      <c r="B349" s="17" t="s">
        <v>1874</v>
      </c>
      <c r="C349" s="15" t="s" ph="1">
        <v>1988</v>
      </c>
      <c r="D349" s="15">
        <v>4000</v>
      </c>
      <c r="E349" s="15" ph="1">
        <v>0</v>
      </c>
      <c r="F349" s="15" t="s" ph="1">
        <v>1655</v>
      </c>
      <c r="G349" s="15" t="str">
        <f t="shared" si="43"/>
        <v>루크레치아 토르나부오니 계약서</v>
      </c>
      <c r="H349" s="15">
        <v>5</v>
      </c>
      <c r="I349" s="15">
        <v>10</v>
      </c>
      <c r="J349" s="15">
        <f t="shared" si="44"/>
        <v>200498</v>
      </c>
      <c r="K349" s="15">
        <f t="shared" si="40"/>
        <v>30000</v>
      </c>
      <c r="L349">
        <f>SUMIF($B:$B,B349,$K:$K)/K349</f>
        <v>10144</v>
      </c>
      <c r="M349">
        <f>L349/SUMIF($B:$B,B349,$L:$L)</f>
        <v>2.0049723313818279E-2</v>
      </c>
      <c r="N349">
        <f t="shared" si="41"/>
        <v>200497</v>
      </c>
      <c r="O349">
        <f>10000000-SUMIF($B:$B,B349,$N:$N)</f>
        <v>91</v>
      </c>
      <c r="P349" s="19">
        <f>IF(COUNTIF($B$9:B349,B349)&lt;=O349,N349+1,N349)</f>
        <v>200498</v>
      </c>
      <c r="Q349" s="20">
        <f>SUMIF($B:$B,B349,$P:$P)</f>
        <v>10000000</v>
      </c>
      <c r="R349">
        <f t="shared" si="42"/>
        <v>601.49169941454841</v>
      </c>
    </row>
    <row r="350" spans="1:18" ht="23.25" x14ac:dyDescent="0.2">
      <c r="A350" s="15" ph="1">
        <v>21300034</v>
      </c>
      <c r="B350" s="17" t="s">
        <v>1874</v>
      </c>
      <c r="C350" s="15" t="s" ph="1">
        <v>1989</v>
      </c>
      <c r="D350" s="15">
        <v>1000000</v>
      </c>
      <c r="E350" s="15" ph="1">
        <v>0</v>
      </c>
      <c r="F350" s="15" t="s" ph="1">
        <v>1661</v>
      </c>
      <c r="G350" s="15" t="str">
        <f t="shared" si="43"/>
        <v>장금 계약서</v>
      </c>
      <c r="H350" s="15">
        <v>5</v>
      </c>
      <c r="I350" s="15">
        <v>10</v>
      </c>
      <c r="J350" s="15">
        <f t="shared" si="44"/>
        <v>802</v>
      </c>
      <c r="K350" s="15">
        <f t="shared" si="40"/>
        <v>7500000</v>
      </c>
      <c r="L350">
        <f>SUMIF($B:$B,B350,$K:$K)/K350</f>
        <v>40.576000000000001</v>
      </c>
      <c r="M350">
        <f>L350/SUMIF($B:$B,B350,$L:$L)</f>
        <v>8.0198893255273114E-5</v>
      </c>
      <c r="N350">
        <f t="shared" si="41"/>
        <v>801</v>
      </c>
      <c r="O350">
        <f>10000000-SUMIF($B:$B,B350,$N:$N)</f>
        <v>91</v>
      </c>
      <c r="P350" s="19">
        <f>IF(COUNTIF($B$9:B350,B350)&lt;=O350,N350+1,N350)</f>
        <v>802</v>
      </c>
      <c r="Q350" s="20">
        <f>SUMIF($B:$B,B350,$P:$P)</f>
        <v>10000000</v>
      </c>
      <c r="R350">
        <f t="shared" si="42"/>
        <v>601.49169941454841</v>
      </c>
    </row>
    <row r="351" spans="1:18" ht="23.25" x14ac:dyDescent="0.2">
      <c r="A351" s="15" ph="1">
        <v>21300033</v>
      </c>
      <c r="B351" s="17" t="s">
        <v>1874</v>
      </c>
      <c r="C351" s="15" t="s" ph="1">
        <v>1990</v>
      </c>
      <c r="D351" s="15">
        <v>200000</v>
      </c>
      <c r="E351" s="15" ph="1">
        <v>0</v>
      </c>
      <c r="F351" s="15" t="s" ph="1">
        <v>1854</v>
      </c>
      <c r="G351" s="15" t="str">
        <f t="shared" si="43"/>
        <v>타치바나 긴치요 계약서</v>
      </c>
      <c r="H351" s="15">
        <v>5</v>
      </c>
      <c r="I351" s="15">
        <v>10</v>
      </c>
      <c r="J351" s="15">
        <f t="shared" si="44"/>
        <v>4010</v>
      </c>
      <c r="K351" s="15">
        <f t="shared" si="40"/>
        <v>1500000</v>
      </c>
      <c r="L351">
        <f>SUMIF($B:$B,B351,$K:$K)/K351</f>
        <v>202.88</v>
      </c>
      <c r="M351">
        <f>L351/SUMIF($B:$B,B351,$L:$L)</f>
        <v>4.0099446627636556E-4</v>
      </c>
      <c r="N351">
        <f t="shared" si="41"/>
        <v>4009</v>
      </c>
      <c r="O351">
        <f>10000000-SUMIF($B:$B,B351,$N:$N)</f>
        <v>91</v>
      </c>
      <c r="P351" s="19">
        <f>IF(COUNTIF($B$9:B351,B351)&lt;=O351,N351+1,N351)</f>
        <v>4010</v>
      </c>
      <c r="Q351" s="20">
        <f>SUMIF($B:$B,B351,$P:$P)</f>
        <v>10000000</v>
      </c>
      <c r="R351">
        <f t="shared" si="42"/>
        <v>601.49169941454829</v>
      </c>
    </row>
    <row r="352" spans="1:18" ht="23.25" x14ac:dyDescent="0.2">
      <c r="A352" s="15" ph="1">
        <v>21300283</v>
      </c>
      <c r="B352" s="17" t="s">
        <v>1874</v>
      </c>
      <c r="C352" s="15" t="s" ph="1">
        <v>1991</v>
      </c>
      <c r="D352" s="15">
        <v>20000</v>
      </c>
      <c r="E352" s="15" ph="1">
        <v>0</v>
      </c>
      <c r="F352" s="15" t="s" ph="1">
        <v>1671</v>
      </c>
      <c r="G352" s="15" t="str">
        <f t="shared" si="43"/>
        <v>호종헌 계약서</v>
      </c>
      <c r="H352" s="15">
        <v>5</v>
      </c>
      <c r="I352" s="15">
        <v>10</v>
      </c>
      <c r="J352" s="15">
        <f t="shared" si="44"/>
        <v>40100</v>
      </c>
      <c r="K352" s="15">
        <f t="shared" si="40"/>
        <v>150000</v>
      </c>
      <c r="L352">
        <f>SUMIF($B:$B,B352,$K:$K)/K352</f>
        <v>2028.8</v>
      </c>
      <c r="M352">
        <f>L352/SUMIF($B:$B,B352,$L:$L)</f>
        <v>4.0099446627636553E-3</v>
      </c>
      <c r="N352">
        <f t="shared" si="41"/>
        <v>40099</v>
      </c>
      <c r="O352">
        <f>10000000-SUMIF($B:$B,B352,$N:$N)</f>
        <v>91</v>
      </c>
      <c r="P352" s="19">
        <f>IF(COUNTIF($B$9:B352,B352)&lt;=O352,N352+1,N352)</f>
        <v>40100</v>
      </c>
      <c r="Q352" s="20">
        <f>SUMIF($B:$B,B352,$P:$P)</f>
        <v>10000000</v>
      </c>
      <c r="R352">
        <f t="shared" si="42"/>
        <v>601.49169941454829</v>
      </c>
    </row>
    <row r="353" spans="1:18" ht="23.25" x14ac:dyDescent="0.2">
      <c r="A353" s="15" ph="1">
        <v>21300190</v>
      </c>
      <c r="B353" s="17" t="s">
        <v>1874</v>
      </c>
      <c r="C353" s="15" t="s" ph="1">
        <v>1992</v>
      </c>
      <c r="D353" s="15">
        <v>20000</v>
      </c>
      <c r="E353" s="15" ph="1">
        <v>0</v>
      </c>
      <c r="F353" s="15" t="s" ph="1">
        <v>1671</v>
      </c>
      <c r="G353" s="15" t="str">
        <f t="shared" si="43"/>
        <v>도도 다카토라 계약서</v>
      </c>
      <c r="H353" s="15">
        <v>5</v>
      </c>
      <c r="I353" s="15">
        <v>10</v>
      </c>
      <c r="J353" s="15">
        <f t="shared" si="44"/>
        <v>40100</v>
      </c>
      <c r="K353" s="15">
        <f t="shared" si="40"/>
        <v>150000</v>
      </c>
      <c r="L353">
        <f>SUMIF($B:$B,B353,$K:$K)/K353</f>
        <v>2028.8</v>
      </c>
      <c r="M353">
        <f>L353/SUMIF($B:$B,B353,$L:$L)</f>
        <v>4.0099446627636553E-3</v>
      </c>
      <c r="N353">
        <f t="shared" si="41"/>
        <v>40099</v>
      </c>
      <c r="O353">
        <f>10000000-SUMIF($B:$B,B353,$N:$N)</f>
        <v>91</v>
      </c>
      <c r="P353" s="19">
        <f>IF(COUNTIF($B$9:B353,B353)&lt;=O353,N353+1,N353)</f>
        <v>40100</v>
      </c>
      <c r="Q353" s="20">
        <f>SUMIF($B:$B,B353,$P:$P)</f>
        <v>10000000</v>
      </c>
      <c r="R353">
        <f t="shared" si="42"/>
        <v>601.49169941454829</v>
      </c>
    </row>
    <row r="354" spans="1:18" ht="23.25" x14ac:dyDescent="0.2">
      <c r="A354" s="15" ph="1">
        <v>21300446</v>
      </c>
      <c r="B354" s="17" t="s">
        <v>1874</v>
      </c>
      <c r="C354" s="15" t="s" ph="1">
        <v>1993</v>
      </c>
      <c r="D354" s="15">
        <v>4000</v>
      </c>
      <c r="E354" s="15" ph="1">
        <v>0</v>
      </c>
      <c r="F354" s="15" t="s" ph="1">
        <v>1655</v>
      </c>
      <c r="G354" s="15" t="str">
        <f t="shared" si="43"/>
        <v>혜희 계약서</v>
      </c>
      <c r="H354" s="15">
        <v>5</v>
      </c>
      <c r="I354" s="15">
        <v>10</v>
      </c>
      <c r="J354" s="15">
        <f t="shared" si="44"/>
        <v>200498</v>
      </c>
      <c r="K354" s="15">
        <f t="shared" si="40"/>
        <v>30000</v>
      </c>
      <c r="L354">
        <f>SUMIF($B:$B,B354,$K:$K)/K354</f>
        <v>10144</v>
      </c>
      <c r="M354">
        <f>L354/SUMIF($B:$B,B354,$L:$L)</f>
        <v>2.0049723313818279E-2</v>
      </c>
      <c r="N354">
        <f t="shared" si="41"/>
        <v>200497</v>
      </c>
      <c r="O354">
        <f>10000000-SUMIF($B:$B,B354,$N:$N)</f>
        <v>91</v>
      </c>
      <c r="P354" s="19">
        <f>IF(COUNTIF($B$9:B354,B354)&lt;=O354,N354+1,N354)</f>
        <v>200498</v>
      </c>
      <c r="Q354" s="20">
        <f>SUMIF($B:$B,B354,$P:$P)</f>
        <v>10000000</v>
      </c>
      <c r="R354">
        <f t="shared" si="42"/>
        <v>601.49169941454841</v>
      </c>
    </row>
    <row r="355" spans="1:18" ht="23.25" x14ac:dyDescent="0.2">
      <c r="A355" s="15" ph="1">
        <v>21300319</v>
      </c>
      <c r="B355" s="17" t="s">
        <v>1874</v>
      </c>
      <c r="C355" s="15" t="s" ph="1">
        <v>1994</v>
      </c>
      <c r="D355" s="15">
        <v>4000</v>
      </c>
      <c r="E355" s="15" ph="1">
        <v>0</v>
      </c>
      <c r="F355" s="15" t="s" ph="1">
        <v>1655</v>
      </c>
      <c r="G355" s="15" t="str">
        <f t="shared" si="43"/>
        <v>고계영 계약서</v>
      </c>
      <c r="H355" s="15">
        <v>5</v>
      </c>
      <c r="I355" s="15">
        <v>10</v>
      </c>
      <c r="J355" s="15">
        <f t="shared" si="44"/>
        <v>200498</v>
      </c>
      <c r="K355" s="15">
        <f t="shared" si="40"/>
        <v>30000</v>
      </c>
      <c r="L355">
        <f>SUMIF($B:$B,B355,$K:$K)/K355</f>
        <v>10144</v>
      </c>
      <c r="M355">
        <f>L355/SUMIF($B:$B,B355,$L:$L)</f>
        <v>2.0049723313818279E-2</v>
      </c>
      <c r="N355">
        <f t="shared" si="41"/>
        <v>200497</v>
      </c>
      <c r="O355">
        <f>10000000-SUMIF($B:$B,B355,$N:$N)</f>
        <v>91</v>
      </c>
      <c r="P355" s="19">
        <f>IF(COUNTIF($B$9:B355,B355)&lt;=O355,N355+1,N355)</f>
        <v>200498</v>
      </c>
      <c r="Q355" s="20">
        <f>SUMIF($B:$B,B355,$P:$P)</f>
        <v>10000000</v>
      </c>
      <c r="R355">
        <f t="shared" si="42"/>
        <v>601.49169941454841</v>
      </c>
    </row>
    <row r="356" spans="1:18" ht="23.25" x14ac:dyDescent="0.2">
      <c r="A356" s="15" ph="1">
        <v>21300450</v>
      </c>
      <c r="B356" s="17" t="s">
        <v>1874</v>
      </c>
      <c r="C356" s="15" t="s" ph="1">
        <v>1995</v>
      </c>
      <c r="D356" s="15">
        <v>4000</v>
      </c>
      <c r="E356" s="15" ph="1">
        <v>0</v>
      </c>
      <c r="F356" s="15" t="s" ph="1">
        <v>1655</v>
      </c>
      <c r="G356" s="15" t="str">
        <f t="shared" si="43"/>
        <v>진린 계약서</v>
      </c>
      <c r="H356" s="15">
        <v>5</v>
      </c>
      <c r="I356" s="15">
        <v>10</v>
      </c>
      <c r="J356" s="15">
        <f t="shared" si="44"/>
        <v>200498</v>
      </c>
      <c r="K356" s="15">
        <f t="shared" si="40"/>
        <v>30000</v>
      </c>
      <c r="L356">
        <f>SUMIF($B:$B,B356,$K:$K)/K356</f>
        <v>10144</v>
      </c>
      <c r="M356">
        <f>L356/SUMIF($B:$B,B356,$L:$L)</f>
        <v>2.0049723313818279E-2</v>
      </c>
      <c r="N356">
        <f t="shared" si="41"/>
        <v>200497</v>
      </c>
      <c r="O356">
        <f>10000000-SUMIF($B:$B,B356,$N:$N)</f>
        <v>91</v>
      </c>
      <c r="P356" s="19">
        <f>IF(COUNTIF($B$9:B356,B356)&lt;=O356,N356+1,N356)</f>
        <v>200498</v>
      </c>
      <c r="Q356" s="20">
        <f>SUMIF($B:$B,B356,$P:$P)</f>
        <v>10000000</v>
      </c>
      <c r="R356">
        <f t="shared" si="42"/>
        <v>601.49169941454841</v>
      </c>
    </row>
    <row r="357" spans="1:18" ht="23.25" x14ac:dyDescent="0.2">
      <c r="A357" s="15" ph="1">
        <v>21300490</v>
      </c>
      <c r="B357" s="17" t="s">
        <v>1874</v>
      </c>
      <c r="C357" s="15" t="s" ph="1">
        <v>1996</v>
      </c>
      <c r="D357" s="15">
        <v>4000</v>
      </c>
      <c r="E357" s="15" ph="1">
        <v>0</v>
      </c>
      <c r="F357" s="15" t="s" ph="1">
        <v>1655</v>
      </c>
      <c r="G357" s="15" t="str">
        <f t="shared" si="43"/>
        <v>엄영춘 계약서</v>
      </c>
      <c r="H357" s="15">
        <v>5</v>
      </c>
      <c r="I357" s="15">
        <v>10</v>
      </c>
      <c r="J357" s="15">
        <f t="shared" si="44"/>
        <v>200498</v>
      </c>
      <c r="K357" s="15">
        <f t="shared" si="40"/>
        <v>30000</v>
      </c>
      <c r="L357">
        <f>SUMIF($B:$B,B357,$K:$K)/K357</f>
        <v>10144</v>
      </c>
      <c r="M357">
        <f>L357/SUMIF($B:$B,B357,$L:$L)</f>
        <v>2.0049723313818279E-2</v>
      </c>
      <c r="N357">
        <f t="shared" si="41"/>
        <v>200497</v>
      </c>
      <c r="O357">
        <f>10000000-SUMIF($B:$B,B357,$N:$N)</f>
        <v>91</v>
      </c>
      <c r="P357" s="19">
        <f>IF(COUNTIF($B$9:B357,B357)&lt;=O357,N357+1,N357)</f>
        <v>200498</v>
      </c>
      <c r="Q357" s="20">
        <f>SUMIF($B:$B,B357,$P:$P)</f>
        <v>10000000</v>
      </c>
      <c r="R357">
        <f t="shared" si="42"/>
        <v>601.49169941454841</v>
      </c>
    </row>
    <row r="358" spans="1:18" ht="23.25" x14ac:dyDescent="0.2">
      <c r="A358" s="15" ph="1">
        <v>21300010</v>
      </c>
      <c r="B358" s="17" t="s">
        <v>1874</v>
      </c>
      <c r="C358" s="15" t="s" ph="1">
        <v>1997</v>
      </c>
      <c r="D358" s="15">
        <v>1000000</v>
      </c>
      <c r="E358" s="15" ph="1">
        <v>0</v>
      </c>
      <c r="F358" s="15" t="s" ph="1">
        <v>1661</v>
      </c>
      <c r="G358" s="15" t="str">
        <f t="shared" si="43"/>
        <v>크리스토발 콜론 계약서</v>
      </c>
      <c r="H358" s="15">
        <v>5</v>
      </c>
      <c r="I358" s="15">
        <v>10</v>
      </c>
      <c r="J358" s="15">
        <f t="shared" si="44"/>
        <v>802</v>
      </c>
      <c r="K358" s="15">
        <f t="shared" si="40"/>
        <v>7500000</v>
      </c>
      <c r="L358">
        <f>SUMIF($B:$B,B358,$K:$K)/K358</f>
        <v>40.576000000000001</v>
      </c>
      <c r="M358">
        <f>L358/SUMIF($B:$B,B358,$L:$L)</f>
        <v>8.0198893255273114E-5</v>
      </c>
      <c r="N358">
        <f t="shared" si="41"/>
        <v>801</v>
      </c>
      <c r="O358">
        <f>10000000-SUMIF($B:$B,B358,$N:$N)</f>
        <v>91</v>
      </c>
      <c r="P358" s="19">
        <f>IF(COUNTIF($B$9:B358,B358)&lt;=O358,N358+1,N358)</f>
        <v>802</v>
      </c>
      <c r="Q358" s="20">
        <f>SUMIF($B:$B,B358,$P:$P)</f>
        <v>10000000</v>
      </c>
      <c r="R358">
        <f t="shared" si="42"/>
        <v>601.49169941454841</v>
      </c>
    </row>
    <row r="359" spans="1:18" ht="23.25" x14ac:dyDescent="0.2">
      <c r="A359" s="15" ph="1">
        <v>21300059</v>
      </c>
      <c r="B359" s="17" t="s">
        <v>1874</v>
      </c>
      <c r="C359" s="15" t="s" ph="1">
        <v>1998</v>
      </c>
      <c r="D359" s="15">
        <v>200000</v>
      </c>
      <c r="E359" s="15" ph="1">
        <v>0</v>
      </c>
      <c r="F359" s="15" t="s" ph="1">
        <v>1854</v>
      </c>
      <c r="G359" s="15" t="str">
        <f t="shared" si="43"/>
        <v>후안 폰세 데레온 계약서</v>
      </c>
      <c r="H359" s="15">
        <v>5</v>
      </c>
      <c r="I359" s="15">
        <v>10</v>
      </c>
      <c r="J359" s="15">
        <f t="shared" si="44"/>
        <v>4010</v>
      </c>
      <c r="K359" s="15">
        <f t="shared" si="40"/>
        <v>1500000</v>
      </c>
      <c r="L359">
        <f>SUMIF($B:$B,B359,$K:$K)/K359</f>
        <v>202.88</v>
      </c>
      <c r="M359">
        <f>L359/SUMIF($B:$B,B359,$L:$L)</f>
        <v>4.0099446627636556E-4</v>
      </c>
      <c r="N359">
        <f t="shared" si="41"/>
        <v>4009</v>
      </c>
      <c r="O359">
        <f>10000000-SUMIF($B:$B,B359,$N:$N)</f>
        <v>91</v>
      </c>
      <c r="P359" s="19">
        <f>IF(COUNTIF($B$9:B359,B359)&lt;=O359,N359+1,N359)</f>
        <v>4010</v>
      </c>
      <c r="Q359" s="20">
        <f>SUMIF($B:$B,B359,$P:$P)</f>
        <v>10000000</v>
      </c>
      <c r="R359">
        <f t="shared" si="42"/>
        <v>601.49169941454829</v>
      </c>
    </row>
    <row r="360" spans="1:18" ht="23.25" x14ac:dyDescent="0.2">
      <c r="A360" s="15" ph="1">
        <v>21300089</v>
      </c>
      <c r="B360" s="17" t="s">
        <v>1874</v>
      </c>
      <c r="C360" s="15" t="s" ph="1">
        <v>1999</v>
      </c>
      <c r="D360" s="15">
        <v>200000</v>
      </c>
      <c r="E360" s="15" ph="1">
        <v>0</v>
      </c>
      <c r="F360" s="15" t="s" ph="1">
        <v>1854</v>
      </c>
      <c r="G360" s="15" t="str">
        <f t="shared" si="43"/>
        <v>디에고 데아라나 계약서</v>
      </c>
      <c r="H360" s="15">
        <v>5</v>
      </c>
      <c r="I360" s="15">
        <v>10</v>
      </c>
      <c r="J360" s="15">
        <f t="shared" si="44"/>
        <v>4010</v>
      </c>
      <c r="K360" s="15">
        <f t="shared" si="40"/>
        <v>1500000</v>
      </c>
      <c r="L360">
        <f>SUMIF($B:$B,B360,$K:$K)/K360</f>
        <v>202.88</v>
      </c>
      <c r="M360">
        <f>L360/SUMIF($B:$B,B360,$L:$L)</f>
        <v>4.0099446627636556E-4</v>
      </c>
      <c r="N360">
        <f t="shared" si="41"/>
        <v>4009</v>
      </c>
      <c r="O360">
        <f>10000000-SUMIF($B:$B,B360,$N:$N)</f>
        <v>91</v>
      </c>
      <c r="P360" s="19">
        <f>IF(COUNTIF($B$9:B360,B360)&lt;=O360,N360+1,N360)</f>
        <v>4010</v>
      </c>
      <c r="Q360" s="20">
        <f>SUMIF($B:$B,B360,$P:$P)</f>
        <v>10000000</v>
      </c>
      <c r="R360">
        <f t="shared" si="42"/>
        <v>601.49169941454829</v>
      </c>
    </row>
    <row r="361" spans="1:18" ht="23.25" x14ac:dyDescent="0.2">
      <c r="A361" s="15" ph="1">
        <v>21300157</v>
      </c>
      <c r="B361" s="17" t="s">
        <v>1874</v>
      </c>
      <c r="C361" s="15" t="s" ph="1">
        <v>2000</v>
      </c>
      <c r="D361" s="15">
        <v>20000</v>
      </c>
      <c r="E361" s="15" ph="1">
        <v>0</v>
      </c>
      <c r="F361" s="15" t="s" ph="1">
        <v>1671</v>
      </c>
      <c r="G361" s="15" t="str">
        <f t="shared" si="43"/>
        <v>후안 데라 코사 계약서</v>
      </c>
      <c r="H361" s="15">
        <v>5</v>
      </c>
      <c r="I361" s="15">
        <v>10</v>
      </c>
      <c r="J361" s="15">
        <f t="shared" si="44"/>
        <v>40100</v>
      </c>
      <c r="K361" s="15">
        <f t="shared" si="40"/>
        <v>150000</v>
      </c>
      <c r="L361">
        <f>SUMIF($B:$B,B361,$K:$K)/K361</f>
        <v>2028.8</v>
      </c>
      <c r="M361">
        <f>L361/SUMIF($B:$B,B361,$L:$L)</f>
        <v>4.0099446627636553E-3</v>
      </c>
      <c r="N361">
        <f t="shared" si="41"/>
        <v>40099</v>
      </c>
      <c r="O361">
        <f>10000000-SUMIF($B:$B,B361,$N:$N)</f>
        <v>91</v>
      </c>
      <c r="P361" s="19">
        <f>IF(COUNTIF($B$9:B361,B361)&lt;=O361,N361+1,N361)</f>
        <v>40100</v>
      </c>
      <c r="Q361" s="20">
        <f>SUMIF($B:$B,B361,$P:$P)</f>
        <v>10000000</v>
      </c>
      <c r="R361">
        <f t="shared" si="42"/>
        <v>601.49169941454829</v>
      </c>
    </row>
    <row r="362" spans="1:18" ht="23.25" x14ac:dyDescent="0.2">
      <c r="A362" s="15" ph="1">
        <v>21300174</v>
      </c>
      <c r="B362" s="17" t="s">
        <v>1874</v>
      </c>
      <c r="C362" s="15" t="s" ph="1">
        <v>2001</v>
      </c>
      <c r="D362" s="15">
        <v>20000</v>
      </c>
      <c r="E362" s="15" ph="1">
        <v>0</v>
      </c>
      <c r="F362" s="15" t="s" ph="1">
        <v>1671</v>
      </c>
      <c r="G362" s="15" t="str">
        <f t="shared" si="43"/>
        <v>비센테 야녜스 핀손 계약서</v>
      </c>
      <c r="H362" s="15">
        <v>5</v>
      </c>
      <c r="I362" s="15">
        <v>10</v>
      </c>
      <c r="J362" s="15">
        <f t="shared" si="44"/>
        <v>40100</v>
      </c>
      <c r="K362" s="15">
        <f t="shared" si="40"/>
        <v>150000</v>
      </c>
      <c r="L362">
        <f>SUMIF($B:$B,B362,$K:$K)/K362</f>
        <v>2028.8</v>
      </c>
      <c r="M362">
        <f>L362/SUMIF($B:$B,B362,$L:$L)</f>
        <v>4.0099446627636553E-3</v>
      </c>
      <c r="N362">
        <f t="shared" si="41"/>
        <v>40099</v>
      </c>
      <c r="O362">
        <f>10000000-SUMIF($B:$B,B362,$N:$N)</f>
        <v>91</v>
      </c>
      <c r="P362" s="19">
        <f>IF(COUNTIF($B$9:B362,B362)&lt;=O362,N362+1,N362)</f>
        <v>40100</v>
      </c>
      <c r="Q362" s="20">
        <f>SUMIF($B:$B,B362,$P:$P)</f>
        <v>10000000</v>
      </c>
      <c r="R362">
        <f t="shared" si="42"/>
        <v>601.49169941454829</v>
      </c>
    </row>
    <row r="363" spans="1:18" ht="23.25" x14ac:dyDescent="0.2">
      <c r="A363" s="15" ph="1">
        <v>21300401</v>
      </c>
      <c r="B363" s="17" t="s">
        <v>1874</v>
      </c>
      <c r="C363" s="15" t="s" ph="1">
        <v>2002</v>
      </c>
      <c r="D363" s="15">
        <v>4000</v>
      </c>
      <c r="E363" s="15" ph="1">
        <v>0</v>
      </c>
      <c r="F363" s="15" t="s" ph="1">
        <v>1655</v>
      </c>
      <c r="G363" s="15" t="str">
        <f t="shared" si="43"/>
        <v>프란시스코 데보바디야 계약서</v>
      </c>
      <c r="H363" s="15">
        <v>5</v>
      </c>
      <c r="I363" s="15">
        <v>10</v>
      </c>
      <c r="J363" s="15">
        <f t="shared" si="44"/>
        <v>200498</v>
      </c>
      <c r="K363" s="15">
        <f t="shared" si="40"/>
        <v>30000</v>
      </c>
      <c r="L363">
        <f>SUMIF($B:$B,B363,$K:$K)/K363</f>
        <v>10144</v>
      </c>
      <c r="M363">
        <f>L363/SUMIF($B:$B,B363,$L:$L)</f>
        <v>2.0049723313818279E-2</v>
      </c>
      <c r="N363">
        <f t="shared" si="41"/>
        <v>200497</v>
      </c>
      <c r="O363">
        <f>10000000-SUMIF($B:$B,B363,$N:$N)</f>
        <v>91</v>
      </c>
      <c r="P363" s="19">
        <f>IF(COUNTIF($B$9:B363,B363)&lt;=O363,N363+1,N363)</f>
        <v>200498</v>
      </c>
      <c r="Q363" s="20">
        <f>SUMIF($B:$B,B363,$P:$P)</f>
        <v>10000000</v>
      </c>
      <c r="R363">
        <f t="shared" si="42"/>
        <v>601.49169941454841</v>
      </c>
    </row>
    <row r="364" spans="1:18" ht="23.25" x14ac:dyDescent="0.2">
      <c r="A364" s="15" ph="1">
        <v>21300438</v>
      </c>
      <c r="B364" s="17" t="s">
        <v>1874</v>
      </c>
      <c r="C364" s="15" t="s" ph="1">
        <v>2003</v>
      </c>
      <c r="D364" s="15">
        <v>4000</v>
      </c>
      <c r="E364" s="15" ph="1">
        <v>0</v>
      </c>
      <c r="F364" s="15" t="s" ph="1">
        <v>1655</v>
      </c>
      <c r="G364" s="15" t="str">
        <f t="shared" si="43"/>
        <v>디에고 알바레스 창카 계약서</v>
      </c>
      <c r="H364" s="15">
        <v>5</v>
      </c>
      <c r="I364" s="15">
        <v>10</v>
      </c>
      <c r="J364" s="15">
        <f t="shared" si="44"/>
        <v>200498</v>
      </c>
      <c r="K364" s="15">
        <f t="shared" si="40"/>
        <v>30000</v>
      </c>
      <c r="L364">
        <f>SUMIF($B:$B,B364,$K:$K)/K364</f>
        <v>10144</v>
      </c>
      <c r="M364">
        <f>L364/SUMIF($B:$B,B364,$L:$L)</f>
        <v>2.0049723313818279E-2</v>
      </c>
      <c r="N364">
        <f t="shared" si="41"/>
        <v>200497</v>
      </c>
      <c r="O364">
        <f>10000000-SUMIF($B:$B,B364,$N:$N)</f>
        <v>91</v>
      </c>
      <c r="P364" s="19">
        <f>IF(COUNTIF($B$9:B364,B364)&lt;=O364,N364+1,N364)</f>
        <v>200498</v>
      </c>
      <c r="Q364" s="20">
        <f>SUMIF($B:$B,B364,$P:$P)</f>
        <v>10000000</v>
      </c>
      <c r="R364">
        <f t="shared" si="42"/>
        <v>601.49169941454841</v>
      </c>
    </row>
    <row r="365" spans="1:18" ht="23.25" x14ac:dyDescent="0.2">
      <c r="A365" s="15" ph="1">
        <v>21300434</v>
      </c>
      <c r="B365" s="17" t="s">
        <v>1874</v>
      </c>
      <c r="C365" s="15" t="s" ph="1">
        <v>2004</v>
      </c>
      <c r="D365" s="15">
        <v>4000</v>
      </c>
      <c r="E365" s="15" ph="1">
        <v>0</v>
      </c>
      <c r="F365" s="15" t="s" ph="1">
        <v>1655</v>
      </c>
      <c r="G365" s="15" t="str">
        <f t="shared" si="43"/>
        <v>루이스 데토레스 계약서</v>
      </c>
      <c r="H365" s="15">
        <v>5</v>
      </c>
      <c r="I365" s="15">
        <v>10</v>
      </c>
      <c r="J365" s="15">
        <f t="shared" si="44"/>
        <v>200498</v>
      </c>
      <c r="K365" s="15">
        <f t="shared" si="40"/>
        <v>30000</v>
      </c>
      <c r="L365">
        <f>SUMIF($B:$B,B365,$K:$K)/K365</f>
        <v>10144</v>
      </c>
      <c r="M365">
        <f>L365/SUMIF($B:$B,B365,$L:$L)</f>
        <v>2.0049723313818279E-2</v>
      </c>
      <c r="N365">
        <f t="shared" si="41"/>
        <v>200497</v>
      </c>
      <c r="O365">
        <f>10000000-SUMIF($B:$B,B365,$N:$N)</f>
        <v>91</v>
      </c>
      <c r="P365" s="19">
        <f>IF(COUNTIF($B$9:B365,B365)&lt;=O365,N365+1,N365)</f>
        <v>200498</v>
      </c>
      <c r="Q365" s="20">
        <f>SUMIF($B:$B,B365,$P:$P)</f>
        <v>10000000</v>
      </c>
      <c r="R365">
        <f t="shared" si="42"/>
        <v>601.49169941454841</v>
      </c>
    </row>
    <row r="366" spans="1:18" ht="23.25" x14ac:dyDescent="0.2">
      <c r="A366" s="15" ph="1">
        <v>21300025</v>
      </c>
      <c r="B366" s="17" t="s">
        <v>1874</v>
      </c>
      <c r="C366" s="15" t="s" ph="1">
        <v>2005</v>
      </c>
      <c r="D366" s="15">
        <v>1000000</v>
      </c>
      <c r="E366" s="15" ph="1">
        <v>0</v>
      </c>
      <c r="F366" s="15" t="s" ph="1">
        <v>1661</v>
      </c>
      <c r="G366" s="15" t="str">
        <f t="shared" si="43"/>
        <v>호레이쇼 넬슨 계약서</v>
      </c>
      <c r="H366" s="15">
        <v>5</v>
      </c>
      <c r="I366" s="15">
        <v>10</v>
      </c>
      <c r="J366" s="15">
        <f t="shared" si="44"/>
        <v>802</v>
      </c>
      <c r="K366" s="15">
        <f t="shared" si="40"/>
        <v>7500000</v>
      </c>
      <c r="L366">
        <f>SUMIF($B:$B,B366,$K:$K)/K366</f>
        <v>40.576000000000001</v>
      </c>
      <c r="M366">
        <f>L366/SUMIF($B:$B,B366,$L:$L)</f>
        <v>8.0198893255273114E-5</v>
      </c>
      <c r="N366">
        <f t="shared" si="41"/>
        <v>801</v>
      </c>
      <c r="O366">
        <f>10000000-SUMIF($B:$B,B366,$N:$N)</f>
        <v>91</v>
      </c>
      <c r="P366" s="19">
        <f>IF(COUNTIF($B$9:B366,B366)&lt;=O366,N366+1,N366)</f>
        <v>802</v>
      </c>
      <c r="Q366" s="20">
        <f>SUMIF($B:$B,B366,$P:$P)</f>
        <v>10000000</v>
      </c>
      <c r="R366">
        <f t="shared" si="42"/>
        <v>601.49169941454841</v>
      </c>
    </row>
    <row r="367" spans="1:18" ht="23.25" x14ac:dyDescent="0.2">
      <c r="A367" s="15" ph="1">
        <v>21300085</v>
      </c>
      <c r="B367" s="17" t="s">
        <v>1874</v>
      </c>
      <c r="C367" s="15" t="s" ph="1">
        <v>2006</v>
      </c>
      <c r="D367" s="15">
        <v>200000</v>
      </c>
      <c r="E367" s="15" ph="1">
        <v>0</v>
      </c>
      <c r="F367" s="15" t="s" ph="1">
        <v>1854</v>
      </c>
      <c r="G367" s="15" t="str">
        <f t="shared" si="43"/>
        <v>알브레히트 발렌슈타인 계약서</v>
      </c>
      <c r="H367" s="15">
        <v>5</v>
      </c>
      <c r="I367" s="15">
        <v>10</v>
      </c>
      <c r="J367" s="15">
        <f t="shared" si="44"/>
        <v>4010</v>
      </c>
      <c r="K367" s="15">
        <f t="shared" si="40"/>
        <v>1500000</v>
      </c>
      <c r="L367">
        <f>SUMIF($B:$B,B367,$K:$K)/K367</f>
        <v>202.88</v>
      </c>
      <c r="M367">
        <f>L367/SUMIF($B:$B,B367,$L:$L)</f>
        <v>4.0099446627636556E-4</v>
      </c>
      <c r="N367">
        <f t="shared" si="41"/>
        <v>4009</v>
      </c>
      <c r="O367">
        <f>10000000-SUMIF($B:$B,B367,$N:$N)</f>
        <v>91</v>
      </c>
      <c r="P367" s="19">
        <f>IF(COUNTIF($B$9:B367,B367)&lt;=O367,N367+1,N367)</f>
        <v>4010</v>
      </c>
      <c r="Q367" s="20">
        <f>SUMIF($B:$B,B367,$P:$P)</f>
        <v>10000000</v>
      </c>
      <c r="R367">
        <f t="shared" si="42"/>
        <v>601.49169941454829</v>
      </c>
    </row>
    <row r="368" spans="1:18" ht="23.25" x14ac:dyDescent="0.2">
      <c r="A368" s="15" ph="1">
        <v>21300068</v>
      </c>
      <c r="B368" s="17" t="s">
        <v>1874</v>
      </c>
      <c r="C368" s="15" t="s" ph="1">
        <v>2007</v>
      </c>
      <c r="D368" s="15">
        <v>1000000</v>
      </c>
      <c r="E368" s="15" ph="1">
        <v>0</v>
      </c>
      <c r="F368" s="15" t="s" ph="1">
        <v>1661</v>
      </c>
      <c r="G368" s="15" t="str">
        <f t="shared" si="43"/>
        <v>돈 후안 데아우스트리아 계약서</v>
      </c>
      <c r="H368" s="15">
        <v>5</v>
      </c>
      <c r="I368" s="15">
        <v>10</v>
      </c>
      <c r="J368" s="15">
        <f t="shared" si="44"/>
        <v>802</v>
      </c>
      <c r="K368" s="15">
        <f t="shared" si="40"/>
        <v>7500000</v>
      </c>
      <c r="L368">
        <f>SUMIF($B:$B,B368,$K:$K)/K368</f>
        <v>40.576000000000001</v>
      </c>
      <c r="M368">
        <f>L368/SUMIF($B:$B,B368,$L:$L)</f>
        <v>8.0198893255273114E-5</v>
      </c>
      <c r="N368">
        <f t="shared" si="41"/>
        <v>801</v>
      </c>
      <c r="O368">
        <f>10000000-SUMIF($B:$B,B368,$N:$N)</f>
        <v>91</v>
      </c>
      <c r="P368" s="19">
        <f>IF(COUNTIF($B$9:B368,B368)&lt;=O368,N368+1,N368)</f>
        <v>802</v>
      </c>
      <c r="Q368" s="20">
        <f>SUMIF($B:$B,B368,$P:$P)</f>
        <v>10000000</v>
      </c>
      <c r="R368">
        <f t="shared" si="42"/>
        <v>601.49169941454841</v>
      </c>
    </row>
    <row r="369" spans="1:18" ht="23.25" x14ac:dyDescent="0.2">
      <c r="A369" s="15" ph="1">
        <v>21300261</v>
      </c>
      <c r="B369" s="17" t="s">
        <v>1874</v>
      </c>
      <c r="C369" s="15" t="s" ph="1">
        <v>2008</v>
      </c>
      <c r="D369" s="15">
        <v>20000</v>
      </c>
      <c r="E369" s="15" ph="1">
        <v>0</v>
      </c>
      <c r="F369" s="15" t="s" ph="1">
        <v>1671</v>
      </c>
      <c r="G369" s="15" t="str">
        <f t="shared" si="43"/>
        <v>조반니 안드레아 도리아 계약서</v>
      </c>
      <c r="H369" s="15">
        <v>5</v>
      </c>
      <c r="I369" s="15">
        <v>10</v>
      </c>
      <c r="J369" s="15">
        <f t="shared" si="44"/>
        <v>40100</v>
      </c>
      <c r="K369" s="15">
        <f t="shared" si="40"/>
        <v>150000</v>
      </c>
      <c r="L369">
        <f>SUMIF($B:$B,B369,$K:$K)/K369</f>
        <v>2028.8</v>
      </c>
      <c r="M369">
        <f>L369/SUMIF($B:$B,B369,$L:$L)</f>
        <v>4.0099446627636553E-3</v>
      </c>
      <c r="N369">
        <f t="shared" si="41"/>
        <v>40099</v>
      </c>
      <c r="O369">
        <f>10000000-SUMIF($B:$B,B369,$N:$N)</f>
        <v>91</v>
      </c>
      <c r="P369" s="19">
        <f>IF(COUNTIF($B$9:B369,B369)&lt;=O369,N369+1,N369)</f>
        <v>40100</v>
      </c>
      <c r="Q369" s="20">
        <f>SUMIF($B:$B,B369,$P:$P)</f>
        <v>10000000</v>
      </c>
      <c r="R369">
        <f t="shared" si="42"/>
        <v>601.49169941454829</v>
      </c>
    </row>
    <row r="370" spans="1:18" ht="23.25" x14ac:dyDescent="0.2">
      <c r="A370" s="15" ph="1">
        <v>21300253</v>
      </c>
      <c r="B370" s="17" t="s">
        <v>1874</v>
      </c>
      <c r="C370" s="15" t="s" ph="1">
        <v>2009</v>
      </c>
      <c r="D370" s="15">
        <v>20000</v>
      </c>
      <c r="E370" s="15" ph="1">
        <v>0</v>
      </c>
      <c r="F370" s="15" t="s" ph="1">
        <v>1671</v>
      </c>
      <c r="G370" s="15" t="str">
        <f t="shared" si="43"/>
        <v>하산 파샤 계약서</v>
      </c>
      <c r="H370" s="15">
        <v>5</v>
      </c>
      <c r="I370" s="15">
        <v>10</v>
      </c>
      <c r="J370" s="15">
        <f t="shared" si="44"/>
        <v>40099</v>
      </c>
      <c r="K370" s="15">
        <f t="shared" si="40"/>
        <v>150000</v>
      </c>
      <c r="L370">
        <f>SUMIF($B:$B,B370,$K:$K)/K370</f>
        <v>2028.8</v>
      </c>
      <c r="M370">
        <f>L370/SUMIF($B:$B,B370,$L:$L)</f>
        <v>4.0099446627636553E-3</v>
      </c>
      <c r="N370">
        <f t="shared" si="41"/>
        <v>40099</v>
      </c>
      <c r="O370">
        <f>10000000-SUMIF($B:$B,B370,$N:$N)</f>
        <v>91</v>
      </c>
      <c r="P370" s="19">
        <f>IF(COUNTIF($B$9:B370,B370)&lt;=O370,N370+1,N370)</f>
        <v>40099</v>
      </c>
      <c r="Q370" s="20">
        <f>SUMIF($B:$B,B370,$P:$P)</f>
        <v>10000000</v>
      </c>
      <c r="R370">
        <f t="shared" si="42"/>
        <v>601.49169941454829</v>
      </c>
    </row>
    <row r="371" spans="1:18" ht="23.25" x14ac:dyDescent="0.2">
      <c r="A371" s="15" ph="1">
        <v>21300171</v>
      </c>
      <c r="B371" s="17" t="s">
        <v>1874</v>
      </c>
      <c r="C371" s="15" t="s" ph="1">
        <v>2010</v>
      </c>
      <c r="D371" s="15">
        <v>20000</v>
      </c>
      <c r="E371" s="15" ph="1">
        <v>0</v>
      </c>
      <c r="F371" s="15" t="s" ph="1">
        <v>1671</v>
      </c>
      <c r="G371" s="15" t="str">
        <f t="shared" si="43"/>
        <v>울루치 알리 계약서</v>
      </c>
      <c r="H371" s="15">
        <v>5</v>
      </c>
      <c r="I371" s="15">
        <v>10</v>
      </c>
      <c r="J371" s="15">
        <f t="shared" si="44"/>
        <v>40099</v>
      </c>
      <c r="K371" s="15">
        <f t="shared" si="40"/>
        <v>150000</v>
      </c>
      <c r="L371">
        <f>SUMIF($B:$B,B371,$K:$K)/K371</f>
        <v>2028.8</v>
      </c>
      <c r="M371">
        <f>L371/SUMIF($B:$B,B371,$L:$L)</f>
        <v>4.0099446627636553E-3</v>
      </c>
      <c r="N371">
        <f t="shared" si="41"/>
        <v>40099</v>
      </c>
      <c r="O371">
        <f>10000000-SUMIF($B:$B,B371,$N:$N)</f>
        <v>91</v>
      </c>
      <c r="P371" s="19">
        <f>IF(COUNTIF($B$9:B371,B371)&lt;=O371,N371+1,N371)</f>
        <v>40099</v>
      </c>
      <c r="Q371" s="20">
        <f>SUMIF($B:$B,B371,$P:$P)</f>
        <v>10000000</v>
      </c>
      <c r="R371">
        <f t="shared" si="42"/>
        <v>601.49169941454829</v>
      </c>
    </row>
    <row r="372" spans="1:18" ht="23.25" x14ac:dyDescent="0.2">
      <c r="A372" s="15" ph="1">
        <v>21300256</v>
      </c>
      <c r="B372" s="17" t="s">
        <v>1874</v>
      </c>
      <c r="C372" s="15" t="s" ph="1">
        <v>2011</v>
      </c>
      <c r="D372" s="15">
        <v>20000</v>
      </c>
      <c r="E372" s="15" ph="1">
        <v>0</v>
      </c>
      <c r="F372" s="15" t="s" ph="1">
        <v>1671</v>
      </c>
      <c r="G372" s="15" t="str">
        <f t="shared" si="43"/>
        <v>살리흐 레이스 계약서</v>
      </c>
      <c r="H372" s="15">
        <v>5</v>
      </c>
      <c r="I372" s="15">
        <v>10</v>
      </c>
      <c r="J372" s="15">
        <f t="shared" si="44"/>
        <v>40099</v>
      </c>
      <c r="K372" s="15">
        <f t="shared" si="40"/>
        <v>150000</v>
      </c>
      <c r="L372">
        <f>SUMIF($B:$B,B372,$K:$K)/K372</f>
        <v>2028.8</v>
      </c>
      <c r="M372">
        <f>L372/SUMIF($B:$B,B372,$L:$L)</f>
        <v>4.0099446627636553E-3</v>
      </c>
      <c r="N372">
        <f t="shared" si="41"/>
        <v>40099</v>
      </c>
      <c r="O372">
        <f>10000000-SUMIF($B:$B,B372,$N:$N)</f>
        <v>91</v>
      </c>
      <c r="P372" s="19">
        <f>IF(COUNTIF($B$9:B372,B372)&lt;=O372,N372+1,N372)</f>
        <v>40099</v>
      </c>
      <c r="Q372" s="20">
        <f>SUMIF($B:$B,B372,$P:$P)</f>
        <v>10000000</v>
      </c>
      <c r="R372">
        <f t="shared" si="42"/>
        <v>601.49169941454829</v>
      </c>
    </row>
    <row r="373" spans="1:18" ht="23.25" x14ac:dyDescent="0.2">
      <c r="A373" s="15" ph="1">
        <v>21300455</v>
      </c>
      <c r="B373" s="17" t="s">
        <v>1874</v>
      </c>
      <c r="C373" s="15" t="s" ph="1">
        <v>2012</v>
      </c>
      <c r="D373" s="15">
        <v>4000</v>
      </c>
      <c r="E373" s="15" ph="1">
        <v>0</v>
      </c>
      <c r="F373" s="15" t="s" ph="1">
        <v>1655</v>
      </c>
      <c r="G373" s="15" t="str">
        <f t="shared" si="43"/>
        <v>세이디 알리 레이스 계약서</v>
      </c>
      <c r="H373" s="15">
        <v>5</v>
      </c>
      <c r="I373" s="15">
        <v>10</v>
      </c>
      <c r="J373" s="15">
        <f t="shared" si="44"/>
        <v>200497</v>
      </c>
      <c r="K373" s="15">
        <f t="shared" si="40"/>
        <v>30000</v>
      </c>
      <c r="L373">
        <f>SUMIF($B:$B,B373,$K:$K)/K373</f>
        <v>10144</v>
      </c>
      <c r="M373">
        <f>L373/SUMIF($B:$B,B373,$L:$L)</f>
        <v>2.0049723313818279E-2</v>
      </c>
      <c r="N373">
        <f t="shared" si="41"/>
        <v>200497</v>
      </c>
      <c r="O373">
        <f>10000000-SUMIF($B:$B,B373,$N:$N)</f>
        <v>91</v>
      </c>
      <c r="P373" s="19">
        <f>IF(COUNTIF($B$9:B373,B373)&lt;=O373,N373+1,N373)</f>
        <v>200497</v>
      </c>
      <c r="Q373" s="20">
        <f>SUMIF($B:$B,B373,$P:$P)</f>
        <v>10000000</v>
      </c>
      <c r="R373">
        <f t="shared" si="42"/>
        <v>601.49169941454841</v>
      </c>
    </row>
    <row r="374" spans="1:18" ht="23.25" x14ac:dyDescent="0.2">
      <c r="A374" s="15" ph="1">
        <v>21300016</v>
      </c>
      <c r="B374" s="17" t="s">
        <v>1874</v>
      </c>
      <c r="C374" s="15" t="s" ph="1">
        <v>2013</v>
      </c>
      <c r="D374" s="15">
        <v>1000000</v>
      </c>
      <c r="E374" s="15" ph="1">
        <v>0</v>
      </c>
      <c r="F374" s="15" t="s" ph="1">
        <v>1661</v>
      </c>
      <c r="G374" s="15" t="str">
        <f t="shared" si="43"/>
        <v>레오나르도 다빈치 계약서</v>
      </c>
      <c r="H374" s="15">
        <v>5</v>
      </c>
      <c r="I374" s="15">
        <v>10</v>
      </c>
      <c r="J374" s="15">
        <f t="shared" si="44"/>
        <v>801</v>
      </c>
      <c r="K374" s="15">
        <f t="shared" si="40"/>
        <v>7500000</v>
      </c>
      <c r="L374">
        <f>SUMIF($B:$B,B374,$K:$K)/K374</f>
        <v>40.576000000000001</v>
      </c>
      <c r="M374">
        <f>L374/SUMIF($B:$B,B374,$L:$L)</f>
        <v>8.0198893255273114E-5</v>
      </c>
      <c r="N374">
        <f t="shared" si="41"/>
        <v>801</v>
      </c>
      <c r="O374">
        <f>10000000-SUMIF($B:$B,B374,$N:$N)</f>
        <v>91</v>
      </c>
      <c r="P374" s="19">
        <f>IF(COUNTIF($B$9:B374,B374)&lt;=O374,N374+1,N374)</f>
        <v>801</v>
      </c>
      <c r="Q374" s="20">
        <f>SUMIF($B:$B,B374,$P:$P)</f>
        <v>10000000</v>
      </c>
      <c r="R374">
        <f t="shared" si="42"/>
        <v>601.49169941454841</v>
      </c>
    </row>
    <row r="375" spans="1:18" ht="23.25" x14ac:dyDescent="0.2">
      <c r="A375" s="15" ph="1">
        <v>21300092</v>
      </c>
      <c r="B375" s="17" t="s">
        <v>1874</v>
      </c>
      <c r="C375" s="15" t="s" ph="1">
        <v>2014</v>
      </c>
      <c r="D375" s="15">
        <v>200000</v>
      </c>
      <c r="E375" s="15" ph="1">
        <v>0</v>
      </c>
      <c r="F375" s="15" t="s" ph="1">
        <v>1854</v>
      </c>
      <c r="G375" s="15" t="str">
        <f t="shared" si="43"/>
        <v>후아나 이녜스 계약서</v>
      </c>
      <c r="H375" s="15">
        <v>5</v>
      </c>
      <c r="I375" s="15">
        <v>10</v>
      </c>
      <c r="J375" s="15">
        <f t="shared" si="44"/>
        <v>4009</v>
      </c>
      <c r="K375" s="15">
        <f t="shared" si="40"/>
        <v>1500000</v>
      </c>
      <c r="L375">
        <f>SUMIF($B:$B,B375,$K:$K)/K375</f>
        <v>202.88</v>
      </c>
      <c r="M375">
        <f>L375/SUMIF($B:$B,B375,$L:$L)</f>
        <v>4.0099446627636556E-4</v>
      </c>
      <c r="N375">
        <f t="shared" si="41"/>
        <v>4009</v>
      </c>
      <c r="O375">
        <f>10000000-SUMIF($B:$B,B375,$N:$N)</f>
        <v>91</v>
      </c>
      <c r="P375" s="19">
        <f>IF(COUNTIF($B$9:B375,B375)&lt;=O375,N375+1,N375)</f>
        <v>4009</v>
      </c>
      <c r="Q375" s="20">
        <f>SUMIF($B:$B,B375,$P:$P)</f>
        <v>10000000</v>
      </c>
      <c r="R375">
        <f t="shared" si="42"/>
        <v>601.49169941454829</v>
      </c>
    </row>
    <row r="376" spans="1:18" ht="23.25" x14ac:dyDescent="0.2">
      <c r="A376" s="15" ph="1">
        <v>21300080</v>
      </c>
      <c r="B376" s="17" t="s">
        <v>1874</v>
      </c>
      <c r="C376" s="15" t="s" ph="1">
        <v>2015</v>
      </c>
      <c r="D376" s="15">
        <v>200000</v>
      </c>
      <c r="E376" s="15" ph="1">
        <v>0</v>
      </c>
      <c r="F376" s="15" t="s" ph="1">
        <v>1854</v>
      </c>
      <c r="G376" s="15" t="str">
        <f t="shared" si="43"/>
        <v>루프마티 계약서</v>
      </c>
      <c r="H376" s="15">
        <v>5</v>
      </c>
      <c r="I376" s="15">
        <v>10</v>
      </c>
      <c r="J376" s="15">
        <f t="shared" si="44"/>
        <v>4009</v>
      </c>
      <c r="K376" s="15">
        <f t="shared" si="40"/>
        <v>1500000</v>
      </c>
      <c r="L376">
        <f>SUMIF($B:$B,B376,$K:$K)/K376</f>
        <v>202.88</v>
      </c>
      <c r="M376">
        <f>L376/SUMIF($B:$B,B376,$L:$L)</f>
        <v>4.0099446627636556E-4</v>
      </c>
      <c r="N376">
        <f t="shared" si="41"/>
        <v>4009</v>
      </c>
      <c r="O376">
        <f>10000000-SUMIF($B:$B,B376,$N:$N)</f>
        <v>91</v>
      </c>
      <c r="P376" s="19">
        <f>IF(COUNTIF($B$9:B376,B376)&lt;=O376,N376+1,N376)</f>
        <v>4009</v>
      </c>
      <c r="Q376" s="20">
        <f>SUMIF($B:$B,B376,$P:$P)</f>
        <v>10000000</v>
      </c>
      <c r="R376">
        <f t="shared" si="42"/>
        <v>601.49169941454829</v>
      </c>
    </row>
    <row r="377" spans="1:18" ht="23.25" x14ac:dyDescent="0.2">
      <c r="A377" s="15" ph="1">
        <v>21300213</v>
      </c>
      <c r="B377" s="17" t="s">
        <v>1874</v>
      </c>
      <c r="C377" s="15" t="s" ph="1">
        <v>2016</v>
      </c>
      <c r="D377" s="15">
        <v>20000</v>
      </c>
      <c r="E377" s="15" ph="1">
        <v>0</v>
      </c>
      <c r="F377" s="15" t="s" ph="1">
        <v>1671</v>
      </c>
      <c r="G377" s="15" t="str">
        <f t="shared" si="43"/>
        <v>조르조 바사리 계약서</v>
      </c>
      <c r="H377" s="15">
        <v>5</v>
      </c>
      <c r="I377" s="15">
        <v>10</v>
      </c>
      <c r="J377" s="15">
        <f t="shared" si="44"/>
        <v>40099</v>
      </c>
      <c r="K377" s="15">
        <f t="shared" si="40"/>
        <v>150000</v>
      </c>
      <c r="L377">
        <f>SUMIF($B:$B,B377,$K:$K)/K377</f>
        <v>2028.8</v>
      </c>
      <c r="M377">
        <f>L377/SUMIF($B:$B,B377,$L:$L)</f>
        <v>4.0099446627636553E-3</v>
      </c>
      <c r="N377">
        <f t="shared" si="41"/>
        <v>40099</v>
      </c>
      <c r="O377">
        <f>10000000-SUMIF($B:$B,B377,$N:$N)</f>
        <v>91</v>
      </c>
      <c r="P377" s="19">
        <f>IF(COUNTIF($B$9:B377,B377)&lt;=O377,N377+1,N377)</f>
        <v>40099</v>
      </c>
      <c r="Q377" s="20">
        <f>SUMIF($B:$B,B377,$P:$P)</f>
        <v>10000000</v>
      </c>
      <c r="R377">
        <f t="shared" si="42"/>
        <v>601.49169941454829</v>
      </c>
    </row>
    <row r="378" spans="1:18" ht="23.25" x14ac:dyDescent="0.2">
      <c r="A378" s="15" ph="1">
        <v>21300197</v>
      </c>
      <c r="B378" s="17" t="s">
        <v>1874</v>
      </c>
      <c r="C378" s="15" t="s" ph="1">
        <v>2017</v>
      </c>
      <c r="D378" s="15">
        <v>20000</v>
      </c>
      <c r="E378" s="15" ph="1">
        <v>0</v>
      </c>
      <c r="F378" s="15" t="s" ph="1">
        <v>1671</v>
      </c>
      <c r="G378" s="15" t="str">
        <f t="shared" si="43"/>
        <v>미켈란젤로 부오나로티 계약서</v>
      </c>
      <c r="H378" s="15">
        <v>5</v>
      </c>
      <c r="I378" s="15">
        <v>10</v>
      </c>
      <c r="J378" s="15">
        <f t="shared" si="44"/>
        <v>40099</v>
      </c>
      <c r="K378" s="15">
        <f t="shared" si="40"/>
        <v>150000</v>
      </c>
      <c r="L378">
        <f>SUMIF($B:$B,B378,$K:$K)/K378</f>
        <v>2028.8</v>
      </c>
      <c r="M378">
        <f>L378/SUMIF($B:$B,B378,$L:$L)</f>
        <v>4.0099446627636553E-3</v>
      </c>
      <c r="N378">
        <f t="shared" si="41"/>
        <v>40099</v>
      </c>
      <c r="O378">
        <f>10000000-SUMIF($B:$B,B378,$N:$N)</f>
        <v>91</v>
      </c>
      <c r="P378" s="19">
        <f>IF(COUNTIF($B$9:B378,B378)&lt;=O378,N378+1,N378)</f>
        <v>40099</v>
      </c>
      <c r="Q378" s="20">
        <f>SUMIF($B:$B,B378,$P:$P)</f>
        <v>10000000</v>
      </c>
      <c r="R378">
        <f t="shared" si="42"/>
        <v>601.49169941454829</v>
      </c>
    </row>
    <row r="379" spans="1:18" ht="23.25" x14ac:dyDescent="0.2">
      <c r="A379" s="15" ph="1">
        <v>21300498</v>
      </c>
      <c r="B379" s="17" t="s">
        <v>1874</v>
      </c>
      <c r="C379" s="15" t="s" ph="1">
        <v>2018</v>
      </c>
      <c r="D379" s="15">
        <v>4000</v>
      </c>
      <c r="E379" s="15" ph="1">
        <v>0</v>
      </c>
      <c r="F379" s="15" t="s" ph="1">
        <v>1655</v>
      </c>
      <c r="G379" s="15" t="str">
        <f t="shared" si="43"/>
        <v>소포니스바 앙귀솔라 계약서</v>
      </c>
      <c r="H379" s="15">
        <v>5</v>
      </c>
      <c r="I379" s="15">
        <v>10</v>
      </c>
      <c r="J379" s="15">
        <f t="shared" si="44"/>
        <v>200497</v>
      </c>
      <c r="K379" s="15">
        <f t="shared" si="40"/>
        <v>30000</v>
      </c>
      <c r="L379">
        <f>SUMIF($B:$B,B379,$K:$K)/K379</f>
        <v>10144</v>
      </c>
      <c r="M379">
        <f>L379/SUMIF($B:$B,B379,$L:$L)</f>
        <v>2.0049723313818279E-2</v>
      </c>
      <c r="N379">
        <f t="shared" si="41"/>
        <v>200497</v>
      </c>
      <c r="O379">
        <f>10000000-SUMIF($B:$B,B379,$N:$N)</f>
        <v>91</v>
      </c>
      <c r="P379" s="19">
        <f>IF(COUNTIF($B$9:B379,B379)&lt;=O379,N379+1,N379)</f>
        <v>200497</v>
      </c>
      <c r="Q379" s="20">
        <f>SUMIF($B:$B,B379,$P:$P)</f>
        <v>10000000</v>
      </c>
      <c r="R379">
        <f t="shared" si="42"/>
        <v>601.49169941454841</v>
      </c>
    </row>
    <row r="380" spans="1:18" ht="23.25" x14ac:dyDescent="0.2">
      <c r="A380" s="15" ph="1">
        <v>21300492</v>
      </c>
      <c r="B380" s="17" t="s">
        <v>1874</v>
      </c>
      <c r="C380" s="15" t="s" ph="1">
        <v>2019</v>
      </c>
      <c r="D380" s="15">
        <v>4000</v>
      </c>
      <c r="E380" s="15" ph="1">
        <v>0</v>
      </c>
      <c r="F380" s="15" t="s" ph="1">
        <v>1655</v>
      </c>
      <c r="G380" s="15" t="str">
        <f t="shared" si="43"/>
        <v>툴리아 다라고나 계약서</v>
      </c>
      <c r="H380" s="15">
        <v>5</v>
      </c>
      <c r="I380" s="15">
        <v>10</v>
      </c>
      <c r="J380" s="15">
        <f t="shared" si="44"/>
        <v>200497</v>
      </c>
      <c r="K380" s="15">
        <f t="shared" si="40"/>
        <v>30000</v>
      </c>
      <c r="L380">
        <f>SUMIF($B:$B,B380,$K:$K)/K380</f>
        <v>10144</v>
      </c>
      <c r="M380">
        <f>L380/SUMIF($B:$B,B380,$L:$L)</f>
        <v>2.0049723313818279E-2</v>
      </c>
      <c r="N380">
        <f t="shared" si="41"/>
        <v>200497</v>
      </c>
      <c r="O380">
        <f>10000000-SUMIF($B:$B,B380,$N:$N)</f>
        <v>91</v>
      </c>
      <c r="P380" s="19">
        <f>IF(COUNTIF($B$9:B380,B380)&lt;=O380,N380+1,N380)</f>
        <v>200497</v>
      </c>
      <c r="Q380" s="20">
        <f>SUMIF($B:$B,B380,$P:$P)</f>
        <v>10000000</v>
      </c>
      <c r="R380">
        <f t="shared" si="42"/>
        <v>601.49169941454841</v>
      </c>
    </row>
    <row r="381" spans="1:18" ht="23.25" x14ac:dyDescent="0.2">
      <c r="A381" s="15" ph="1">
        <v>21300314</v>
      </c>
      <c r="B381" s="17" t="s">
        <v>1874</v>
      </c>
      <c r="C381" s="15" t="s" ph="1">
        <v>2020</v>
      </c>
      <c r="D381" s="15">
        <v>4000</v>
      </c>
      <c r="E381" s="15" ph="1">
        <v>0</v>
      </c>
      <c r="F381" s="15" t="s" ph="1">
        <v>1655</v>
      </c>
      <c r="G381" s="15" t="str">
        <f t="shared" si="43"/>
        <v>아나 루머르스 피스허르 계약서</v>
      </c>
      <c r="H381" s="15">
        <v>5</v>
      </c>
      <c r="I381" s="15">
        <v>10</v>
      </c>
      <c r="J381" s="15">
        <f t="shared" si="44"/>
        <v>200497</v>
      </c>
      <c r="K381" s="15">
        <f t="shared" si="40"/>
        <v>30000</v>
      </c>
      <c r="L381">
        <f>SUMIF($B:$B,B381,$K:$K)/K381</f>
        <v>10144</v>
      </c>
      <c r="M381">
        <f>L381/SUMIF($B:$B,B381,$L:$L)</f>
        <v>2.0049723313818279E-2</v>
      </c>
      <c r="N381">
        <f t="shared" si="41"/>
        <v>200497</v>
      </c>
      <c r="O381">
        <f>10000000-SUMIF($B:$B,B381,$N:$N)</f>
        <v>91</v>
      </c>
      <c r="P381" s="19">
        <f>IF(COUNTIF($B$9:B381,B381)&lt;=O381,N381+1,N381)</f>
        <v>200497</v>
      </c>
      <c r="Q381" s="20">
        <f>SUMIF($B:$B,B381,$P:$P)</f>
        <v>10000000</v>
      </c>
      <c r="R381">
        <f t="shared" si="42"/>
        <v>601.49169941454841</v>
      </c>
    </row>
    <row r="382" spans="1:18" ht="23.25" x14ac:dyDescent="0.2">
      <c r="A382" s="15" ph="1">
        <v>21300017</v>
      </c>
      <c r="B382" s="17" t="s">
        <v>1874</v>
      </c>
      <c r="C382" s="15" t="s" ph="1">
        <v>2021</v>
      </c>
      <c r="D382" s="15">
        <v>1000000</v>
      </c>
      <c r="E382" s="15" ph="1">
        <v>0</v>
      </c>
      <c r="F382" s="15" t="s" ph="1">
        <v>1661</v>
      </c>
      <c r="G382" s="15" t="str">
        <f t="shared" si="43"/>
        <v>우르지 바르바로사 계약서</v>
      </c>
      <c r="H382" s="15">
        <v>5</v>
      </c>
      <c r="I382" s="15">
        <v>10</v>
      </c>
      <c r="J382" s="15">
        <f t="shared" si="44"/>
        <v>801</v>
      </c>
      <c r="K382" s="15">
        <f t="shared" si="40"/>
        <v>7500000</v>
      </c>
      <c r="L382">
        <f>SUMIF($B:$B,B382,$K:$K)/K382</f>
        <v>40.576000000000001</v>
      </c>
      <c r="M382">
        <f>L382/SUMIF($B:$B,B382,$L:$L)</f>
        <v>8.0198893255273114E-5</v>
      </c>
      <c r="N382">
        <f t="shared" si="41"/>
        <v>801</v>
      </c>
      <c r="O382">
        <f>10000000-SUMIF($B:$B,B382,$N:$N)</f>
        <v>91</v>
      </c>
      <c r="P382" s="19">
        <f>IF(COUNTIF($B$9:B382,B382)&lt;=O382,N382+1,N382)</f>
        <v>801</v>
      </c>
      <c r="Q382" s="20">
        <f>SUMIF($B:$B,B382,$P:$P)</f>
        <v>10000000</v>
      </c>
      <c r="R382">
        <f t="shared" si="42"/>
        <v>601.49169941454841</v>
      </c>
    </row>
    <row r="383" spans="1:18" ht="23.25" x14ac:dyDescent="0.2">
      <c r="A383" s="15" ph="1">
        <v>21300083</v>
      </c>
      <c r="B383" s="17" t="s">
        <v>1874</v>
      </c>
      <c r="C383" s="15" t="s" ph="1">
        <v>2022</v>
      </c>
      <c r="D383" s="15">
        <v>200000</v>
      </c>
      <c r="E383" s="15" ph="1">
        <v>0</v>
      </c>
      <c r="F383" s="15" t="s" ph="1">
        <v>1854</v>
      </c>
      <c r="G383" s="15" t="str">
        <f t="shared" si="43"/>
        <v>아흐메트 케말레딘 계약서</v>
      </c>
      <c r="H383" s="15">
        <v>5</v>
      </c>
      <c r="I383" s="15">
        <v>10</v>
      </c>
      <c r="J383" s="15">
        <f t="shared" si="44"/>
        <v>4009</v>
      </c>
      <c r="K383" s="15">
        <f t="shared" si="40"/>
        <v>1500000</v>
      </c>
      <c r="L383">
        <f>SUMIF($B:$B,B383,$K:$K)/K383</f>
        <v>202.88</v>
      </c>
      <c r="M383">
        <f>L383/SUMIF($B:$B,B383,$L:$L)</f>
        <v>4.0099446627636556E-4</v>
      </c>
      <c r="N383">
        <f t="shared" si="41"/>
        <v>4009</v>
      </c>
      <c r="O383">
        <f>10000000-SUMIF($B:$B,B383,$N:$N)</f>
        <v>91</v>
      </c>
      <c r="P383" s="19">
        <f>IF(COUNTIF($B$9:B383,B383)&lt;=O383,N383+1,N383)</f>
        <v>4009</v>
      </c>
      <c r="Q383" s="20">
        <f>SUMIF($B:$B,B383,$P:$P)</f>
        <v>10000000</v>
      </c>
      <c r="R383">
        <f t="shared" si="42"/>
        <v>601.49169941454829</v>
      </c>
    </row>
    <row r="384" spans="1:18" ht="23.25" x14ac:dyDescent="0.2">
      <c r="A384" s="15" ph="1">
        <v>21300066</v>
      </c>
      <c r="B384" s="17" t="s">
        <v>1874</v>
      </c>
      <c r="C384" s="15" t="s" ph="1">
        <v>2023</v>
      </c>
      <c r="D384" s="15">
        <v>200000</v>
      </c>
      <c r="E384" s="15" ph="1">
        <v>0</v>
      </c>
      <c r="F384" s="15" t="s" ph="1">
        <v>1854</v>
      </c>
      <c r="G384" s="15" t="str">
        <f t="shared" si="43"/>
        <v>존 호킨스 계약서</v>
      </c>
      <c r="H384" s="15">
        <v>5</v>
      </c>
      <c r="I384" s="15">
        <v>10</v>
      </c>
      <c r="J384" s="15">
        <f t="shared" si="44"/>
        <v>4009</v>
      </c>
      <c r="K384" s="15">
        <f t="shared" si="40"/>
        <v>1500000</v>
      </c>
      <c r="L384">
        <f>SUMIF($B:$B,B384,$K:$K)/K384</f>
        <v>202.88</v>
      </c>
      <c r="M384">
        <f>L384/SUMIF($B:$B,B384,$L:$L)</f>
        <v>4.0099446627636556E-4</v>
      </c>
      <c r="N384">
        <f t="shared" si="41"/>
        <v>4009</v>
      </c>
      <c r="O384">
        <f>10000000-SUMIF($B:$B,B384,$N:$N)</f>
        <v>91</v>
      </c>
      <c r="P384" s="19">
        <f>IF(COUNTIF($B$9:B384,B384)&lt;=O384,N384+1,N384)</f>
        <v>4009</v>
      </c>
      <c r="Q384" s="20">
        <f>SUMIF($B:$B,B384,$P:$P)</f>
        <v>10000000</v>
      </c>
      <c r="R384">
        <f t="shared" si="42"/>
        <v>601.49169941454829</v>
      </c>
    </row>
    <row r="385" spans="1:18" ht="23.25" x14ac:dyDescent="0.2">
      <c r="A385" s="15" ph="1">
        <v>21300150</v>
      </c>
      <c r="B385" s="17" t="s">
        <v>1874</v>
      </c>
      <c r="C385" s="15" t="s" ph="1">
        <v>2024</v>
      </c>
      <c r="D385" s="15">
        <v>20000</v>
      </c>
      <c r="E385" s="15" ph="1">
        <v>0</v>
      </c>
      <c r="F385" s="15" t="s" ph="1">
        <v>1671</v>
      </c>
      <c r="G385" s="15" t="str">
        <f t="shared" si="43"/>
        <v>케빈 피셔 계약서</v>
      </c>
      <c r="H385" s="15">
        <v>5</v>
      </c>
      <c r="I385" s="15">
        <v>10</v>
      </c>
      <c r="J385" s="15">
        <f t="shared" si="44"/>
        <v>40099</v>
      </c>
      <c r="K385" s="15">
        <f t="shared" si="40"/>
        <v>150000</v>
      </c>
      <c r="L385">
        <f>SUMIF($B:$B,B385,$K:$K)/K385</f>
        <v>2028.8</v>
      </c>
      <c r="M385">
        <f>L385/SUMIF($B:$B,B385,$L:$L)</f>
        <v>4.0099446627636553E-3</v>
      </c>
      <c r="N385">
        <f t="shared" si="41"/>
        <v>40099</v>
      </c>
      <c r="O385">
        <f>10000000-SUMIF($B:$B,B385,$N:$N)</f>
        <v>91</v>
      </c>
      <c r="P385" s="19">
        <f>IF(COUNTIF($B$9:B385,B385)&lt;=O385,N385+1,N385)</f>
        <v>40099</v>
      </c>
      <c r="Q385" s="20">
        <f>SUMIF($B:$B,B385,$P:$P)</f>
        <v>10000000</v>
      </c>
      <c r="R385">
        <f t="shared" si="42"/>
        <v>601.49169941454829</v>
      </c>
    </row>
    <row r="386" spans="1:18" ht="23.25" x14ac:dyDescent="0.2">
      <c r="A386" s="15" ph="1">
        <v>21300140</v>
      </c>
      <c r="B386" s="17" t="s">
        <v>1874</v>
      </c>
      <c r="C386" s="15" t="s" ph="1">
        <v>2025</v>
      </c>
      <c r="D386" s="15">
        <v>20000</v>
      </c>
      <c r="E386" s="15" ph="1">
        <v>0</v>
      </c>
      <c r="F386" s="15" t="s" ph="1">
        <v>1671</v>
      </c>
      <c r="G386" s="15" t="str">
        <f t="shared" si="43"/>
        <v>안토니오 칸 계약서</v>
      </c>
      <c r="H386" s="15">
        <v>5</v>
      </c>
      <c r="I386" s="15">
        <v>10</v>
      </c>
      <c r="J386" s="15">
        <f t="shared" si="44"/>
        <v>40099</v>
      </c>
      <c r="K386" s="15">
        <f t="shared" si="40"/>
        <v>150000</v>
      </c>
      <c r="L386">
        <f>SUMIF($B:$B,B386,$K:$K)/K386</f>
        <v>2028.8</v>
      </c>
      <c r="M386">
        <f>L386/SUMIF($B:$B,B386,$L:$L)</f>
        <v>4.0099446627636553E-3</v>
      </c>
      <c r="N386">
        <f t="shared" si="41"/>
        <v>40099</v>
      </c>
      <c r="O386">
        <f>10000000-SUMIF($B:$B,B386,$N:$N)</f>
        <v>91</v>
      </c>
      <c r="P386" s="19">
        <f>IF(COUNTIF($B$9:B386,B386)&lt;=O386,N386+1,N386)</f>
        <v>40099</v>
      </c>
      <c r="Q386" s="20">
        <f>SUMIF($B:$B,B386,$P:$P)</f>
        <v>10000000</v>
      </c>
      <c r="R386">
        <f t="shared" si="42"/>
        <v>601.49169941454829</v>
      </c>
    </row>
    <row r="387" spans="1:18" ht="23.25" x14ac:dyDescent="0.2">
      <c r="A387" s="15" ph="1">
        <v>21300166</v>
      </c>
      <c r="B387" s="17" t="s">
        <v>1874</v>
      </c>
      <c r="C387" s="15" t="s" ph="1">
        <v>2026</v>
      </c>
      <c r="D387" s="15">
        <v>20000</v>
      </c>
      <c r="E387" s="15" ph="1">
        <v>0</v>
      </c>
      <c r="F387" s="15" t="s" ph="1">
        <v>1671</v>
      </c>
      <c r="G387" s="15" t="str">
        <f t="shared" si="43"/>
        <v>로버트 로우 계약서</v>
      </c>
      <c r="H387" s="15">
        <v>5</v>
      </c>
      <c r="I387" s="15">
        <v>10</v>
      </c>
      <c r="J387" s="15">
        <f t="shared" si="44"/>
        <v>40099</v>
      </c>
      <c r="K387" s="15">
        <f t="shared" si="40"/>
        <v>150000</v>
      </c>
      <c r="L387">
        <f>SUMIF($B:$B,B387,$K:$K)/K387</f>
        <v>2028.8</v>
      </c>
      <c r="M387">
        <f>L387/SUMIF($B:$B,B387,$L:$L)</f>
        <v>4.0099446627636553E-3</v>
      </c>
      <c r="N387">
        <f t="shared" si="41"/>
        <v>40099</v>
      </c>
      <c r="O387">
        <f>10000000-SUMIF($B:$B,B387,$N:$N)</f>
        <v>91</v>
      </c>
      <c r="P387" s="19">
        <f>IF(COUNTIF($B$9:B387,B387)&lt;=O387,N387+1,N387)</f>
        <v>40099</v>
      </c>
      <c r="Q387" s="20">
        <f>SUMIF($B:$B,B387,$P:$P)</f>
        <v>10000000</v>
      </c>
      <c r="R387">
        <f t="shared" si="42"/>
        <v>601.49169941454829</v>
      </c>
    </row>
    <row r="388" spans="1:18" ht="23.25" x14ac:dyDescent="0.2">
      <c r="A388" s="15" ph="1">
        <v>21300342</v>
      </c>
      <c r="B388" s="17" t="s">
        <v>1874</v>
      </c>
      <c r="C388" s="15" t="s" ph="1">
        <v>2027</v>
      </c>
      <c r="D388" s="15">
        <v>4000</v>
      </c>
      <c r="E388" s="15" ph="1">
        <v>0</v>
      </c>
      <c r="F388" s="15" t="s" ph="1">
        <v>1655</v>
      </c>
      <c r="G388" s="15" t="str">
        <f t="shared" si="43"/>
        <v>헨리 만스펠 계약서</v>
      </c>
      <c r="H388" s="15">
        <v>5</v>
      </c>
      <c r="I388" s="15">
        <v>10</v>
      </c>
      <c r="J388" s="15">
        <f t="shared" si="44"/>
        <v>200497</v>
      </c>
      <c r="K388" s="15">
        <f t="shared" si="40"/>
        <v>30000</v>
      </c>
      <c r="L388">
        <f>SUMIF($B:$B,B388,$K:$K)/K388</f>
        <v>10144</v>
      </c>
      <c r="M388">
        <f>L388/SUMIF($B:$B,B388,$L:$L)</f>
        <v>2.0049723313818279E-2</v>
      </c>
      <c r="N388">
        <f t="shared" si="41"/>
        <v>200497</v>
      </c>
      <c r="O388">
        <f>10000000-SUMIF($B:$B,B388,$N:$N)</f>
        <v>91</v>
      </c>
      <c r="P388" s="19">
        <f>IF(COUNTIF($B$9:B388,B388)&lt;=O388,N388+1,N388)</f>
        <v>200497</v>
      </c>
      <c r="Q388" s="20">
        <f>SUMIF($B:$B,B388,$P:$P)</f>
        <v>10000000</v>
      </c>
      <c r="R388">
        <f t="shared" si="42"/>
        <v>601.49169941454841</v>
      </c>
    </row>
    <row r="389" spans="1:18" ht="23.25" x14ac:dyDescent="0.2">
      <c r="A389" s="15" ph="1">
        <v>21300325</v>
      </c>
      <c r="B389" s="17" t="s">
        <v>1874</v>
      </c>
      <c r="C389" s="15" t="s" ph="1">
        <v>2028</v>
      </c>
      <c r="D389" s="15">
        <v>4000</v>
      </c>
      <c r="E389" s="15" ph="1">
        <v>0</v>
      </c>
      <c r="F389" s="15" t="s" ph="1">
        <v>1655</v>
      </c>
      <c r="G389" s="15" t="str">
        <f t="shared" si="43"/>
        <v>안토니오 핀데아도 계약서</v>
      </c>
      <c r="H389" s="15">
        <v>5</v>
      </c>
      <c r="I389" s="15">
        <v>10</v>
      </c>
      <c r="J389" s="15">
        <f t="shared" si="44"/>
        <v>200497</v>
      </c>
      <c r="K389" s="15">
        <f t="shared" si="40"/>
        <v>30000</v>
      </c>
      <c r="L389">
        <f>SUMIF($B:$B,B389,$K:$K)/K389</f>
        <v>10144</v>
      </c>
      <c r="M389">
        <f>L389/SUMIF($B:$B,B389,$L:$L)</f>
        <v>2.0049723313818279E-2</v>
      </c>
      <c r="N389">
        <f t="shared" si="41"/>
        <v>200497</v>
      </c>
      <c r="O389">
        <f>10000000-SUMIF($B:$B,B389,$N:$N)</f>
        <v>91</v>
      </c>
      <c r="P389" s="19">
        <f>IF(COUNTIF($B$9:B389,B389)&lt;=O389,N389+1,N389)</f>
        <v>200497</v>
      </c>
      <c r="Q389" s="20">
        <f>SUMIF($B:$B,B389,$P:$P)</f>
        <v>10000000</v>
      </c>
      <c r="R389">
        <f t="shared" si="42"/>
        <v>601.49169941454841</v>
      </c>
    </row>
    <row r="390" spans="1:18" ht="23.25" x14ac:dyDescent="0.2">
      <c r="A390" s="15" ph="1">
        <v>21300031</v>
      </c>
      <c r="B390" s="17" t="s">
        <v>1874</v>
      </c>
      <c r="C390" s="15" t="s" ph="1">
        <v>2029</v>
      </c>
      <c r="D390" s="15">
        <v>1000000</v>
      </c>
      <c r="E390" s="15" ph="1">
        <v>0</v>
      </c>
      <c r="F390" s="15" t="s" ph="1">
        <v>1661</v>
      </c>
      <c r="G390" s="15" t="str">
        <f t="shared" si="43"/>
        <v>황진 계약서</v>
      </c>
      <c r="H390" s="15">
        <v>5</v>
      </c>
      <c r="I390" s="15">
        <v>10</v>
      </c>
      <c r="J390" s="15">
        <f t="shared" si="44"/>
        <v>801</v>
      </c>
      <c r="K390" s="15">
        <f t="shared" si="40"/>
        <v>7500000</v>
      </c>
      <c r="L390">
        <f>SUMIF($B:$B,B390,$K:$K)/K390</f>
        <v>40.576000000000001</v>
      </c>
      <c r="M390">
        <f>L390/SUMIF($B:$B,B390,$L:$L)</f>
        <v>8.0198893255273114E-5</v>
      </c>
      <c r="N390">
        <f t="shared" si="41"/>
        <v>801</v>
      </c>
      <c r="O390">
        <f>10000000-SUMIF($B:$B,B390,$N:$N)</f>
        <v>91</v>
      </c>
      <c r="P390" s="19">
        <f>IF(COUNTIF($B$9:B390,B390)&lt;=O390,N390+1,N390)</f>
        <v>801</v>
      </c>
      <c r="Q390" s="20">
        <f>SUMIF($B:$B,B390,$P:$P)</f>
        <v>10000000</v>
      </c>
      <c r="R390">
        <f t="shared" si="42"/>
        <v>601.49169941454841</v>
      </c>
    </row>
    <row r="391" spans="1:18" ht="23.25" x14ac:dyDescent="0.2">
      <c r="A391" s="15" ph="1">
        <v>21300094</v>
      </c>
      <c r="B391" s="17" t="s">
        <v>1874</v>
      </c>
      <c r="C391" s="15" t="s" ph="1">
        <v>2030</v>
      </c>
      <c r="D391" s="15">
        <v>200000</v>
      </c>
      <c r="E391" s="15" ph="1">
        <v>0</v>
      </c>
      <c r="F391" s="15" t="s" ph="1">
        <v>1854</v>
      </c>
      <c r="G391" s="15" t="str">
        <f t="shared" si="43"/>
        <v>최무선 계약서</v>
      </c>
      <c r="H391" s="15">
        <v>5</v>
      </c>
      <c r="I391" s="15">
        <v>10</v>
      </c>
      <c r="J391" s="15">
        <f t="shared" si="44"/>
        <v>4009</v>
      </c>
      <c r="K391" s="15">
        <f t="shared" si="40"/>
        <v>1500000</v>
      </c>
      <c r="L391">
        <f>SUMIF($B:$B,B391,$K:$K)/K391</f>
        <v>202.88</v>
      </c>
      <c r="M391">
        <f>L391/SUMIF($B:$B,B391,$L:$L)</f>
        <v>4.0099446627636556E-4</v>
      </c>
      <c r="N391">
        <f t="shared" si="41"/>
        <v>4009</v>
      </c>
      <c r="O391">
        <f>10000000-SUMIF($B:$B,B391,$N:$N)</f>
        <v>91</v>
      </c>
      <c r="P391" s="19">
        <f>IF(COUNTIF($B$9:B391,B391)&lt;=O391,N391+1,N391)</f>
        <v>4009</v>
      </c>
      <c r="Q391" s="20">
        <f>SUMIF($B:$B,B391,$P:$P)</f>
        <v>10000000</v>
      </c>
      <c r="R391">
        <f t="shared" si="42"/>
        <v>601.49169941454829</v>
      </c>
    </row>
    <row r="392" spans="1:18" ht="23.25" x14ac:dyDescent="0.2">
      <c r="A392" s="15" ph="1">
        <v>21300278</v>
      </c>
      <c r="B392" s="17" t="s">
        <v>1874</v>
      </c>
      <c r="C392" s="15" t="s" ph="1">
        <v>2031</v>
      </c>
      <c r="D392" s="15">
        <v>20000</v>
      </c>
      <c r="E392" s="15" ph="1">
        <v>0</v>
      </c>
      <c r="F392" s="15" t="s" ph="1">
        <v>1671</v>
      </c>
      <c r="G392" s="15" t="str">
        <f t="shared" si="43"/>
        <v>노국공주 계약서</v>
      </c>
      <c r="H392" s="15">
        <v>5</v>
      </c>
      <c r="I392" s="15">
        <v>10</v>
      </c>
      <c r="J392" s="15">
        <f t="shared" si="44"/>
        <v>40099</v>
      </c>
      <c r="K392" s="15">
        <f t="shared" si="40"/>
        <v>150000</v>
      </c>
      <c r="L392">
        <f>SUMIF($B:$B,B392,$K:$K)/K392</f>
        <v>2028.8</v>
      </c>
      <c r="M392">
        <f>L392/SUMIF($B:$B,B392,$L:$L)</f>
        <v>4.0099446627636553E-3</v>
      </c>
      <c r="N392">
        <f t="shared" si="41"/>
        <v>40099</v>
      </c>
      <c r="O392">
        <f>10000000-SUMIF($B:$B,B392,$N:$N)</f>
        <v>91</v>
      </c>
      <c r="P392" s="19">
        <f>IF(COUNTIF($B$9:B392,B392)&lt;=O392,N392+1,N392)</f>
        <v>40099</v>
      </c>
      <c r="Q392" s="20">
        <f>SUMIF($B:$B,B392,$P:$P)</f>
        <v>10000000</v>
      </c>
      <c r="R392">
        <f t="shared" si="42"/>
        <v>601.49169941454829</v>
      </c>
    </row>
    <row r="393" spans="1:18" ht="23.25" x14ac:dyDescent="0.2">
      <c r="A393" s="15" ph="1">
        <v>21300225</v>
      </c>
      <c r="B393" s="17" t="s">
        <v>1874</v>
      </c>
      <c r="C393" s="15" t="s" ph="1">
        <v>2032</v>
      </c>
      <c r="D393" s="15">
        <v>20000</v>
      </c>
      <c r="E393" s="15" ph="1">
        <v>0</v>
      </c>
      <c r="F393" s="15" t="s" ph="1">
        <v>1671</v>
      </c>
      <c r="G393" s="15" t="str">
        <f t="shared" si="43"/>
        <v>문익점 계약서</v>
      </c>
      <c r="H393" s="15">
        <v>5</v>
      </c>
      <c r="I393" s="15">
        <v>10</v>
      </c>
      <c r="J393" s="15">
        <f t="shared" si="44"/>
        <v>40099</v>
      </c>
      <c r="K393" s="15">
        <f t="shared" si="40"/>
        <v>150000</v>
      </c>
      <c r="L393">
        <f>SUMIF($B:$B,B393,$K:$K)/K393</f>
        <v>2028.8</v>
      </c>
      <c r="M393">
        <f>L393/SUMIF($B:$B,B393,$L:$L)</f>
        <v>4.0099446627636553E-3</v>
      </c>
      <c r="N393">
        <f t="shared" si="41"/>
        <v>40099</v>
      </c>
      <c r="O393">
        <f>10000000-SUMIF($B:$B,B393,$N:$N)</f>
        <v>91</v>
      </c>
      <c r="P393" s="19">
        <f>IF(COUNTIF($B$9:B393,B393)&lt;=O393,N393+1,N393)</f>
        <v>40099</v>
      </c>
      <c r="Q393" s="20">
        <f>SUMIF($B:$B,B393,$P:$P)</f>
        <v>10000000</v>
      </c>
      <c r="R393">
        <f t="shared" si="42"/>
        <v>601.49169941454829</v>
      </c>
    </row>
    <row r="394" spans="1:18" ht="23.25" x14ac:dyDescent="0.2">
      <c r="A394" s="15" ph="1">
        <v>21300233</v>
      </c>
      <c r="B394" s="17" t="s">
        <v>1874</v>
      </c>
      <c r="C394" s="15" t="s" ph="1">
        <v>2033</v>
      </c>
      <c r="D394" s="15">
        <v>20000</v>
      </c>
      <c r="E394" s="15" ph="1">
        <v>0</v>
      </c>
      <c r="F394" s="15" t="s" ph="1">
        <v>1671</v>
      </c>
      <c r="G394" s="15" t="str">
        <f t="shared" si="43"/>
        <v>권근 계약서</v>
      </c>
      <c r="H394" s="15">
        <v>5</v>
      </c>
      <c r="I394" s="15">
        <v>10</v>
      </c>
      <c r="J394" s="15">
        <f t="shared" si="44"/>
        <v>40099</v>
      </c>
      <c r="K394" s="15">
        <f t="shared" si="40"/>
        <v>150000</v>
      </c>
      <c r="L394">
        <f>SUMIF($B:$B,B394,$K:$K)/K394</f>
        <v>2028.8</v>
      </c>
      <c r="M394">
        <f>L394/SUMIF($B:$B,B394,$L:$L)</f>
        <v>4.0099446627636553E-3</v>
      </c>
      <c r="N394">
        <f t="shared" si="41"/>
        <v>40099</v>
      </c>
      <c r="O394">
        <f>10000000-SUMIF($B:$B,B394,$N:$N)</f>
        <v>91</v>
      </c>
      <c r="P394" s="19">
        <f>IF(COUNTIF($B$9:B394,B394)&lt;=O394,N394+1,N394)</f>
        <v>40099</v>
      </c>
      <c r="Q394" s="20">
        <f>SUMIF($B:$B,B394,$P:$P)</f>
        <v>10000000</v>
      </c>
      <c r="R394">
        <f t="shared" si="42"/>
        <v>601.49169941454829</v>
      </c>
    </row>
    <row r="395" spans="1:18" ht="23.25" x14ac:dyDescent="0.2">
      <c r="A395" s="15" ph="1">
        <v>21300476</v>
      </c>
      <c r="B395" s="17" t="s">
        <v>1874</v>
      </c>
      <c r="C395" s="15" t="s" ph="1">
        <v>2034</v>
      </c>
      <c r="D395" s="15">
        <v>4000</v>
      </c>
      <c r="E395" s="15" ph="1">
        <v>0</v>
      </c>
      <c r="F395" s="15" t="s" ph="1">
        <v>1655</v>
      </c>
      <c r="G395" s="15" t="str">
        <f t="shared" si="43"/>
        <v>이종무 계약서</v>
      </c>
      <c r="H395" s="15">
        <v>5</v>
      </c>
      <c r="I395" s="15">
        <v>10</v>
      </c>
      <c r="J395" s="15">
        <f t="shared" si="44"/>
        <v>200497</v>
      </c>
      <c r="K395" s="15">
        <f t="shared" si="40"/>
        <v>30000</v>
      </c>
      <c r="L395">
        <f>SUMIF($B:$B,B395,$K:$K)/K395</f>
        <v>10144</v>
      </c>
      <c r="M395">
        <f>L395/SUMIF($B:$B,B395,$L:$L)</f>
        <v>2.0049723313818279E-2</v>
      </c>
      <c r="N395">
        <f t="shared" si="41"/>
        <v>200497</v>
      </c>
      <c r="O395">
        <f>10000000-SUMIF($B:$B,B395,$N:$N)</f>
        <v>91</v>
      </c>
      <c r="P395" s="19">
        <f>IF(COUNTIF($B$9:B395,B395)&lt;=O395,N395+1,N395)</f>
        <v>200497</v>
      </c>
      <c r="Q395" s="20">
        <f>SUMIF($B:$B,B395,$P:$P)</f>
        <v>10000000</v>
      </c>
      <c r="R395">
        <f t="shared" si="42"/>
        <v>601.49169941454841</v>
      </c>
    </row>
    <row r="396" spans="1:18" ht="23.25" x14ac:dyDescent="0.2">
      <c r="A396" s="15" ph="1">
        <v>21300274</v>
      </c>
      <c r="B396" s="17" t="s">
        <v>1874</v>
      </c>
      <c r="C396" s="15" t="s" ph="1">
        <v>2035</v>
      </c>
      <c r="D396" s="15">
        <v>20000</v>
      </c>
      <c r="E396" s="15" ph="1">
        <v>0</v>
      </c>
      <c r="F396" s="15" t="s" ph="1">
        <v>1671</v>
      </c>
      <c r="G396" s="15" t="str">
        <f t="shared" si="43"/>
        <v>이몽룡 계약서</v>
      </c>
      <c r="H396" s="15">
        <v>5</v>
      </c>
      <c r="I396" s="15">
        <v>10</v>
      </c>
      <c r="J396" s="15">
        <f t="shared" si="44"/>
        <v>40099</v>
      </c>
      <c r="K396" s="15">
        <f t="shared" si="40"/>
        <v>150000</v>
      </c>
      <c r="L396">
        <f>SUMIF($B:$B,B396,$K:$K)/K396</f>
        <v>2028.8</v>
      </c>
      <c r="M396">
        <f>L396/SUMIF($B:$B,B396,$L:$L)</f>
        <v>4.0099446627636553E-3</v>
      </c>
      <c r="N396">
        <f t="shared" si="41"/>
        <v>40099</v>
      </c>
      <c r="O396">
        <f>10000000-SUMIF($B:$B,B396,$N:$N)</f>
        <v>91</v>
      </c>
      <c r="P396" s="19">
        <f>IF(COUNTIF($B$9:B396,B396)&lt;=O396,N396+1,N396)</f>
        <v>40099</v>
      </c>
      <c r="Q396" s="20">
        <f>SUMIF($B:$B,B396,$P:$P)</f>
        <v>10000000</v>
      </c>
      <c r="R396">
        <f t="shared" si="42"/>
        <v>601.49169941454829</v>
      </c>
    </row>
    <row r="397" spans="1:18" ht="23.25" x14ac:dyDescent="0.2">
      <c r="A397" s="15" ph="1">
        <v>21300475</v>
      </c>
      <c r="B397" s="17" t="s">
        <v>1874</v>
      </c>
      <c r="C397" s="15" t="s" ph="1">
        <v>2036</v>
      </c>
      <c r="D397" s="15">
        <v>4000</v>
      </c>
      <c r="E397" s="15" ph="1">
        <v>0</v>
      </c>
      <c r="F397" s="15" t="s" ph="1">
        <v>1655</v>
      </c>
      <c r="G397" s="15" t="str">
        <f t="shared" si="43"/>
        <v>성춘향 계약서</v>
      </c>
      <c r="H397" s="15">
        <v>5</v>
      </c>
      <c r="I397" s="15">
        <v>10</v>
      </c>
      <c r="J397" s="15">
        <f t="shared" si="44"/>
        <v>200497</v>
      </c>
      <c r="K397" s="15">
        <f t="shared" si="40"/>
        <v>30000</v>
      </c>
      <c r="L397">
        <f>SUMIF($B:$B,B397,$K:$K)/K397</f>
        <v>10144</v>
      </c>
      <c r="M397">
        <f>L397/SUMIF($B:$B,B397,$L:$L)</f>
        <v>2.0049723313818279E-2</v>
      </c>
      <c r="N397">
        <f t="shared" si="41"/>
        <v>200497</v>
      </c>
      <c r="O397">
        <f>10000000-SUMIF($B:$B,B397,$N:$N)</f>
        <v>91</v>
      </c>
      <c r="P397" s="19">
        <f>IF(COUNTIF($B$9:B397,B397)&lt;=O397,N397+1,N397)</f>
        <v>200497</v>
      </c>
      <c r="Q397" s="20">
        <f>SUMIF($B:$B,B397,$P:$P)</f>
        <v>10000000</v>
      </c>
      <c r="R397">
        <f t="shared" si="42"/>
        <v>601.49169941454841</v>
      </c>
    </row>
    <row r="398" spans="1:18" ht="23.25" x14ac:dyDescent="0.2">
      <c r="A398" s="15" ph="1">
        <v>21300023</v>
      </c>
      <c r="B398" s="17" t="s">
        <v>1874</v>
      </c>
      <c r="C398" s="15" t="s" ph="1">
        <v>2037</v>
      </c>
      <c r="D398" s="15">
        <v>1000000</v>
      </c>
      <c r="E398" s="15" ph="1">
        <v>0</v>
      </c>
      <c r="F398" s="15" t="s" ph="1">
        <v>1661</v>
      </c>
      <c r="G398" s="15" t="str">
        <f t="shared" si="43"/>
        <v>에드워드 티치 계약서</v>
      </c>
      <c r="H398" s="15">
        <v>5</v>
      </c>
      <c r="I398" s="15">
        <v>10</v>
      </c>
      <c r="J398" s="15">
        <f t="shared" si="44"/>
        <v>801</v>
      </c>
      <c r="K398" s="15">
        <f t="shared" si="40"/>
        <v>7500000</v>
      </c>
      <c r="L398">
        <f>SUMIF($B:$B,B398,$K:$K)/K398</f>
        <v>40.576000000000001</v>
      </c>
      <c r="M398">
        <f>L398/SUMIF($B:$B,B398,$L:$L)</f>
        <v>8.0198893255273114E-5</v>
      </c>
      <c r="N398">
        <f t="shared" si="41"/>
        <v>801</v>
      </c>
      <c r="O398">
        <f>10000000-SUMIF($B:$B,B398,$N:$N)</f>
        <v>91</v>
      </c>
      <c r="P398" s="19">
        <f>IF(COUNTIF($B$9:B398,B398)&lt;=O398,N398+1,N398)</f>
        <v>801</v>
      </c>
      <c r="Q398" s="20">
        <f>SUMIF($B:$B,B398,$P:$P)</f>
        <v>10000000</v>
      </c>
      <c r="R398">
        <f t="shared" si="42"/>
        <v>601.49169941454841</v>
      </c>
    </row>
    <row r="399" spans="1:18" ht="23.25" x14ac:dyDescent="0.2">
      <c r="A399" s="15" ph="1">
        <v>21300074</v>
      </c>
      <c r="B399" s="17" t="s">
        <v>1874</v>
      </c>
      <c r="C399" s="15" t="s" ph="1">
        <v>2038</v>
      </c>
      <c r="D399" s="15">
        <v>200000</v>
      </c>
      <c r="E399" s="15" ph="1">
        <v>0</v>
      </c>
      <c r="F399" s="15" t="s" ph="1">
        <v>1854</v>
      </c>
      <c r="G399" s="15" t="str">
        <f t="shared" si="43"/>
        <v>스티드 보닛 계약서</v>
      </c>
      <c r="H399" s="15">
        <v>5</v>
      </c>
      <c r="I399" s="15">
        <v>10</v>
      </c>
      <c r="J399" s="15">
        <f t="shared" si="44"/>
        <v>4009</v>
      </c>
      <c r="K399" s="15">
        <f t="shared" si="40"/>
        <v>1500000</v>
      </c>
      <c r="L399">
        <f>SUMIF($B:$B,B399,$K:$K)/K399</f>
        <v>202.88</v>
      </c>
      <c r="M399">
        <f>L399/SUMIF($B:$B,B399,$L:$L)</f>
        <v>4.0099446627636556E-4</v>
      </c>
      <c r="N399">
        <f t="shared" si="41"/>
        <v>4009</v>
      </c>
      <c r="O399">
        <f>10000000-SUMIF($B:$B,B399,$N:$N)</f>
        <v>91</v>
      </c>
      <c r="P399" s="19">
        <f>IF(COUNTIF($B$9:B399,B399)&lt;=O399,N399+1,N399)</f>
        <v>4009</v>
      </c>
      <c r="Q399" s="20">
        <f>SUMIF($B:$B,B399,$P:$P)</f>
        <v>10000000</v>
      </c>
      <c r="R399">
        <f t="shared" si="42"/>
        <v>601.49169941454829</v>
      </c>
    </row>
    <row r="400" spans="1:18" ht="23.25" x14ac:dyDescent="0.2">
      <c r="A400" s="15" ph="1">
        <v>21300047</v>
      </c>
      <c r="B400" s="17" t="s">
        <v>1874</v>
      </c>
      <c r="C400" s="15" t="s" ph="1">
        <v>2039</v>
      </c>
      <c r="D400" s="15">
        <v>200000</v>
      </c>
      <c r="E400" s="15" ph="1">
        <v>0</v>
      </c>
      <c r="F400" s="15" t="s" ph="1">
        <v>1854</v>
      </c>
      <c r="G400" s="15" t="str">
        <f t="shared" si="43"/>
        <v>샬롯 드베리 계약서</v>
      </c>
      <c r="H400" s="15">
        <v>5</v>
      </c>
      <c r="I400" s="15">
        <v>10</v>
      </c>
      <c r="J400" s="15">
        <f t="shared" si="44"/>
        <v>4009</v>
      </c>
      <c r="K400" s="15">
        <f t="shared" si="40"/>
        <v>1500000</v>
      </c>
      <c r="L400">
        <f>SUMIF($B:$B,B400,$K:$K)/K400</f>
        <v>202.88</v>
      </c>
      <c r="M400">
        <f>L400/SUMIF($B:$B,B400,$L:$L)</f>
        <v>4.0099446627636556E-4</v>
      </c>
      <c r="N400">
        <f t="shared" si="41"/>
        <v>4009</v>
      </c>
      <c r="O400">
        <f>10000000-SUMIF($B:$B,B400,$N:$N)</f>
        <v>91</v>
      </c>
      <c r="P400" s="19">
        <f>IF(COUNTIF($B$9:B400,B400)&lt;=O400,N400+1,N400)</f>
        <v>4009</v>
      </c>
      <c r="Q400" s="20">
        <f>SUMIF($B:$B,B400,$P:$P)</f>
        <v>10000000</v>
      </c>
      <c r="R400">
        <f t="shared" si="42"/>
        <v>601.49169941454829</v>
      </c>
    </row>
    <row r="401" spans="1:18" ht="23.25" x14ac:dyDescent="0.2">
      <c r="A401" s="15" ph="1">
        <v>21300182</v>
      </c>
      <c r="B401" s="17" t="s">
        <v>1874</v>
      </c>
      <c r="C401" s="15" t="s" ph="1">
        <v>2040</v>
      </c>
      <c r="D401" s="15">
        <v>20000</v>
      </c>
      <c r="E401" s="15" ph="1">
        <v>0</v>
      </c>
      <c r="F401" s="15" t="s" ph="1">
        <v>1671</v>
      </c>
      <c r="G401" s="15" t="str">
        <f t="shared" si="43"/>
        <v>리차드 월리 계약서</v>
      </c>
      <c r="H401" s="15">
        <v>5</v>
      </c>
      <c r="I401" s="15">
        <v>10</v>
      </c>
      <c r="J401" s="15">
        <f t="shared" si="44"/>
        <v>40099</v>
      </c>
      <c r="K401" s="15">
        <f t="shared" si="40"/>
        <v>150000</v>
      </c>
      <c r="L401">
        <f>SUMIF($B:$B,B401,$K:$K)/K401</f>
        <v>2028.8</v>
      </c>
      <c r="M401">
        <f>L401/SUMIF($B:$B,B401,$L:$L)</f>
        <v>4.0099446627636553E-3</v>
      </c>
      <c r="N401">
        <f t="shared" si="41"/>
        <v>40099</v>
      </c>
      <c r="O401">
        <f>10000000-SUMIF($B:$B,B401,$N:$N)</f>
        <v>91</v>
      </c>
      <c r="P401" s="19">
        <f>IF(COUNTIF($B$9:B401,B401)&lt;=O401,N401+1,N401)</f>
        <v>40099</v>
      </c>
      <c r="Q401" s="20">
        <f>SUMIF($B:$B,B401,$P:$P)</f>
        <v>10000000</v>
      </c>
      <c r="R401">
        <f t="shared" si="42"/>
        <v>601.49169941454829</v>
      </c>
    </row>
    <row r="402" spans="1:18" ht="23.25" x14ac:dyDescent="0.2">
      <c r="A402" s="15" ph="1">
        <v>21300265</v>
      </c>
      <c r="B402" s="17" t="s">
        <v>1874</v>
      </c>
      <c r="C402" s="15" t="s" ph="1">
        <v>2041</v>
      </c>
      <c r="D402" s="15">
        <v>20000</v>
      </c>
      <c r="E402" s="15" ph="1">
        <v>0</v>
      </c>
      <c r="F402" s="15" t="s" ph="1">
        <v>1671</v>
      </c>
      <c r="G402" s="15" t="str">
        <f t="shared" si="43"/>
        <v>에드워드 로우 계약서</v>
      </c>
      <c r="H402" s="15">
        <v>5</v>
      </c>
      <c r="I402" s="15">
        <v>10</v>
      </c>
      <c r="J402" s="15">
        <f t="shared" si="44"/>
        <v>40099</v>
      </c>
      <c r="K402" s="15">
        <f t="shared" si="40"/>
        <v>150000</v>
      </c>
      <c r="L402">
        <f>SUMIF($B:$B,B402,$K:$K)/K402</f>
        <v>2028.8</v>
      </c>
      <c r="M402">
        <f>L402/SUMIF($B:$B,B402,$L:$L)</f>
        <v>4.0099446627636553E-3</v>
      </c>
      <c r="N402">
        <f t="shared" si="41"/>
        <v>40099</v>
      </c>
      <c r="O402">
        <f>10000000-SUMIF($B:$B,B402,$N:$N)</f>
        <v>91</v>
      </c>
      <c r="P402" s="19">
        <f>IF(COUNTIF($B$9:B402,B402)&lt;=O402,N402+1,N402)</f>
        <v>40099</v>
      </c>
      <c r="Q402" s="20">
        <f>SUMIF($B:$B,B402,$P:$P)</f>
        <v>10000000</v>
      </c>
      <c r="R402">
        <f t="shared" si="42"/>
        <v>601.49169941454829</v>
      </c>
    </row>
    <row r="403" spans="1:18" ht="23.25" x14ac:dyDescent="0.2">
      <c r="A403" s="15" ph="1">
        <v>21300345</v>
      </c>
      <c r="B403" s="17" t="s">
        <v>1874</v>
      </c>
      <c r="C403" s="15" t="s" ph="1">
        <v>2042</v>
      </c>
      <c r="D403" s="15">
        <v>4000</v>
      </c>
      <c r="E403" s="15" ph="1">
        <v>0</v>
      </c>
      <c r="F403" s="15" t="s" ph="1">
        <v>1655</v>
      </c>
      <c r="G403" s="15" t="str">
        <f t="shared" si="43"/>
        <v>에드워드 댐피어 계약서</v>
      </c>
      <c r="H403" s="15">
        <v>5</v>
      </c>
      <c r="I403" s="15">
        <v>10</v>
      </c>
      <c r="J403" s="15">
        <f t="shared" si="44"/>
        <v>200497</v>
      </c>
      <c r="K403" s="15">
        <f t="shared" si="40"/>
        <v>30000</v>
      </c>
      <c r="L403">
        <f>SUMIF($B:$B,B403,$K:$K)/K403</f>
        <v>10144</v>
      </c>
      <c r="M403">
        <f>L403/SUMIF($B:$B,B403,$L:$L)</f>
        <v>2.0049723313818279E-2</v>
      </c>
      <c r="N403">
        <f t="shared" si="41"/>
        <v>200497</v>
      </c>
      <c r="O403">
        <f>10000000-SUMIF($B:$B,B403,$N:$N)</f>
        <v>91</v>
      </c>
      <c r="P403" s="19">
        <f>IF(COUNTIF($B$9:B403,B403)&lt;=O403,N403+1,N403)</f>
        <v>200497</v>
      </c>
      <c r="Q403" s="20">
        <f>SUMIF($B:$B,B403,$P:$P)</f>
        <v>10000000</v>
      </c>
      <c r="R403">
        <f t="shared" si="42"/>
        <v>601.49169941454841</v>
      </c>
    </row>
    <row r="404" spans="1:18" ht="23.25" x14ac:dyDescent="0.2">
      <c r="A404" s="15" ph="1">
        <v>21300346</v>
      </c>
      <c r="B404" s="17" t="s">
        <v>1874</v>
      </c>
      <c r="C404" s="15" t="s" ph="1">
        <v>2043</v>
      </c>
      <c r="D404" s="15">
        <v>4000</v>
      </c>
      <c r="E404" s="15" ph="1">
        <v>0</v>
      </c>
      <c r="F404" s="15" t="s" ph="1">
        <v>1655</v>
      </c>
      <c r="G404" s="15" t="str">
        <f t="shared" si="43"/>
        <v>야코프 발바커 계약서</v>
      </c>
      <c r="H404" s="15">
        <v>5</v>
      </c>
      <c r="I404" s="15">
        <v>10</v>
      </c>
      <c r="J404" s="15">
        <f t="shared" si="44"/>
        <v>200497</v>
      </c>
      <c r="K404" s="15">
        <f t="shared" ref="K404:K429" si="45">AVERAGE(H404:I404)*D404</f>
        <v>30000</v>
      </c>
      <c r="L404">
        <f>SUMIF($B:$B,B404,$K:$K)/K404</f>
        <v>10144</v>
      </c>
      <c r="M404">
        <f>L404/SUMIF($B:$B,B404,$L:$L)</f>
        <v>2.0049723313818279E-2</v>
      </c>
      <c r="N404">
        <f t="shared" ref="N404:N429" si="46">ROUNDDOWN(10000000*M404,0)</f>
        <v>200497</v>
      </c>
      <c r="O404">
        <f>10000000-SUMIF($B:$B,B404,$N:$N)</f>
        <v>91</v>
      </c>
      <c r="P404" s="19">
        <f>IF(COUNTIF($B$9:B404,B404)&lt;=O404,N404+1,N404)</f>
        <v>200497</v>
      </c>
      <c r="Q404" s="20">
        <f>SUMIF($B:$B,B404,$P:$P)</f>
        <v>10000000</v>
      </c>
      <c r="R404">
        <f t="shared" ref="R404:R429" si="47">M404*K404</f>
        <v>601.49169941454841</v>
      </c>
    </row>
    <row r="405" spans="1:18" ht="23.25" x14ac:dyDescent="0.2">
      <c r="A405" s="15" ph="1">
        <v>21300375</v>
      </c>
      <c r="B405" s="17" t="s">
        <v>1874</v>
      </c>
      <c r="C405" s="15" t="s" ph="1">
        <v>2044</v>
      </c>
      <c r="D405" s="15">
        <v>4000</v>
      </c>
      <c r="E405" s="15" ph="1">
        <v>0</v>
      </c>
      <c r="F405" s="15" t="s" ph="1">
        <v>1655</v>
      </c>
      <c r="G405" s="15" t="str">
        <f t="shared" ref="G405:G429" si="48">C405&amp;" 계약서"</f>
        <v>주앙 아폰수 계약서</v>
      </c>
      <c r="H405" s="15">
        <v>5</v>
      </c>
      <c r="I405" s="15">
        <v>10</v>
      </c>
      <c r="J405" s="15">
        <f t="shared" ref="J405:J429" si="49">P405</f>
        <v>200497</v>
      </c>
      <c r="K405" s="15">
        <f t="shared" si="45"/>
        <v>30000</v>
      </c>
      <c r="L405">
        <f>SUMIF($B:$B,B405,$K:$K)/K405</f>
        <v>10144</v>
      </c>
      <c r="M405">
        <f>L405/SUMIF($B:$B,B405,$L:$L)</f>
        <v>2.0049723313818279E-2</v>
      </c>
      <c r="N405">
        <f t="shared" si="46"/>
        <v>200497</v>
      </c>
      <c r="O405">
        <f>10000000-SUMIF($B:$B,B405,$N:$N)</f>
        <v>91</v>
      </c>
      <c r="P405" s="19">
        <f>IF(COUNTIF($B$9:B405,B405)&lt;=O405,N405+1,N405)</f>
        <v>200497</v>
      </c>
      <c r="Q405" s="20">
        <f>SUMIF($B:$B,B405,$P:$P)</f>
        <v>10000000</v>
      </c>
      <c r="R405">
        <f t="shared" si="47"/>
        <v>601.49169941454841</v>
      </c>
    </row>
    <row r="406" spans="1:18" ht="23.25" x14ac:dyDescent="0.2">
      <c r="A406" s="15" ph="1">
        <v>21300004</v>
      </c>
      <c r="B406" s="17" t="s">
        <v>1874</v>
      </c>
      <c r="C406" s="15" t="s" ph="1">
        <v>2045</v>
      </c>
      <c r="D406" s="15">
        <v>1000000</v>
      </c>
      <c r="E406" s="15" ph="1">
        <v>0</v>
      </c>
      <c r="F406" s="15" t="s" ph="1">
        <v>1661</v>
      </c>
      <c r="G406" s="15" t="str">
        <f t="shared" si="48"/>
        <v>알프레드 로우 계약서</v>
      </c>
      <c r="H406" s="15">
        <v>5</v>
      </c>
      <c r="I406" s="15">
        <v>10</v>
      </c>
      <c r="J406" s="15">
        <f t="shared" si="49"/>
        <v>801</v>
      </c>
      <c r="K406" s="15">
        <f t="shared" si="45"/>
        <v>7500000</v>
      </c>
      <c r="L406">
        <f>SUMIF($B:$B,B406,$K:$K)/K406</f>
        <v>40.576000000000001</v>
      </c>
      <c r="M406">
        <f>L406/SUMIF($B:$B,B406,$L:$L)</f>
        <v>8.0198893255273114E-5</v>
      </c>
      <c r="N406">
        <f t="shared" si="46"/>
        <v>801</v>
      </c>
      <c r="O406">
        <f>10000000-SUMIF($B:$B,B406,$N:$N)</f>
        <v>91</v>
      </c>
      <c r="P406" s="19">
        <f>IF(COUNTIF($B$9:B406,B406)&lt;=O406,N406+1,N406)</f>
        <v>801</v>
      </c>
      <c r="Q406" s="20">
        <f>SUMIF($B:$B,B406,$P:$P)</f>
        <v>10000000</v>
      </c>
      <c r="R406">
        <f t="shared" si="47"/>
        <v>601.49169941454841</v>
      </c>
    </row>
    <row r="407" spans="1:18" ht="23.25" x14ac:dyDescent="0.2">
      <c r="A407" s="15" ph="1">
        <v>21300056</v>
      </c>
      <c r="B407" s="17" t="s">
        <v>1874</v>
      </c>
      <c r="C407" s="15" t="s" ph="1">
        <v>2046</v>
      </c>
      <c r="D407" s="15">
        <v>200000</v>
      </c>
      <c r="E407" s="15" ph="1">
        <v>0</v>
      </c>
      <c r="F407" s="15" t="s" ph="1">
        <v>1854</v>
      </c>
      <c r="G407" s="15" t="str">
        <f t="shared" si="48"/>
        <v>필럼 헤인 계약서</v>
      </c>
      <c r="H407" s="15">
        <v>5</v>
      </c>
      <c r="I407" s="15">
        <v>10</v>
      </c>
      <c r="J407" s="15">
        <f t="shared" si="49"/>
        <v>4009</v>
      </c>
      <c r="K407" s="15">
        <f t="shared" si="45"/>
        <v>1500000</v>
      </c>
      <c r="L407">
        <f>SUMIF($B:$B,B407,$K:$K)/K407</f>
        <v>202.88</v>
      </c>
      <c r="M407">
        <f>L407/SUMIF($B:$B,B407,$L:$L)</f>
        <v>4.0099446627636556E-4</v>
      </c>
      <c r="N407">
        <f t="shared" si="46"/>
        <v>4009</v>
      </c>
      <c r="O407">
        <f>10000000-SUMIF($B:$B,B407,$N:$N)</f>
        <v>91</v>
      </c>
      <c r="P407" s="19">
        <f>IF(COUNTIF($B$9:B407,B407)&lt;=O407,N407+1,N407)</f>
        <v>4009</v>
      </c>
      <c r="Q407" s="20">
        <f>SUMIF($B:$B,B407,$P:$P)</f>
        <v>10000000</v>
      </c>
      <c r="R407">
        <f t="shared" si="47"/>
        <v>601.49169941454829</v>
      </c>
    </row>
    <row r="408" spans="1:18" ht="23.25" x14ac:dyDescent="0.2">
      <c r="A408" s="15" ph="1">
        <v>21300055</v>
      </c>
      <c r="B408" s="17" t="s">
        <v>1874</v>
      </c>
      <c r="C408" s="15" t="s" ph="1">
        <v>2047</v>
      </c>
      <c r="D408" s="15">
        <v>200000</v>
      </c>
      <c r="E408" s="15" ph="1">
        <v>0</v>
      </c>
      <c r="F408" s="15" t="s" ph="1">
        <v>1854</v>
      </c>
      <c r="G408" s="15" t="str">
        <f t="shared" si="48"/>
        <v>하코보 포르툰데 계약서</v>
      </c>
      <c r="H408" s="15">
        <v>5</v>
      </c>
      <c r="I408" s="15">
        <v>10</v>
      </c>
      <c r="J408" s="15">
        <f t="shared" si="49"/>
        <v>4009</v>
      </c>
      <c r="K408" s="15">
        <f t="shared" si="45"/>
        <v>1500000</v>
      </c>
      <c r="L408">
        <f>SUMIF($B:$B,B408,$K:$K)/K408</f>
        <v>202.88</v>
      </c>
      <c r="M408">
        <f>L408/SUMIF($B:$B,B408,$L:$L)</f>
        <v>4.0099446627636556E-4</v>
      </c>
      <c r="N408">
        <f t="shared" si="46"/>
        <v>4009</v>
      </c>
      <c r="O408">
        <f>10000000-SUMIF($B:$B,B408,$N:$N)</f>
        <v>91</v>
      </c>
      <c r="P408" s="19">
        <f>IF(COUNTIF($B$9:B408,B408)&lt;=O408,N408+1,N408)</f>
        <v>4009</v>
      </c>
      <c r="Q408" s="20">
        <f>SUMIF($B:$B,B408,$P:$P)</f>
        <v>10000000</v>
      </c>
      <c r="R408">
        <f t="shared" si="47"/>
        <v>601.49169941454829</v>
      </c>
    </row>
    <row r="409" spans="1:18" ht="23.25" x14ac:dyDescent="0.2">
      <c r="A409" s="15" ph="1">
        <v>21300136</v>
      </c>
      <c r="B409" s="17" t="s">
        <v>1874</v>
      </c>
      <c r="C409" s="15" t="s" ph="1">
        <v>2048</v>
      </c>
      <c r="D409" s="15">
        <v>20000</v>
      </c>
      <c r="E409" s="15" ph="1">
        <v>0</v>
      </c>
      <c r="F409" s="15" t="s" ph="1">
        <v>1671</v>
      </c>
      <c r="G409" s="15" t="str">
        <f t="shared" si="48"/>
        <v>아폰수 안드라드 계약서</v>
      </c>
      <c r="H409" s="15">
        <v>5</v>
      </c>
      <c r="I409" s="15">
        <v>10</v>
      </c>
      <c r="J409" s="15">
        <f t="shared" si="49"/>
        <v>40099</v>
      </c>
      <c r="K409" s="15">
        <f t="shared" si="45"/>
        <v>150000</v>
      </c>
      <c r="L409">
        <f>SUMIF($B:$B,B409,$K:$K)/K409</f>
        <v>2028.8</v>
      </c>
      <c r="M409">
        <f>L409/SUMIF($B:$B,B409,$L:$L)</f>
        <v>4.0099446627636553E-3</v>
      </c>
      <c r="N409">
        <f t="shared" si="46"/>
        <v>40099</v>
      </c>
      <c r="O409">
        <f>10000000-SUMIF($B:$B,B409,$N:$N)</f>
        <v>91</v>
      </c>
      <c r="P409" s="19">
        <f>IF(COUNTIF($B$9:B409,B409)&lt;=O409,N409+1,N409)</f>
        <v>40099</v>
      </c>
      <c r="Q409" s="20">
        <f>SUMIF($B:$B,B409,$P:$P)</f>
        <v>10000000</v>
      </c>
      <c r="R409">
        <f t="shared" si="47"/>
        <v>601.49169941454829</v>
      </c>
    </row>
    <row r="410" spans="1:18" ht="23.25" x14ac:dyDescent="0.2">
      <c r="A410" s="15" ph="1">
        <v>21300138</v>
      </c>
      <c r="B410" s="17" t="s">
        <v>1874</v>
      </c>
      <c r="C410" s="15" t="s" ph="1">
        <v>2049</v>
      </c>
      <c r="D410" s="15">
        <v>20000</v>
      </c>
      <c r="E410" s="15" ph="1">
        <v>0</v>
      </c>
      <c r="F410" s="15" t="s" ph="1">
        <v>1671</v>
      </c>
      <c r="G410" s="15" t="str">
        <f t="shared" si="48"/>
        <v>알렉산드로 바조 계약서</v>
      </c>
      <c r="H410" s="15">
        <v>5</v>
      </c>
      <c r="I410" s="15">
        <v>10</v>
      </c>
      <c r="J410" s="15">
        <f t="shared" si="49"/>
        <v>40099</v>
      </c>
      <c r="K410" s="15">
        <f t="shared" si="45"/>
        <v>150000</v>
      </c>
      <c r="L410">
        <f>SUMIF($B:$B,B410,$K:$K)/K410</f>
        <v>2028.8</v>
      </c>
      <c r="M410">
        <f>L410/SUMIF($B:$B,B410,$L:$L)</f>
        <v>4.0099446627636553E-3</v>
      </c>
      <c r="N410">
        <f t="shared" si="46"/>
        <v>40099</v>
      </c>
      <c r="O410">
        <f>10000000-SUMIF($B:$B,B410,$N:$N)</f>
        <v>91</v>
      </c>
      <c r="P410" s="19">
        <f>IF(COUNTIF($B$9:B410,B410)&lt;=O410,N410+1,N410)</f>
        <v>40099</v>
      </c>
      <c r="Q410" s="20">
        <f>SUMIF($B:$B,B410,$P:$P)</f>
        <v>10000000</v>
      </c>
      <c r="R410">
        <f t="shared" si="47"/>
        <v>601.49169941454829</v>
      </c>
    </row>
    <row r="411" spans="1:18" ht="23.25" x14ac:dyDescent="0.2">
      <c r="A411" s="15" ph="1">
        <v>21300324</v>
      </c>
      <c r="B411" s="17" t="s">
        <v>1874</v>
      </c>
      <c r="C411" s="15" t="s" ph="1">
        <v>2050</v>
      </c>
      <c r="D411" s="15">
        <v>4000</v>
      </c>
      <c r="E411" s="15" ph="1">
        <v>0</v>
      </c>
      <c r="F411" s="15" t="s" ph="1">
        <v>1655</v>
      </c>
      <c r="G411" s="15" t="str">
        <f t="shared" si="48"/>
        <v>라울 핏치 계약서</v>
      </c>
      <c r="H411" s="15">
        <v>5</v>
      </c>
      <c r="I411" s="15">
        <v>10</v>
      </c>
      <c r="J411" s="15">
        <f t="shared" si="49"/>
        <v>200497</v>
      </c>
      <c r="K411" s="15">
        <f t="shared" si="45"/>
        <v>30000</v>
      </c>
      <c r="L411">
        <f>SUMIF($B:$B,B411,$K:$K)/K411</f>
        <v>10144</v>
      </c>
      <c r="M411">
        <f>L411/SUMIF($B:$B,B411,$L:$L)</f>
        <v>2.0049723313818279E-2</v>
      </c>
      <c r="N411">
        <f t="shared" si="46"/>
        <v>200497</v>
      </c>
      <c r="O411">
        <f>10000000-SUMIF($B:$B,B411,$N:$N)</f>
        <v>91</v>
      </c>
      <c r="P411" s="19">
        <f>IF(COUNTIF($B$9:B411,B411)&lt;=O411,N411+1,N411)</f>
        <v>200497</v>
      </c>
      <c r="Q411" s="20">
        <f>SUMIF($B:$B,B411,$P:$P)</f>
        <v>10000000</v>
      </c>
      <c r="R411">
        <f t="shared" si="47"/>
        <v>601.49169941454841</v>
      </c>
    </row>
    <row r="412" spans="1:18" ht="23.25" x14ac:dyDescent="0.2">
      <c r="A412" s="15" ph="1">
        <v>21300327</v>
      </c>
      <c r="B412" s="17" t="s">
        <v>1874</v>
      </c>
      <c r="C412" s="15" t="s" ph="1">
        <v>2051</v>
      </c>
      <c r="D412" s="15">
        <v>4000</v>
      </c>
      <c r="E412" s="15" ph="1">
        <v>0</v>
      </c>
      <c r="F412" s="15" t="s" ph="1">
        <v>1655</v>
      </c>
      <c r="G412" s="15" t="str">
        <f t="shared" si="48"/>
        <v>베르날 로욜라 계약서</v>
      </c>
      <c r="H412" s="15">
        <v>5</v>
      </c>
      <c r="I412" s="15">
        <v>10</v>
      </c>
      <c r="J412" s="15">
        <f t="shared" si="49"/>
        <v>200497</v>
      </c>
      <c r="K412" s="15">
        <f t="shared" si="45"/>
        <v>30000</v>
      </c>
      <c r="L412">
        <f>SUMIF($B:$B,B412,$K:$K)/K412</f>
        <v>10144</v>
      </c>
      <c r="M412">
        <f>L412/SUMIF($B:$B,B412,$L:$L)</f>
        <v>2.0049723313818279E-2</v>
      </c>
      <c r="N412">
        <f t="shared" si="46"/>
        <v>200497</v>
      </c>
      <c r="O412">
        <f>10000000-SUMIF($B:$B,B412,$N:$N)</f>
        <v>91</v>
      </c>
      <c r="P412" s="19">
        <f>IF(COUNTIF($B$9:B412,B412)&lt;=O412,N412+1,N412)</f>
        <v>200497</v>
      </c>
      <c r="Q412" s="20">
        <f>SUMIF($B:$B,B412,$P:$P)</f>
        <v>10000000</v>
      </c>
      <c r="R412">
        <f t="shared" si="47"/>
        <v>601.49169941454841</v>
      </c>
    </row>
    <row r="413" spans="1:18" ht="23.25" x14ac:dyDescent="0.2">
      <c r="A413" s="15" ph="1">
        <v>21300351</v>
      </c>
      <c r="B413" s="17" t="s">
        <v>1874</v>
      </c>
      <c r="C413" s="15" t="s" ph="1">
        <v>2052</v>
      </c>
      <c r="D413" s="15">
        <v>4000</v>
      </c>
      <c r="E413" s="15" ph="1">
        <v>0</v>
      </c>
      <c r="F413" s="15" t="s" ph="1">
        <v>1655</v>
      </c>
      <c r="G413" s="15" t="str">
        <f t="shared" si="48"/>
        <v>율리스 하위헌스 계약서</v>
      </c>
      <c r="H413" s="15">
        <v>5</v>
      </c>
      <c r="I413" s="15">
        <v>10</v>
      </c>
      <c r="J413" s="15">
        <f t="shared" si="49"/>
        <v>200497</v>
      </c>
      <c r="K413" s="15">
        <f t="shared" si="45"/>
        <v>30000</v>
      </c>
      <c r="L413">
        <f>SUMIF($B:$B,B413,$K:$K)/K413</f>
        <v>10144</v>
      </c>
      <c r="M413">
        <f>L413/SUMIF($B:$B,B413,$L:$L)</f>
        <v>2.0049723313818279E-2</v>
      </c>
      <c r="N413">
        <f t="shared" si="46"/>
        <v>200497</v>
      </c>
      <c r="O413">
        <f>10000000-SUMIF($B:$B,B413,$N:$N)</f>
        <v>91</v>
      </c>
      <c r="P413" s="19">
        <f>IF(COUNTIF($B$9:B413,B413)&lt;=O413,N413+1,N413)</f>
        <v>200497</v>
      </c>
      <c r="Q413" s="20">
        <f>SUMIF($B:$B,B413,$P:$P)</f>
        <v>10000000</v>
      </c>
      <c r="R413">
        <f t="shared" si="47"/>
        <v>601.49169941454841</v>
      </c>
    </row>
    <row r="414" spans="1:18" ht="23.25" x14ac:dyDescent="0.2">
      <c r="A414" s="15" ph="1">
        <v>21300001</v>
      </c>
      <c r="B414" s="17" t="s">
        <v>1874</v>
      </c>
      <c r="C414" s="15" t="s" ph="1">
        <v>2053</v>
      </c>
      <c r="D414" s="15">
        <v>1000000</v>
      </c>
      <c r="E414" s="15" ph="1">
        <v>0</v>
      </c>
      <c r="F414" s="15" t="s" ph="1">
        <v>1661</v>
      </c>
      <c r="G414" s="15" t="str">
        <f t="shared" si="48"/>
        <v>잔 다르크 계약서</v>
      </c>
      <c r="H414" s="15">
        <v>5</v>
      </c>
      <c r="I414" s="15">
        <v>10</v>
      </c>
      <c r="J414" s="15">
        <f t="shared" si="49"/>
        <v>801</v>
      </c>
      <c r="K414" s="15">
        <f t="shared" si="45"/>
        <v>7500000</v>
      </c>
      <c r="L414">
        <f>SUMIF($B:$B,B414,$K:$K)/K414</f>
        <v>40.576000000000001</v>
      </c>
      <c r="M414">
        <f>L414/SUMIF($B:$B,B414,$L:$L)</f>
        <v>8.0198893255273114E-5</v>
      </c>
      <c r="N414">
        <f t="shared" si="46"/>
        <v>801</v>
      </c>
      <c r="O414">
        <f>10000000-SUMIF($B:$B,B414,$N:$N)</f>
        <v>91</v>
      </c>
      <c r="P414" s="19">
        <f>IF(COUNTIF($B$9:B414,B414)&lt;=O414,N414+1,N414)</f>
        <v>801</v>
      </c>
      <c r="Q414" s="20">
        <f>SUMIF($B:$B,B414,$P:$P)</f>
        <v>10000000</v>
      </c>
      <c r="R414">
        <f t="shared" si="47"/>
        <v>601.49169941454841</v>
      </c>
    </row>
    <row r="415" spans="1:18" ht="23.25" x14ac:dyDescent="0.2">
      <c r="A415" s="15" ph="1">
        <v>21300037</v>
      </c>
      <c r="B415" s="17" t="s">
        <v>1874</v>
      </c>
      <c r="C415" s="15" t="s" ph="1">
        <v>2054</v>
      </c>
      <c r="D415" s="15">
        <v>200000</v>
      </c>
      <c r="E415" s="15" ph="1">
        <v>0</v>
      </c>
      <c r="F415" s="15" t="s" ph="1">
        <v>1854</v>
      </c>
      <c r="G415" s="15" t="str">
        <f t="shared" si="48"/>
        <v>이사벨라 데스테 계약서</v>
      </c>
      <c r="H415" s="15">
        <v>5</v>
      </c>
      <c r="I415" s="15">
        <v>10</v>
      </c>
      <c r="J415" s="15">
        <f t="shared" si="49"/>
        <v>4009</v>
      </c>
      <c r="K415" s="15">
        <f t="shared" si="45"/>
        <v>1500000</v>
      </c>
      <c r="L415">
        <f>SUMIF($B:$B,B415,$K:$K)/K415</f>
        <v>202.88</v>
      </c>
      <c r="M415">
        <f>L415/SUMIF($B:$B,B415,$L:$L)</f>
        <v>4.0099446627636556E-4</v>
      </c>
      <c r="N415">
        <f t="shared" si="46"/>
        <v>4009</v>
      </c>
      <c r="O415">
        <f>10000000-SUMIF($B:$B,B415,$N:$N)</f>
        <v>91</v>
      </c>
      <c r="P415" s="19">
        <f>IF(COUNTIF($B$9:B415,B415)&lt;=O415,N415+1,N415)</f>
        <v>4009</v>
      </c>
      <c r="Q415" s="20">
        <f>SUMIF($B:$B,B415,$P:$P)</f>
        <v>10000000</v>
      </c>
      <c r="R415">
        <f t="shared" si="47"/>
        <v>601.49169941454829</v>
      </c>
    </row>
    <row r="416" spans="1:18" ht="23.25" x14ac:dyDescent="0.2">
      <c r="A416" s="15" ph="1">
        <v>21300045</v>
      </c>
      <c r="B416" s="17" t="s">
        <v>1874</v>
      </c>
      <c r="C416" s="15" t="s" ph="1">
        <v>2055</v>
      </c>
      <c r="D416" s="15">
        <v>200000</v>
      </c>
      <c r="E416" s="15" ph="1">
        <v>0</v>
      </c>
      <c r="F416" s="15" t="s" ph="1">
        <v>1854</v>
      </c>
      <c r="G416" s="15" t="str">
        <f t="shared" si="48"/>
        <v>아미나 계약서</v>
      </c>
      <c r="H416" s="15">
        <v>5</v>
      </c>
      <c r="I416" s="15">
        <v>10</v>
      </c>
      <c r="J416" s="15">
        <f t="shared" si="49"/>
        <v>4009</v>
      </c>
      <c r="K416" s="15">
        <f t="shared" si="45"/>
        <v>1500000</v>
      </c>
      <c r="L416">
        <f>SUMIF($B:$B,B416,$K:$K)/K416</f>
        <v>202.88</v>
      </c>
      <c r="M416">
        <f>L416/SUMIF($B:$B,B416,$L:$L)</f>
        <v>4.0099446627636556E-4</v>
      </c>
      <c r="N416">
        <f t="shared" si="46"/>
        <v>4009</v>
      </c>
      <c r="O416">
        <f>10000000-SUMIF($B:$B,B416,$N:$N)</f>
        <v>91</v>
      </c>
      <c r="P416" s="19">
        <f>IF(COUNTIF($B$9:B416,B416)&lt;=O416,N416+1,N416)</f>
        <v>4009</v>
      </c>
      <c r="Q416" s="20">
        <f>SUMIF($B:$B,B416,$P:$P)</f>
        <v>10000000</v>
      </c>
      <c r="R416">
        <f t="shared" si="47"/>
        <v>601.49169941454829</v>
      </c>
    </row>
    <row r="417" spans="1:18" ht="23.25" x14ac:dyDescent="0.2">
      <c r="A417" s="15" ph="1">
        <v>21300118</v>
      </c>
      <c r="B417" s="17" t="s">
        <v>1874</v>
      </c>
      <c r="C417" s="15" t="s" ph="1">
        <v>2056</v>
      </c>
      <c r="D417" s="15">
        <v>20000</v>
      </c>
      <c r="E417" s="15" ph="1">
        <v>0</v>
      </c>
      <c r="F417" s="15" t="s" ph="1">
        <v>1671</v>
      </c>
      <c r="G417" s="15" t="str">
        <f t="shared" si="48"/>
        <v>가이타나 계약서</v>
      </c>
      <c r="H417" s="15">
        <v>5</v>
      </c>
      <c r="I417" s="15">
        <v>10</v>
      </c>
      <c r="J417" s="15">
        <f t="shared" si="49"/>
        <v>40099</v>
      </c>
      <c r="K417" s="15">
        <f t="shared" si="45"/>
        <v>150000</v>
      </c>
      <c r="L417">
        <f>SUMIF($B:$B,B417,$K:$K)/K417</f>
        <v>2028.8</v>
      </c>
      <c r="M417">
        <f>L417/SUMIF($B:$B,B417,$L:$L)</f>
        <v>4.0099446627636553E-3</v>
      </c>
      <c r="N417">
        <f t="shared" si="46"/>
        <v>40099</v>
      </c>
      <c r="O417">
        <f>10000000-SUMIF($B:$B,B417,$N:$N)</f>
        <v>91</v>
      </c>
      <c r="P417" s="19">
        <f>IF(COUNTIF($B$9:B417,B417)&lt;=O417,N417+1,N417)</f>
        <v>40099</v>
      </c>
      <c r="Q417" s="20">
        <f>SUMIF($B:$B,B417,$P:$P)</f>
        <v>10000000</v>
      </c>
      <c r="R417">
        <f t="shared" si="47"/>
        <v>601.49169941454829</v>
      </c>
    </row>
    <row r="418" spans="1:18" ht="23.25" x14ac:dyDescent="0.2">
      <c r="A418" s="15" ph="1">
        <v>21300124</v>
      </c>
      <c r="B418" s="17" t="s">
        <v>1874</v>
      </c>
      <c r="C418" s="15" t="s" ph="1">
        <v>2057</v>
      </c>
      <c r="D418" s="15">
        <v>20000</v>
      </c>
      <c r="E418" s="15" ph="1">
        <v>0</v>
      </c>
      <c r="F418" s="15" t="s" ph="1">
        <v>1671</v>
      </c>
      <c r="G418" s="15" t="str">
        <f t="shared" si="48"/>
        <v>노라 에켈멘디트 계약서</v>
      </c>
      <c r="H418" s="15">
        <v>5</v>
      </c>
      <c r="I418" s="15">
        <v>10</v>
      </c>
      <c r="J418" s="15">
        <f t="shared" si="49"/>
        <v>40099</v>
      </c>
      <c r="K418" s="15">
        <f t="shared" si="45"/>
        <v>150000</v>
      </c>
      <c r="L418">
        <f>SUMIF($B:$B,B418,$K:$K)/K418</f>
        <v>2028.8</v>
      </c>
      <c r="M418">
        <f>L418/SUMIF($B:$B,B418,$L:$L)</f>
        <v>4.0099446627636553E-3</v>
      </c>
      <c r="N418">
        <f t="shared" si="46"/>
        <v>40099</v>
      </c>
      <c r="O418">
        <f>10000000-SUMIF($B:$B,B418,$N:$N)</f>
        <v>91</v>
      </c>
      <c r="P418" s="19">
        <f>IF(COUNTIF($B$9:B418,B418)&lt;=O418,N418+1,N418)</f>
        <v>40099</v>
      </c>
      <c r="Q418" s="20">
        <f>SUMIF($B:$B,B418,$P:$P)</f>
        <v>10000000</v>
      </c>
      <c r="R418">
        <f t="shared" si="47"/>
        <v>601.49169941454829</v>
      </c>
    </row>
    <row r="419" spans="1:18" ht="23.25" x14ac:dyDescent="0.2">
      <c r="A419" s="15" ph="1">
        <v>21300435</v>
      </c>
      <c r="B419" s="17" t="s">
        <v>1874</v>
      </c>
      <c r="C419" s="15" t="s" ph="1">
        <v>2058</v>
      </c>
      <c r="D419" s="15">
        <v>4000</v>
      </c>
      <c r="E419" s="15" ph="1">
        <v>0</v>
      </c>
      <c r="F419" s="15" t="s" ph="1">
        <v>1655</v>
      </c>
      <c r="G419" s="15" t="str">
        <f t="shared" si="48"/>
        <v>운니야르카 계약서</v>
      </c>
      <c r="H419" s="15">
        <v>5</v>
      </c>
      <c r="I419" s="15">
        <v>10</v>
      </c>
      <c r="J419" s="15">
        <f t="shared" si="49"/>
        <v>200497</v>
      </c>
      <c r="K419" s="15">
        <f t="shared" si="45"/>
        <v>30000</v>
      </c>
      <c r="L419">
        <f>SUMIF($B:$B,B419,$K:$K)/K419</f>
        <v>10144</v>
      </c>
      <c r="M419">
        <f>L419/SUMIF($B:$B,B419,$L:$L)</f>
        <v>2.0049723313818279E-2</v>
      </c>
      <c r="N419">
        <f t="shared" si="46"/>
        <v>200497</v>
      </c>
      <c r="O419">
        <f>10000000-SUMIF($B:$B,B419,$N:$N)</f>
        <v>91</v>
      </c>
      <c r="P419" s="19">
        <f>IF(COUNTIF($B$9:B419,B419)&lt;=O419,N419+1,N419)</f>
        <v>200497</v>
      </c>
      <c r="Q419" s="20">
        <f>SUMIF($B:$B,B419,$P:$P)</f>
        <v>10000000</v>
      </c>
      <c r="R419">
        <f t="shared" si="47"/>
        <v>601.49169941454841</v>
      </c>
    </row>
    <row r="420" spans="1:18" ht="23.25" x14ac:dyDescent="0.2">
      <c r="A420" s="15" ph="1">
        <v>21300320</v>
      </c>
      <c r="B420" s="17" t="s">
        <v>1874</v>
      </c>
      <c r="C420" s="15" t="s" ph="1">
        <v>2059</v>
      </c>
      <c r="D420" s="15">
        <v>4000</v>
      </c>
      <c r="E420" s="15" ph="1">
        <v>0</v>
      </c>
      <c r="F420" s="15" t="s" ph="1">
        <v>1655</v>
      </c>
      <c r="G420" s="15" t="str">
        <f t="shared" si="48"/>
        <v>클라라 카마랑 계약서</v>
      </c>
      <c r="H420" s="15">
        <v>5</v>
      </c>
      <c r="I420" s="15">
        <v>10</v>
      </c>
      <c r="J420" s="15">
        <f t="shared" si="49"/>
        <v>200497</v>
      </c>
      <c r="K420" s="15">
        <f t="shared" si="45"/>
        <v>30000</v>
      </c>
      <c r="L420">
        <f>SUMIF($B:$B,B420,$K:$K)/K420</f>
        <v>10144</v>
      </c>
      <c r="M420">
        <f>L420/SUMIF($B:$B,B420,$L:$L)</f>
        <v>2.0049723313818279E-2</v>
      </c>
      <c r="N420">
        <f t="shared" si="46"/>
        <v>200497</v>
      </c>
      <c r="O420">
        <f>10000000-SUMIF($B:$B,B420,$N:$N)</f>
        <v>91</v>
      </c>
      <c r="P420" s="19">
        <f>IF(COUNTIF($B$9:B420,B420)&lt;=O420,N420+1,N420)</f>
        <v>200497</v>
      </c>
      <c r="Q420" s="20">
        <f>SUMIF($B:$B,B420,$P:$P)</f>
        <v>10000000</v>
      </c>
      <c r="R420">
        <f t="shared" si="47"/>
        <v>601.49169941454841</v>
      </c>
    </row>
    <row r="421" spans="1:18" ht="23.25" x14ac:dyDescent="0.2">
      <c r="A421" s="15" ph="1">
        <v>21300489</v>
      </c>
      <c r="B421" s="17" t="s">
        <v>1874</v>
      </c>
      <c r="C421" s="15" t="s" ph="1">
        <v>2060</v>
      </c>
      <c r="D421" s="15">
        <v>4000</v>
      </c>
      <c r="E421" s="15" ph="1">
        <v>0</v>
      </c>
      <c r="F421" s="15" t="s" ph="1">
        <v>1655</v>
      </c>
      <c r="G421" s="15" t="str">
        <f t="shared" si="48"/>
        <v>잔 아셰트 계약서</v>
      </c>
      <c r="H421" s="15">
        <v>5</v>
      </c>
      <c r="I421" s="15">
        <v>10</v>
      </c>
      <c r="J421" s="15">
        <f t="shared" si="49"/>
        <v>200497</v>
      </c>
      <c r="K421" s="15">
        <f t="shared" si="45"/>
        <v>30000</v>
      </c>
      <c r="L421">
        <f>SUMIF($B:$B,B421,$K:$K)/K421</f>
        <v>10144</v>
      </c>
      <c r="M421">
        <f>L421/SUMIF($B:$B,B421,$L:$L)</f>
        <v>2.0049723313818279E-2</v>
      </c>
      <c r="N421">
        <f t="shared" si="46"/>
        <v>200497</v>
      </c>
      <c r="O421">
        <f>10000000-SUMIF($B:$B,B421,$N:$N)</f>
        <v>91</v>
      </c>
      <c r="P421" s="19">
        <f>IF(COUNTIF($B$9:B421,B421)&lt;=O421,N421+1,N421)</f>
        <v>200497</v>
      </c>
      <c r="Q421" s="20">
        <f>SUMIF($B:$B,B421,$P:$P)</f>
        <v>10000000</v>
      </c>
      <c r="R421">
        <f t="shared" si="47"/>
        <v>601.49169941454841</v>
      </c>
    </row>
    <row r="422" spans="1:18" ht="23.25" x14ac:dyDescent="0.2">
      <c r="A422" s="15" ph="1">
        <v>21300005</v>
      </c>
      <c r="B422" s="17" t="s">
        <v>1874</v>
      </c>
      <c r="C422" s="15" t="s" ph="1">
        <v>2061</v>
      </c>
      <c r="D422" s="15">
        <v>1000000</v>
      </c>
      <c r="E422" s="15" ph="1">
        <v>0</v>
      </c>
      <c r="F422" s="15" t="s" ph="1">
        <v>1661</v>
      </c>
      <c r="G422" s="15" t="str">
        <f t="shared" si="48"/>
        <v>하이레딘 레이스 계약서</v>
      </c>
      <c r="H422" s="15">
        <v>5</v>
      </c>
      <c r="I422" s="15">
        <v>10</v>
      </c>
      <c r="J422" s="15">
        <f t="shared" si="49"/>
        <v>801</v>
      </c>
      <c r="K422" s="15">
        <f t="shared" si="45"/>
        <v>7500000</v>
      </c>
      <c r="L422">
        <f>SUMIF($B:$B,B422,$K:$K)/K422</f>
        <v>40.576000000000001</v>
      </c>
      <c r="M422">
        <f>L422/SUMIF($B:$B,B422,$L:$L)</f>
        <v>8.0198893255273114E-5</v>
      </c>
      <c r="N422">
        <f t="shared" si="46"/>
        <v>801</v>
      </c>
      <c r="O422">
        <f>10000000-SUMIF($B:$B,B422,$N:$N)</f>
        <v>91</v>
      </c>
      <c r="P422" s="19">
        <f>IF(COUNTIF($B$9:B422,B422)&lt;=O422,N422+1,N422)</f>
        <v>801</v>
      </c>
      <c r="Q422" s="20">
        <f>SUMIF($B:$B,B422,$P:$P)</f>
        <v>10000000</v>
      </c>
      <c r="R422">
        <f t="shared" si="47"/>
        <v>601.49169941454841</v>
      </c>
    </row>
    <row r="423" spans="1:18" ht="23.25" x14ac:dyDescent="0.2">
      <c r="A423" s="15" ph="1">
        <v>21300098</v>
      </c>
      <c r="B423" s="17" t="s">
        <v>1874</v>
      </c>
      <c r="C423" s="15" t="s" ph="1">
        <v>2062</v>
      </c>
      <c r="D423" s="15">
        <v>200000</v>
      </c>
      <c r="E423" s="15" ph="1">
        <v>0</v>
      </c>
      <c r="F423" s="15" t="s" ph="1">
        <v>1854</v>
      </c>
      <c r="G423" s="15" t="str">
        <f t="shared" si="48"/>
        <v>트레볼 에스티브라 계약서</v>
      </c>
      <c r="H423" s="15">
        <v>5</v>
      </c>
      <c r="I423" s="15">
        <v>10</v>
      </c>
      <c r="J423" s="15">
        <f t="shared" si="49"/>
        <v>4009</v>
      </c>
      <c r="K423" s="15">
        <f t="shared" si="45"/>
        <v>1500000</v>
      </c>
      <c r="L423">
        <f>SUMIF($B:$B,B423,$K:$K)/K423</f>
        <v>202.88</v>
      </c>
      <c r="M423">
        <f>L423/SUMIF($B:$B,B423,$L:$L)</f>
        <v>4.0099446627636556E-4</v>
      </c>
      <c r="N423">
        <f t="shared" si="46"/>
        <v>4009</v>
      </c>
      <c r="O423">
        <f>10000000-SUMIF($B:$B,B423,$N:$N)</f>
        <v>91</v>
      </c>
      <c r="P423" s="19">
        <f>IF(COUNTIF($B$9:B423,B423)&lt;=O423,N423+1,N423)</f>
        <v>4009</v>
      </c>
      <c r="Q423" s="20">
        <f>SUMIF($B:$B,B423,$P:$P)</f>
        <v>10000000</v>
      </c>
      <c r="R423">
        <f t="shared" si="47"/>
        <v>601.49169941454829</v>
      </c>
    </row>
    <row r="424" spans="1:18" ht="23.25" x14ac:dyDescent="0.2">
      <c r="A424" s="15" ph="1">
        <v>21300192</v>
      </c>
      <c r="B424" s="17" t="s">
        <v>1874</v>
      </c>
      <c r="C424" s="15" t="s" ph="1">
        <v>2063</v>
      </c>
      <c r="D424" s="15">
        <v>20000</v>
      </c>
      <c r="E424" s="15" ph="1">
        <v>0</v>
      </c>
      <c r="F424" s="15" t="s" ph="1">
        <v>1671</v>
      </c>
      <c r="G424" s="15" t="str">
        <f t="shared" si="48"/>
        <v>고스 다카드 계약서</v>
      </c>
      <c r="H424" s="15">
        <v>5</v>
      </c>
      <c r="I424" s="15">
        <v>10</v>
      </c>
      <c r="J424" s="15">
        <f t="shared" si="49"/>
        <v>40099</v>
      </c>
      <c r="K424" s="15">
        <f t="shared" si="45"/>
        <v>150000</v>
      </c>
      <c r="L424">
        <f>SUMIF($B:$B,B424,$K:$K)/K424</f>
        <v>2028.8</v>
      </c>
      <c r="M424">
        <f>L424/SUMIF($B:$B,B424,$L:$L)</f>
        <v>4.0099446627636553E-3</v>
      </c>
      <c r="N424">
        <f t="shared" si="46"/>
        <v>40099</v>
      </c>
      <c r="O424">
        <f>10000000-SUMIF($B:$B,B424,$N:$N)</f>
        <v>91</v>
      </c>
      <c r="P424" s="19">
        <f>IF(COUNTIF($B$9:B424,B424)&lt;=O424,N424+1,N424)</f>
        <v>40099</v>
      </c>
      <c r="Q424" s="20">
        <f>SUMIF($B:$B,B424,$P:$P)</f>
        <v>10000000</v>
      </c>
      <c r="R424">
        <f t="shared" si="47"/>
        <v>601.49169941454829</v>
      </c>
    </row>
    <row r="425" spans="1:18" ht="23.25" x14ac:dyDescent="0.2">
      <c r="A425" s="15" ph="1">
        <v>21300191</v>
      </c>
      <c r="B425" s="17" t="s">
        <v>1874</v>
      </c>
      <c r="C425" s="15" t="s" ph="1">
        <v>2064</v>
      </c>
      <c r="D425" s="15">
        <v>20000</v>
      </c>
      <c r="E425" s="15" ph="1">
        <v>0</v>
      </c>
      <c r="F425" s="15" t="s" ph="1">
        <v>1671</v>
      </c>
      <c r="G425" s="15" t="str">
        <f t="shared" si="48"/>
        <v>도고 구르마니 계약서</v>
      </c>
      <c r="H425" s="15">
        <v>5</v>
      </c>
      <c r="I425" s="15">
        <v>10</v>
      </c>
      <c r="J425" s="15">
        <f t="shared" si="49"/>
        <v>40099</v>
      </c>
      <c r="K425" s="15">
        <f t="shared" si="45"/>
        <v>150000</v>
      </c>
      <c r="L425">
        <f>SUMIF($B:$B,B425,$K:$K)/K425</f>
        <v>2028.8</v>
      </c>
      <c r="M425">
        <f>L425/SUMIF($B:$B,B425,$L:$L)</f>
        <v>4.0099446627636553E-3</v>
      </c>
      <c r="N425">
        <f t="shared" si="46"/>
        <v>40099</v>
      </c>
      <c r="O425">
        <f>10000000-SUMIF($B:$B,B425,$N:$N)</f>
        <v>91</v>
      </c>
      <c r="P425" s="19">
        <f>IF(COUNTIF($B$9:B425,B425)&lt;=O425,N425+1,N425)</f>
        <v>40099</v>
      </c>
      <c r="Q425" s="20">
        <f>SUMIF($B:$B,B425,$P:$P)</f>
        <v>10000000</v>
      </c>
      <c r="R425">
        <f t="shared" si="47"/>
        <v>601.49169941454829</v>
      </c>
    </row>
    <row r="426" spans="1:18" ht="23.25" x14ac:dyDescent="0.2">
      <c r="A426" s="15" ph="1">
        <v>21300158</v>
      </c>
      <c r="B426" s="17" t="s">
        <v>1874</v>
      </c>
      <c r="C426" s="15" t="s" ph="1">
        <v>2065</v>
      </c>
      <c r="D426" s="15">
        <v>20000</v>
      </c>
      <c r="E426" s="15" ph="1">
        <v>0</v>
      </c>
      <c r="F426" s="15" t="s" ph="1">
        <v>1671</v>
      </c>
      <c r="G426" s="15" t="str">
        <f t="shared" si="48"/>
        <v>이스칼 야사르 계약서</v>
      </c>
      <c r="H426" s="15">
        <v>5</v>
      </c>
      <c r="I426" s="15">
        <v>10</v>
      </c>
      <c r="J426" s="15">
        <f t="shared" si="49"/>
        <v>40099</v>
      </c>
      <c r="K426" s="15">
        <f t="shared" si="45"/>
        <v>150000</v>
      </c>
      <c r="L426">
        <f>SUMIF($B:$B,B426,$K:$K)/K426</f>
        <v>2028.8</v>
      </c>
      <c r="M426">
        <f>L426/SUMIF($B:$B,B426,$L:$L)</f>
        <v>4.0099446627636553E-3</v>
      </c>
      <c r="N426">
        <f t="shared" si="46"/>
        <v>40099</v>
      </c>
      <c r="O426">
        <f>10000000-SUMIF($B:$B,B426,$N:$N)</f>
        <v>91</v>
      </c>
      <c r="P426" s="19">
        <f>IF(COUNTIF($B$9:B426,B426)&lt;=O426,N426+1,N426)</f>
        <v>40099</v>
      </c>
      <c r="Q426" s="20">
        <f>SUMIF($B:$B,B426,$P:$P)</f>
        <v>10000000</v>
      </c>
      <c r="R426">
        <f t="shared" si="47"/>
        <v>601.49169941454829</v>
      </c>
    </row>
    <row r="427" spans="1:18" ht="23.25" x14ac:dyDescent="0.2">
      <c r="A427" s="15" ph="1">
        <v>21300133</v>
      </c>
      <c r="B427" s="17" t="s">
        <v>1874</v>
      </c>
      <c r="C427" s="15" t="s" ph="1">
        <v>2066</v>
      </c>
      <c r="D427" s="15">
        <v>20000</v>
      </c>
      <c r="E427" s="15" ph="1">
        <v>0</v>
      </c>
      <c r="F427" s="15" t="s" ph="1">
        <v>1671</v>
      </c>
      <c r="G427" s="15" t="str">
        <f t="shared" si="48"/>
        <v>아흐메트 무히딘 계약서</v>
      </c>
      <c r="H427" s="15">
        <v>5</v>
      </c>
      <c r="I427" s="15">
        <v>10</v>
      </c>
      <c r="J427" s="15">
        <f t="shared" si="49"/>
        <v>40099</v>
      </c>
      <c r="K427" s="15">
        <f t="shared" si="45"/>
        <v>150000</v>
      </c>
      <c r="L427">
        <f>SUMIF($B:$B,B427,$K:$K)/K427</f>
        <v>2028.8</v>
      </c>
      <c r="M427">
        <f>L427/SUMIF($B:$B,B427,$L:$L)</f>
        <v>4.0099446627636553E-3</v>
      </c>
      <c r="N427">
        <f t="shared" si="46"/>
        <v>40099</v>
      </c>
      <c r="O427">
        <f>10000000-SUMIF($B:$B,B427,$N:$N)</f>
        <v>91</v>
      </c>
      <c r="P427" s="19">
        <f>IF(COUNTIF($B$9:B427,B427)&lt;=O427,N427+1,N427)</f>
        <v>40099</v>
      </c>
      <c r="Q427" s="20">
        <f>SUMIF($B:$B,B427,$P:$P)</f>
        <v>10000000</v>
      </c>
      <c r="R427">
        <f t="shared" si="47"/>
        <v>601.49169941454829</v>
      </c>
    </row>
    <row r="428" spans="1:18" ht="23.25" x14ac:dyDescent="0.2">
      <c r="A428" s="15" ph="1">
        <v>21300134</v>
      </c>
      <c r="B428" s="17" t="s">
        <v>1874</v>
      </c>
      <c r="C428" s="15" t="s" ph="1">
        <v>2067</v>
      </c>
      <c r="D428" s="15">
        <v>20000</v>
      </c>
      <c r="E428" s="15" ph="1">
        <v>0</v>
      </c>
      <c r="F428" s="15" t="s" ph="1">
        <v>1671</v>
      </c>
      <c r="G428" s="15" t="str">
        <f t="shared" si="48"/>
        <v>하프메트 그라니에 계약서</v>
      </c>
      <c r="H428" s="15">
        <v>5</v>
      </c>
      <c r="I428" s="15">
        <v>10</v>
      </c>
      <c r="J428" s="15">
        <f t="shared" si="49"/>
        <v>40099</v>
      </c>
      <c r="K428" s="15">
        <f t="shared" si="45"/>
        <v>150000</v>
      </c>
      <c r="L428">
        <f>SUMIF($B:$B,B428,$K:$K)/K428</f>
        <v>2028.8</v>
      </c>
      <c r="M428">
        <f>L428/SUMIF($B:$B,B428,$L:$L)</f>
        <v>4.0099446627636553E-3</v>
      </c>
      <c r="N428">
        <f t="shared" si="46"/>
        <v>40099</v>
      </c>
      <c r="O428">
        <f>10000000-SUMIF($B:$B,B428,$N:$N)</f>
        <v>91</v>
      </c>
      <c r="P428" s="19">
        <f>IF(COUNTIF($B$9:B428,B428)&lt;=O428,N428+1,N428)</f>
        <v>40099</v>
      </c>
      <c r="Q428" s="20">
        <f>SUMIF($B:$B,B428,$P:$P)</f>
        <v>10000000</v>
      </c>
      <c r="R428">
        <f t="shared" si="47"/>
        <v>601.49169941454829</v>
      </c>
    </row>
    <row r="429" spans="1:18" ht="23.25" x14ac:dyDescent="0.2">
      <c r="A429" s="15" ph="1">
        <v>21300169</v>
      </c>
      <c r="B429" s="17" t="s">
        <v>1874</v>
      </c>
      <c r="C429" s="15" t="s" ph="1">
        <v>2068</v>
      </c>
      <c r="D429" s="15">
        <v>20000</v>
      </c>
      <c r="E429" s="15" ph="1">
        <v>0</v>
      </c>
      <c r="F429" s="15" t="s" ph="1">
        <v>1671</v>
      </c>
      <c r="G429" s="15" t="str">
        <f t="shared" si="48"/>
        <v>다니엘 미르자 계약서</v>
      </c>
      <c r="H429" s="15">
        <v>5</v>
      </c>
      <c r="I429" s="15">
        <v>10</v>
      </c>
      <c r="J429" s="15">
        <f t="shared" si="49"/>
        <v>40099</v>
      </c>
      <c r="K429" s="15">
        <f t="shared" si="45"/>
        <v>150000</v>
      </c>
      <c r="L429">
        <f>SUMIF($B:$B,B429,$K:$K)/K429</f>
        <v>2028.8</v>
      </c>
      <c r="M429">
        <f>L429/SUMIF($B:$B,B429,$L:$L)</f>
        <v>4.0099446627636553E-3</v>
      </c>
      <c r="N429">
        <f t="shared" si="46"/>
        <v>40099</v>
      </c>
      <c r="O429">
        <f>10000000-SUMIF($B:$B,B429,$N:$N)</f>
        <v>91</v>
      </c>
      <c r="P429" s="19">
        <f>IF(COUNTIF($B$9:B429,B429)&lt;=O429,N429+1,N429)</f>
        <v>40099</v>
      </c>
      <c r="Q429" s="20">
        <f>SUMIF($B:$B,B429,$P:$P)</f>
        <v>10000000</v>
      </c>
      <c r="R429">
        <f t="shared" si="47"/>
        <v>601.49169941454829</v>
      </c>
    </row>
    <row r="430" spans="1:18" x14ac:dyDescent="0.2">
      <c r="L430" s="15"/>
      <c r="M430" s="15"/>
      <c r="N430" s="15"/>
      <c r="O430" s="15"/>
      <c r="P430" s="15"/>
      <c r="Q430" s="15"/>
      <c r="R430" s="15"/>
    </row>
    <row r="431" spans="1:18" x14ac:dyDescent="0.2">
      <c r="L431" s="15"/>
      <c r="M431" s="15"/>
      <c r="N431" s="15"/>
      <c r="O431" s="15"/>
      <c r="P431" s="15"/>
      <c r="Q431" s="15"/>
      <c r="R431" s="15"/>
    </row>
    <row r="432" spans="1:18" x14ac:dyDescent="0.2">
      <c r="L432" s="15"/>
      <c r="M432" s="15"/>
      <c r="N432" s="15"/>
      <c r="O432" s="15"/>
      <c r="P432" s="15"/>
      <c r="Q432" s="15"/>
      <c r="R432" s="15"/>
    </row>
    <row r="433" spans="12:18" x14ac:dyDescent="0.2">
      <c r="L433" s="15"/>
      <c r="M433" s="15"/>
      <c r="N433" s="15"/>
      <c r="O433" s="15"/>
      <c r="P433" s="15"/>
      <c r="Q433" s="15"/>
      <c r="R433" s="15"/>
    </row>
    <row r="434" spans="12:18" x14ac:dyDescent="0.2">
      <c r="L434" s="15"/>
      <c r="M434" s="15"/>
      <c r="N434" s="15"/>
      <c r="O434" s="15"/>
      <c r="P434" s="15"/>
      <c r="Q434" s="15"/>
      <c r="R434" s="15"/>
    </row>
    <row r="435" spans="12:18" x14ac:dyDescent="0.2">
      <c r="L435" s="15"/>
      <c r="M435" s="15"/>
      <c r="N435" s="15"/>
      <c r="O435" s="15"/>
      <c r="P435" s="15"/>
      <c r="Q435" s="15"/>
      <c r="R435" s="15"/>
    </row>
    <row r="436" spans="12:18" x14ac:dyDescent="0.2">
      <c r="L436" s="15"/>
      <c r="M436" s="15"/>
      <c r="N436" s="15"/>
      <c r="O436" s="15"/>
      <c r="P436" s="15"/>
      <c r="Q436" s="15"/>
      <c r="R436" s="15"/>
    </row>
    <row r="437" spans="12:18" x14ac:dyDescent="0.2">
      <c r="L437" s="15"/>
      <c r="M437" s="15"/>
      <c r="N437" s="15"/>
      <c r="O437" s="15"/>
      <c r="P437" s="15"/>
      <c r="Q437" s="15"/>
      <c r="R437" s="15"/>
    </row>
    <row r="438" spans="12:18" x14ac:dyDescent="0.2">
      <c r="L438" s="15"/>
      <c r="M438" s="15"/>
      <c r="N438" s="15"/>
      <c r="O438" s="15"/>
      <c r="P438" s="15"/>
      <c r="Q438" s="15"/>
      <c r="R438" s="15"/>
    </row>
    <row r="439" spans="12:18" x14ac:dyDescent="0.2">
      <c r="L439" s="15"/>
      <c r="M439" s="15"/>
      <c r="N439" s="15"/>
      <c r="O439" s="15"/>
      <c r="P439" s="15"/>
      <c r="Q439" s="15"/>
      <c r="R439" s="15"/>
    </row>
    <row r="440" spans="12:18" x14ac:dyDescent="0.2">
      <c r="L440" s="15"/>
      <c r="M440" s="15"/>
      <c r="N440" s="15"/>
      <c r="O440" s="15"/>
      <c r="P440" s="15"/>
      <c r="Q440" s="15"/>
      <c r="R440" s="15"/>
    </row>
    <row r="441" spans="12:18" x14ac:dyDescent="0.2">
      <c r="L441" s="15"/>
      <c r="M441" s="15"/>
      <c r="N441" s="15"/>
      <c r="O441" s="15"/>
      <c r="P441" s="15"/>
      <c r="Q441" s="15"/>
      <c r="R441" s="15"/>
    </row>
    <row r="442" spans="12:18" x14ac:dyDescent="0.2">
      <c r="L442" s="15"/>
      <c r="M442" s="15"/>
      <c r="N442" s="15"/>
      <c r="O442" s="15"/>
      <c r="P442" s="15"/>
      <c r="Q442" s="15"/>
      <c r="R442" s="15"/>
    </row>
    <row r="443" spans="12:18" x14ac:dyDescent="0.2">
      <c r="L443" s="15"/>
      <c r="M443" s="15"/>
      <c r="N443" s="15"/>
      <c r="O443" s="15"/>
      <c r="P443" s="15"/>
      <c r="Q443" s="15"/>
      <c r="R443" s="15"/>
    </row>
    <row r="444" spans="12:18" x14ac:dyDescent="0.2">
      <c r="L444" s="15"/>
      <c r="M444" s="15"/>
      <c r="N444" s="15"/>
      <c r="O444" s="15"/>
      <c r="P444" s="15"/>
      <c r="Q444" s="15"/>
      <c r="R444" s="15"/>
    </row>
    <row r="445" spans="12:18" x14ac:dyDescent="0.2">
      <c r="L445" s="15"/>
      <c r="M445" s="15"/>
      <c r="N445" s="15"/>
      <c r="O445" s="15"/>
      <c r="P445" s="15"/>
      <c r="Q445" s="15"/>
      <c r="R445" s="15"/>
    </row>
    <row r="446" spans="12:18" x14ac:dyDescent="0.2">
      <c r="L446" s="15"/>
      <c r="M446" s="15"/>
      <c r="N446" s="15"/>
      <c r="O446" s="15"/>
      <c r="P446" s="15"/>
      <c r="Q446" s="15"/>
      <c r="R446" s="15"/>
    </row>
    <row r="447" spans="12:18" x14ac:dyDescent="0.2">
      <c r="L447" s="15"/>
      <c r="M447" s="15"/>
      <c r="N447" s="15"/>
      <c r="O447" s="15"/>
      <c r="P447" s="15"/>
      <c r="Q447" s="15"/>
      <c r="R447" s="15"/>
    </row>
    <row r="448" spans="12:18" x14ac:dyDescent="0.2">
      <c r="L448" s="15"/>
      <c r="M448" s="15"/>
      <c r="N448" s="15"/>
      <c r="O448" s="15"/>
      <c r="P448" s="15"/>
      <c r="Q448" s="15"/>
      <c r="R448" s="15"/>
    </row>
    <row r="449" spans="12:18" x14ac:dyDescent="0.2">
      <c r="L449" s="15"/>
      <c r="M449" s="15"/>
      <c r="N449" s="15"/>
      <c r="O449" s="15"/>
      <c r="P449" s="15"/>
      <c r="Q449" s="15"/>
      <c r="R449" s="15"/>
    </row>
    <row r="450" spans="12:18" x14ac:dyDescent="0.2">
      <c r="L450" s="15"/>
      <c r="M450" s="15"/>
      <c r="N450" s="15"/>
      <c r="O450" s="15"/>
      <c r="P450" s="15"/>
      <c r="Q450" s="15"/>
      <c r="R450" s="15"/>
    </row>
    <row r="451" spans="12:18" x14ac:dyDescent="0.2">
      <c r="L451" s="15"/>
      <c r="M451" s="15"/>
      <c r="N451" s="15"/>
      <c r="O451" s="15"/>
      <c r="P451" s="15"/>
      <c r="Q451" s="15"/>
      <c r="R451" s="15"/>
    </row>
    <row r="452" spans="12:18" x14ac:dyDescent="0.2">
      <c r="L452" s="15"/>
      <c r="M452" s="15"/>
      <c r="N452" s="15"/>
      <c r="O452" s="15"/>
      <c r="P452" s="15"/>
      <c r="Q452" s="15"/>
      <c r="R452" s="15"/>
    </row>
    <row r="453" spans="12:18" x14ac:dyDescent="0.2">
      <c r="L453" s="15"/>
      <c r="M453" s="15"/>
      <c r="N453" s="15"/>
      <c r="O453" s="15"/>
      <c r="P453" s="15"/>
      <c r="Q453" s="15"/>
      <c r="R453" s="15"/>
    </row>
    <row r="454" spans="12:18" x14ac:dyDescent="0.2">
      <c r="L454" s="15"/>
      <c r="M454" s="15"/>
      <c r="N454" s="15"/>
      <c r="O454" s="15"/>
      <c r="P454" s="15"/>
      <c r="Q454" s="15"/>
      <c r="R454" s="15"/>
    </row>
    <row r="455" spans="12:18" x14ac:dyDescent="0.2">
      <c r="L455" s="15"/>
      <c r="M455" s="15"/>
      <c r="N455" s="15"/>
      <c r="O455" s="15"/>
      <c r="P455" s="15"/>
      <c r="Q455" s="15"/>
      <c r="R455" s="15"/>
    </row>
    <row r="456" spans="12:18" x14ac:dyDescent="0.2">
      <c r="L456" s="15"/>
      <c r="M456" s="15"/>
      <c r="N456" s="15"/>
      <c r="O456" s="15"/>
      <c r="P456" s="15"/>
      <c r="Q456" s="15"/>
      <c r="R456" s="15"/>
    </row>
    <row r="457" spans="12:18" x14ac:dyDescent="0.2">
      <c r="L457" s="15"/>
      <c r="M457" s="15"/>
      <c r="N457" s="15"/>
      <c r="O457" s="15"/>
      <c r="P457" s="15"/>
      <c r="Q457" s="15"/>
      <c r="R457" s="15"/>
    </row>
    <row r="458" spans="12:18" x14ac:dyDescent="0.2">
      <c r="L458" s="15"/>
      <c r="M458" s="15"/>
      <c r="N458" s="15"/>
      <c r="O458" s="15"/>
      <c r="P458" s="15"/>
      <c r="Q458" s="15"/>
      <c r="R458" s="15"/>
    </row>
    <row r="459" spans="12:18" x14ac:dyDescent="0.2">
      <c r="L459" s="15"/>
      <c r="M459" s="15"/>
      <c r="N459" s="15"/>
      <c r="O459" s="15"/>
      <c r="P459" s="15"/>
      <c r="Q459" s="15"/>
      <c r="R459" s="15"/>
    </row>
    <row r="460" spans="12:18" x14ac:dyDescent="0.2">
      <c r="L460" s="15"/>
      <c r="M460" s="15"/>
      <c r="N460" s="15"/>
      <c r="O460" s="15"/>
      <c r="P460" s="15"/>
      <c r="Q460" s="15"/>
      <c r="R460" s="15"/>
    </row>
    <row r="461" spans="12:18" x14ac:dyDescent="0.2">
      <c r="L461" s="15"/>
      <c r="M461" s="15"/>
      <c r="N461" s="15"/>
      <c r="O461" s="15"/>
      <c r="P461" s="15"/>
      <c r="Q461" s="15"/>
      <c r="R461" s="15"/>
    </row>
    <row r="462" spans="12:18" x14ac:dyDescent="0.2">
      <c r="L462" s="15"/>
      <c r="M462" s="15"/>
      <c r="N462" s="15"/>
      <c r="O462" s="15"/>
      <c r="P462" s="15"/>
      <c r="Q462" s="15"/>
      <c r="R462" s="15"/>
    </row>
    <row r="463" spans="12:18" x14ac:dyDescent="0.2">
      <c r="L463" s="15"/>
      <c r="M463" s="15"/>
      <c r="N463" s="15"/>
      <c r="O463" s="15"/>
      <c r="P463" s="15"/>
      <c r="Q463" s="15"/>
      <c r="R463" s="15"/>
    </row>
    <row r="464" spans="12:18" x14ac:dyDescent="0.2">
      <c r="L464" s="15"/>
      <c r="M464" s="15"/>
      <c r="N464" s="15"/>
      <c r="O464" s="15"/>
      <c r="P464" s="15"/>
      <c r="Q464" s="15"/>
      <c r="R464" s="15"/>
    </row>
    <row r="465" spans="12:18" x14ac:dyDescent="0.2">
      <c r="L465" s="15"/>
      <c r="M465" s="15"/>
      <c r="N465" s="15"/>
      <c r="O465" s="15"/>
      <c r="P465" s="15"/>
      <c r="Q465" s="15"/>
      <c r="R465" s="15"/>
    </row>
    <row r="466" spans="12:18" x14ac:dyDescent="0.2">
      <c r="L466" s="15"/>
      <c r="M466" s="15"/>
      <c r="N466" s="15"/>
      <c r="O466" s="15"/>
      <c r="P466" s="15"/>
      <c r="Q466" s="15"/>
      <c r="R466" s="15"/>
    </row>
    <row r="467" spans="12:18" x14ac:dyDescent="0.2">
      <c r="L467" s="15"/>
      <c r="M467" s="15"/>
      <c r="N467" s="15"/>
      <c r="O467" s="15"/>
      <c r="P467" s="15"/>
      <c r="Q467" s="15"/>
      <c r="R467" s="15"/>
    </row>
    <row r="468" spans="12:18" x14ac:dyDescent="0.2">
      <c r="L468" s="15"/>
      <c r="M468" s="15"/>
      <c r="N468" s="15"/>
      <c r="O468" s="15"/>
      <c r="P468" s="15"/>
      <c r="Q468" s="15"/>
      <c r="R468" s="15"/>
    </row>
    <row r="469" spans="12:18" x14ac:dyDescent="0.2">
      <c r="L469" s="15"/>
      <c r="M469" s="15"/>
      <c r="N469" s="15"/>
      <c r="O469" s="15"/>
      <c r="P469" s="15"/>
      <c r="Q469" s="15"/>
      <c r="R469" s="15"/>
    </row>
    <row r="470" spans="12:18" x14ac:dyDescent="0.2">
      <c r="L470" s="15"/>
      <c r="M470" s="15"/>
      <c r="N470" s="15"/>
      <c r="O470" s="15"/>
      <c r="P470" s="15"/>
      <c r="Q470" s="15"/>
      <c r="R470" s="15"/>
    </row>
    <row r="471" spans="12:18" x14ac:dyDescent="0.2">
      <c r="L471" s="15"/>
      <c r="M471" s="15"/>
      <c r="N471" s="15"/>
      <c r="O471" s="15"/>
      <c r="P471" s="15"/>
      <c r="Q471" s="15"/>
      <c r="R471" s="15"/>
    </row>
    <row r="472" spans="12:18" x14ac:dyDescent="0.2">
      <c r="L472" s="15"/>
      <c r="M472" s="15"/>
      <c r="N472" s="15"/>
      <c r="O472" s="15"/>
      <c r="P472" s="15"/>
      <c r="Q472" s="15"/>
      <c r="R472" s="15"/>
    </row>
    <row r="473" spans="12:18" x14ac:dyDescent="0.2">
      <c r="L473" s="15"/>
      <c r="M473" s="15"/>
      <c r="N473" s="15"/>
      <c r="O473" s="15"/>
      <c r="P473" s="15"/>
      <c r="Q473" s="15"/>
      <c r="R473" s="15"/>
    </row>
    <row r="474" spans="12:18" x14ac:dyDescent="0.2">
      <c r="L474" s="15"/>
      <c r="M474" s="15"/>
      <c r="N474" s="15"/>
      <c r="O474" s="15"/>
      <c r="P474" s="15"/>
      <c r="Q474" s="15"/>
      <c r="R474" s="15"/>
    </row>
    <row r="475" spans="12:18" x14ac:dyDescent="0.2">
      <c r="L475" s="15"/>
      <c r="M475" s="15"/>
      <c r="N475" s="15"/>
      <c r="O475" s="15"/>
      <c r="P475" s="15"/>
      <c r="Q475" s="15"/>
      <c r="R475" s="15"/>
    </row>
    <row r="476" spans="12:18" x14ac:dyDescent="0.2">
      <c r="L476" s="15"/>
      <c r="M476" s="15"/>
      <c r="N476" s="15"/>
      <c r="O476" s="15"/>
      <c r="P476" s="15"/>
      <c r="Q476" s="15"/>
      <c r="R476" s="15"/>
    </row>
    <row r="477" spans="12:18" x14ac:dyDescent="0.2">
      <c r="L477" s="15"/>
      <c r="M477" s="15"/>
      <c r="N477" s="15"/>
      <c r="O477" s="15"/>
      <c r="P477" s="15"/>
      <c r="Q477" s="15"/>
      <c r="R477" s="15"/>
    </row>
    <row r="478" spans="12:18" x14ac:dyDescent="0.2">
      <c r="L478" s="15"/>
      <c r="M478" s="15"/>
      <c r="N478" s="15"/>
      <c r="O478" s="15"/>
      <c r="P478" s="15"/>
      <c r="Q478" s="15"/>
      <c r="R478" s="15"/>
    </row>
    <row r="479" spans="12:18" x14ac:dyDescent="0.2">
      <c r="L479" s="15"/>
      <c r="M479" s="15"/>
      <c r="N479" s="15"/>
      <c r="O479" s="15"/>
      <c r="P479" s="15"/>
      <c r="Q479" s="15"/>
      <c r="R479" s="15"/>
    </row>
    <row r="480" spans="12:18" x14ac:dyDescent="0.2">
      <c r="L480" s="15"/>
      <c r="M480" s="15"/>
      <c r="N480" s="15"/>
      <c r="O480" s="15"/>
      <c r="P480" s="15"/>
      <c r="Q480" s="15"/>
      <c r="R480" s="15"/>
    </row>
    <row r="481" spans="12:18" x14ac:dyDescent="0.2">
      <c r="L481" s="15"/>
      <c r="M481" s="15"/>
      <c r="N481" s="15"/>
      <c r="O481" s="15"/>
      <c r="P481" s="15"/>
      <c r="Q481" s="15"/>
      <c r="R481" s="15"/>
    </row>
    <row r="482" spans="12:18" x14ac:dyDescent="0.2">
      <c r="L482" s="15"/>
      <c r="M482" s="15"/>
      <c r="N482" s="15"/>
      <c r="O482" s="15"/>
      <c r="P482" s="15"/>
      <c r="Q482" s="15"/>
      <c r="R482" s="15"/>
    </row>
    <row r="483" spans="12:18" x14ac:dyDescent="0.2">
      <c r="L483" s="15"/>
      <c r="M483" s="15"/>
      <c r="N483" s="15"/>
      <c r="O483" s="15"/>
      <c r="P483" s="15"/>
      <c r="Q483" s="15"/>
      <c r="R483" s="15"/>
    </row>
    <row r="484" spans="12:18" x14ac:dyDescent="0.2">
      <c r="L484" s="15"/>
      <c r="M484" s="15"/>
      <c r="N484" s="15"/>
      <c r="O484" s="15"/>
      <c r="P484" s="15"/>
      <c r="Q484" s="15"/>
      <c r="R484" s="15"/>
    </row>
    <row r="485" spans="12:18" x14ac:dyDescent="0.2">
      <c r="L485" s="15"/>
      <c r="M485" s="15"/>
      <c r="N485" s="15"/>
      <c r="O485" s="15"/>
      <c r="P485" s="15"/>
      <c r="Q485" s="15"/>
      <c r="R485" s="15"/>
    </row>
    <row r="486" spans="12:18" x14ac:dyDescent="0.2">
      <c r="L486" s="15"/>
      <c r="M486" s="15"/>
      <c r="N486" s="15"/>
      <c r="O486" s="15"/>
      <c r="P486" s="15"/>
      <c r="Q486" s="15"/>
      <c r="R486" s="15"/>
    </row>
    <row r="487" spans="12:18" x14ac:dyDescent="0.2">
      <c r="L487" s="15"/>
      <c r="M487" s="15"/>
      <c r="N487" s="15"/>
      <c r="O487" s="15"/>
      <c r="P487" s="15"/>
      <c r="Q487" s="15"/>
      <c r="R487" s="15"/>
    </row>
    <row r="488" spans="12:18" x14ac:dyDescent="0.2">
      <c r="L488" s="15"/>
      <c r="M488" s="15"/>
      <c r="N488" s="15"/>
      <c r="O488" s="15"/>
      <c r="P488" s="15"/>
      <c r="Q488" s="15"/>
      <c r="R488" s="15"/>
    </row>
    <row r="489" spans="12:18" x14ac:dyDescent="0.2">
      <c r="L489" s="15"/>
      <c r="M489" s="15"/>
      <c r="N489" s="15"/>
      <c r="O489" s="15"/>
      <c r="P489" s="15"/>
      <c r="Q489" s="15"/>
      <c r="R489" s="15"/>
    </row>
    <row r="490" spans="12:18" x14ac:dyDescent="0.2">
      <c r="L490" s="15"/>
      <c r="M490" s="15"/>
      <c r="N490" s="15"/>
      <c r="O490" s="15"/>
      <c r="P490" s="15"/>
      <c r="Q490" s="15"/>
      <c r="R490" s="15"/>
    </row>
    <row r="491" spans="12:18" x14ac:dyDescent="0.2">
      <c r="L491" s="15"/>
      <c r="M491" s="15"/>
      <c r="N491" s="15"/>
      <c r="O491" s="15"/>
      <c r="P491" s="15"/>
      <c r="Q491" s="15"/>
      <c r="R491" s="15"/>
    </row>
    <row r="492" spans="12:18" x14ac:dyDescent="0.2">
      <c r="L492" s="15"/>
      <c r="M492" s="15"/>
      <c r="N492" s="15"/>
      <c r="O492" s="15"/>
      <c r="P492" s="15"/>
      <c r="Q492" s="15"/>
      <c r="R492" s="15"/>
    </row>
    <row r="493" spans="12:18" x14ac:dyDescent="0.2">
      <c r="L493" s="15"/>
      <c r="M493" s="15"/>
      <c r="N493" s="15"/>
      <c r="O493" s="15"/>
      <c r="P493" s="15"/>
      <c r="Q493" s="15"/>
      <c r="R493" s="15"/>
    </row>
    <row r="494" spans="12:18" x14ac:dyDescent="0.2">
      <c r="L494" s="15"/>
      <c r="M494" s="15"/>
      <c r="N494" s="15"/>
      <c r="O494" s="15"/>
      <c r="P494" s="15"/>
      <c r="Q494" s="15"/>
      <c r="R494" s="15"/>
    </row>
    <row r="495" spans="12:18" x14ac:dyDescent="0.2">
      <c r="L495" s="15"/>
      <c r="M495" s="15"/>
      <c r="N495" s="15"/>
      <c r="O495" s="15"/>
      <c r="P495" s="15"/>
      <c r="Q495" s="15"/>
      <c r="R495" s="15"/>
    </row>
    <row r="496" spans="12:18" x14ac:dyDescent="0.2">
      <c r="L496" s="15"/>
      <c r="M496" s="15"/>
      <c r="N496" s="15"/>
      <c r="O496" s="15"/>
      <c r="P496" s="15"/>
      <c r="Q496" s="15"/>
      <c r="R496" s="15"/>
    </row>
    <row r="497" spans="12:18" x14ac:dyDescent="0.2">
      <c r="L497" s="15"/>
      <c r="M497" s="15"/>
      <c r="N497" s="15"/>
      <c r="O497" s="15"/>
      <c r="P497" s="15"/>
      <c r="Q497" s="15"/>
      <c r="R497" s="15"/>
    </row>
    <row r="498" spans="12:18" x14ac:dyDescent="0.2">
      <c r="L498" s="15"/>
      <c r="M498" s="15"/>
      <c r="N498" s="15"/>
      <c r="O498" s="15"/>
      <c r="P498" s="15"/>
      <c r="Q498" s="15"/>
      <c r="R498" s="15"/>
    </row>
    <row r="499" spans="12:18" x14ac:dyDescent="0.2">
      <c r="L499" s="15"/>
      <c r="M499" s="15"/>
      <c r="N499" s="15"/>
      <c r="O499" s="15"/>
      <c r="P499" s="15"/>
      <c r="Q499" s="15"/>
      <c r="R499" s="15"/>
    </row>
    <row r="500" spans="12:18" x14ac:dyDescent="0.2">
      <c r="L500" s="15"/>
      <c r="M500" s="15"/>
      <c r="N500" s="15"/>
      <c r="O500" s="15"/>
      <c r="P500" s="15"/>
      <c r="Q500" s="15"/>
      <c r="R500" s="15"/>
    </row>
    <row r="501" spans="12:18" x14ac:dyDescent="0.2">
      <c r="L501" s="15"/>
      <c r="M501" s="15"/>
      <c r="N501" s="15"/>
      <c r="O501" s="15"/>
      <c r="P501" s="15"/>
      <c r="Q501" s="15"/>
      <c r="R501" s="15"/>
    </row>
    <row r="502" spans="12:18" x14ac:dyDescent="0.2">
      <c r="L502" s="15"/>
      <c r="M502" s="15"/>
      <c r="N502" s="15"/>
      <c r="O502" s="15"/>
      <c r="P502" s="15"/>
      <c r="Q502" s="15"/>
      <c r="R502" s="15"/>
    </row>
    <row r="503" spans="12:18" x14ac:dyDescent="0.2">
      <c r="L503" s="15"/>
      <c r="M503" s="15"/>
      <c r="N503" s="15"/>
      <c r="O503" s="15"/>
      <c r="P503" s="15"/>
      <c r="Q503" s="15"/>
      <c r="R503" s="15"/>
    </row>
    <row r="504" spans="12:18" x14ac:dyDescent="0.2">
      <c r="L504" s="15"/>
      <c r="M504" s="15"/>
      <c r="N504" s="15"/>
      <c r="O504" s="15"/>
      <c r="P504" s="15"/>
      <c r="Q504" s="15"/>
      <c r="R504" s="15"/>
    </row>
    <row r="505" spans="12:18" x14ac:dyDescent="0.2">
      <c r="L505" s="15"/>
      <c r="M505" s="15"/>
      <c r="N505" s="15"/>
      <c r="O505" s="15"/>
      <c r="P505" s="15"/>
      <c r="Q505" s="15"/>
      <c r="R505" s="15"/>
    </row>
    <row r="506" spans="12:18" x14ac:dyDescent="0.2">
      <c r="L506" s="15"/>
      <c r="M506" s="15"/>
      <c r="N506" s="15"/>
      <c r="O506" s="15"/>
      <c r="P506" s="15"/>
      <c r="Q506" s="15"/>
      <c r="R506" s="15"/>
    </row>
    <row r="507" spans="12:18" x14ac:dyDescent="0.2">
      <c r="L507" s="15"/>
      <c r="M507" s="15"/>
      <c r="N507" s="15"/>
      <c r="O507" s="15"/>
      <c r="P507" s="15"/>
      <c r="Q507" s="15"/>
      <c r="R507" s="15"/>
    </row>
    <row r="508" spans="12:18" x14ac:dyDescent="0.2">
      <c r="L508" s="15"/>
      <c r="M508" s="15"/>
      <c r="N508" s="15"/>
      <c r="O508" s="15"/>
      <c r="P508" s="15"/>
      <c r="Q508" s="15"/>
      <c r="R508" s="15"/>
    </row>
    <row r="509" spans="12:18" x14ac:dyDescent="0.2">
      <c r="L509" s="15"/>
      <c r="M509" s="15"/>
      <c r="N509" s="15"/>
      <c r="O509" s="15"/>
      <c r="P509" s="15"/>
      <c r="Q509" s="15"/>
      <c r="R509" s="15"/>
    </row>
    <row r="510" spans="12:18" x14ac:dyDescent="0.2">
      <c r="L510" s="15"/>
      <c r="M510" s="15"/>
      <c r="N510" s="15"/>
      <c r="O510" s="15"/>
      <c r="P510" s="15"/>
      <c r="Q510" s="15"/>
      <c r="R510" s="15"/>
    </row>
    <row r="511" spans="12:18" x14ac:dyDescent="0.2">
      <c r="L511" s="15"/>
      <c r="M511" s="15"/>
      <c r="N511" s="15"/>
      <c r="O511" s="15"/>
      <c r="P511" s="15"/>
      <c r="Q511" s="15"/>
      <c r="R511" s="15"/>
    </row>
    <row r="512" spans="12:18" x14ac:dyDescent="0.2">
      <c r="L512" s="15"/>
      <c r="M512" s="15"/>
      <c r="N512" s="15"/>
      <c r="O512" s="15"/>
      <c r="P512" s="15"/>
      <c r="Q512" s="15"/>
      <c r="R512" s="15"/>
    </row>
    <row r="513" spans="12:18" x14ac:dyDescent="0.2">
      <c r="L513" s="15"/>
      <c r="M513" s="15"/>
      <c r="N513" s="15"/>
      <c r="O513" s="15"/>
      <c r="P513" s="15"/>
      <c r="Q513" s="15"/>
      <c r="R513" s="15"/>
    </row>
    <row r="514" spans="12:18" x14ac:dyDescent="0.2">
      <c r="L514" s="15"/>
      <c r="M514" s="15"/>
      <c r="N514" s="15"/>
      <c r="O514" s="15"/>
      <c r="P514" s="15"/>
      <c r="Q514" s="15"/>
      <c r="R514" s="15"/>
    </row>
    <row r="515" spans="12:18" x14ac:dyDescent="0.2">
      <c r="L515" s="15"/>
      <c r="M515" s="15"/>
      <c r="N515" s="15"/>
      <c r="O515" s="15"/>
      <c r="P515" s="15"/>
      <c r="Q515" s="15"/>
      <c r="R515" s="15"/>
    </row>
    <row r="516" spans="12:18" x14ac:dyDescent="0.2">
      <c r="L516" s="15"/>
      <c r="M516" s="15"/>
      <c r="N516" s="15"/>
      <c r="O516" s="15"/>
      <c r="P516" s="15"/>
      <c r="Q516" s="15"/>
      <c r="R516" s="15"/>
    </row>
    <row r="517" spans="12:18" x14ac:dyDescent="0.2">
      <c r="L517" s="15"/>
      <c r="M517" s="15"/>
      <c r="N517" s="15"/>
      <c r="O517" s="15"/>
      <c r="P517" s="15"/>
      <c r="Q517" s="15"/>
      <c r="R517" s="15"/>
    </row>
    <row r="518" spans="12:18" x14ac:dyDescent="0.2">
      <c r="L518" s="15"/>
      <c r="M518" s="15"/>
      <c r="N518" s="15"/>
      <c r="O518" s="15"/>
      <c r="P518" s="15"/>
      <c r="Q518" s="15"/>
      <c r="R518" s="15"/>
    </row>
    <row r="519" spans="12:18" x14ac:dyDescent="0.2">
      <c r="L519" s="15"/>
      <c r="M519" s="15"/>
      <c r="N519" s="15"/>
      <c r="O519" s="15"/>
      <c r="P519" s="15"/>
      <c r="Q519" s="15"/>
      <c r="R519" s="15"/>
    </row>
    <row r="520" spans="12:18" x14ac:dyDescent="0.2">
      <c r="L520" s="15"/>
      <c r="M520" s="15"/>
      <c r="N520" s="15"/>
      <c r="O520" s="15"/>
      <c r="P520" s="15"/>
      <c r="Q520" s="15"/>
      <c r="R520" s="15"/>
    </row>
    <row r="521" spans="12:18" x14ac:dyDescent="0.2">
      <c r="L521" s="15"/>
      <c r="M521" s="15"/>
      <c r="N521" s="15"/>
      <c r="O521" s="15"/>
      <c r="P521" s="15"/>
      <c r="Q521" s="15"/>
      <c r="R521" s="15"/>
    </row>
    <row r="522" spans="12:18" x14ac:dyDescent="0.2">
      <c r="L522" s="15"/>
      <c r="M522" s="15"/>
      <c r="N522" s="15"/>
      <c r="O522" s="15"/>
      <c r="P522" s="15"/>
      <c r="Q522" s="15"/>
      <c r="R522" s="15"/>
    </row>
    <row r="523" spans="12:18" x14ac:dyDescent="0.2">
      <c r="L523" s="15"/>
      <c r="M523" s="15"/>
      <c r="N523" s="15"/>
      <c r="O523" s="15"/>
      <c r="P523" s="15"/>
      <c r="Q523" s="15"/>
      <c r="R523" s="15"/>
    </row>
    <row r="524" spans="12:18" x14ac:dyDescent="0.2">
      <c r="L524" s="15"/>
      <c r="M524" s="15"/>
      <c r="N524" s="15"/>
      <c r="O524" s="15"/>
      <c r="P524" s="15"/>
      <c r="Q524" s="15"/>
      <c r="R524" s="15"/>
    </row>
    <row r="525" spans="12:18" x14ac:dyDescent="0.2">
      <c r="L525" s="15"/>
      <c r="M525" s="15"/>
      <c r="N525" s="15"/>
      <c r="O525" s="15"/>
      <c r="P525" s="15"/>
      <c r="Q525" s="15"/>
      <c r="R525" s="15"/>
    </row>
    <row r="526" spans="12:18" x14ac:dyDescent="0.2">
      <c r="L526" s="15"/>
      <c r="M526" s="15"/>
      <c r="N526" s="15"/>
      <c r="O526" s="15"/>
      <c r="P526" s="15"/>
      <c r="Q526" s="15"/>
      <c r="R526" s="15"/>
    </row>
    <row r="527" spans="12:18" x14ac:dyDescent="0.2">
      <c r="L527" s="15"/>
      <c r="M527" s="15"/>
      <c r="N527" s="15"/>
      <c r="O527" s="15"/>
      <c r="P527" s="15"/>
      <c r="Q527" s="15"/>
      <c r="R527" s="15"/>
    </row>
    <row r="528" spans="12:18" x14ac:dyDescent="0.2">
      <c r="L528" s="15"/>
      <c r="M528" s="15"/>
      <c r="N528" s="15"/>
      <c r="O528" s="15"/>
      <c r="P528" s="15"/>
      <c r="Q528" s="15"/>
      <c r="R528" s="15"/>
    </row>
    <row r="529" spans="12:18" x14ac:dyDescent="0.2">
      <c r="L529" s="15"/>
      <c r="M529" s="15"/>
      <c r="N529" s="15"/>
      <c r="O529" s="15"/>
      <c r="P529" s="15"/>
      <c r="Q529" s="15"/>
      <c r="R529" s="15"/>
    </row>
    <row r="530" spans="12:18" x14ac:dyDescent="0.2">
      <c r="L530" s="15"/>
      <c r="M530" s="15"/>
      <c r="N530" s="15"/>
      <c r="O530" s="15"/>
      <c r="P530" s="15"/>
      <c r="Q530" s="15"/>
      <c r="R530" s="15"/>
    </row>
    <row r="531" spans="12:18" x14ac:dyDescent="0.2">
      <c r="L531" s="15"/>
      <c r="M531" s="15"/>
      <c r="N531" s="15"/>
      <c r="O531" s="15"/>
      <c r="P531" s="15"/>
      <c r="Q531" s="15"/>
      <c r="R531" s="15"/>
    </row>
    <row r="532" spans="12:18" x14ac:dyDescent="0.2">
      <c r="L532" s="15"/>
      <c r="M532" s="15"/>
      <c r="N532" s="15"/>
      <c r="O532" s="15"/>
      <c r="P532" s="15"/>
      <c r="Q532" s="15"/>
      <c r="R532" s="15"/>
    </row>
    <row r="533" spans="12:18" x14ac:dyDescent="0.2">
      <c r="L533" s="15"/>
      <c r="M533" s="15"/>
      <c r="N533" s="15"/>
      <c r="O533" s="15"/>
      <c r="P533" s="15"/>
      <c r="Q533" s="15"/>
      <c r="R533" s="15"/>
    </row>
    <row r="534" spans="12:18" x14ac:dyDescent="0.2">
      <c r="L534" s="15"/>
      <c r="M534" s="15"/>
      <c r="N534" s="15"/>
      <c r="O534" s="15"/>
      <c r="P534" s="15"/>
      <c r="Q534" s="15"/>
      <c r="R534" s="15"/>
    </row>
    <row r="535" spans="12:18" x14ac:dyDescent="0.2">
      <c r="L535" s="15"/>
      <c r="M535" s="15"/>
      <c r="N535" s="15"/>
      <c r="O535" s="15"/>
      <c r="P535" s="15"/>
      <c r="Q535" s="15"/>
      <c r="R535" s="15"/>
    </row>
    <row r="536" spans="12:18" x14ac:dyDescent="0.2">
      <c r="L536" s="15"/>
      <c r="M536" s="15"/>
      <c r="N536" s="15"/>
      <c r="O536" s="15"/>
      <c r="P536" s="15"/>
      <c r="Q536" s="15"/>
      <c r="R536" s="15"/>
    </row>
    <row r="537" spans="12:18" x14ac:dyDescent="0.2">
      <c r="L537" s="15"/>
      <c r="M537" s="15"/>
      <c r="N537" s="15"/>
      <c r="O537" s="15"/>
      <c r="P537" s="15"/>
      <c r="Q537" s="15"/>
      <c r="R537" s="15"/>
    </row>
    <row r="538" spans="12:18" x14ac:dyDescent="0.2">
      <c r="L538" s="15"/>
      <c r="M538" s="15"/>
      <c r="N538" s="15"/>
      <c r="O538" s="15"/>
      <c r="P538" s="15"/>
      <c r="Q538" s="15"/>
      <c r="R538" s="15"/>
    </row>
    <row r="539" spans="12:18" x14ac:dyDescent="0.2">
      <c r="L539" s="15"/>
      <c r="M539" s="15"/>
      <c r="N539" s="15"/>
      <c r="O539" s="15"/>
      <c r="P539" s="15"/>
      <c r="Q539" s="15"/>
      <c r="R539" s="15"/>
    </row>
    <row r="540" spans="12:18" x14ac:dyDescent="0.2">
      <c r="L540" s="15"/>
      <c r="M540" s="15"/>
      <c r="N540" s="15"/>
      <c r="O540" s="15"/>
      <c r="P540" s="15"/>
      <c r="Q540" s="15"/>
      <c r="R540" s="15"/>
    </row>
    <row r="541" spans="12:18" x14ac:dyDescent="0.2">
      <c r="L541" s="15"/>
      <c r="M541" s="15"/>
      <c r="N541" s="15"/>
      <c r="O541" s="15"/>
      <c r="P541" s="15"/>
      <c r="Q541" s="15"/>
      <c r="R541" s="15"/>
    </row>
    <row r="542" spans="12:18" x14ac:dyDescent="0.2">
      <c r="L542" s="15"/>
      <c r="M542" s="15"/>
      <c r="N542" s="15"/>
      <c r="O542" s="15"/>
      <c r="P542" s="15"/>
      <c r="Q542" s="15"/>
      <c r="R542" s="15"/>
    </row>
    <row r="543" spans="12:18" x14ac:dyDescent="0.2">
      <c r="L543" s="15"/>
      <c r="M543" s="15"/>
      <c r="N543" s="15"/>
      <c r="O543" s="15"/>
      <c r="P543" s="15"/>
      <c r="Q543" s="15"/>
      <c r="R543" s="15"/>
    </row>
    <row r="544" spans="12:18" x14ac:dyDescent="0.2">
      <c r="L544" s="15"/>
      <c r="M544" s="15"/>
      <c r="N544" s="15"/>
      <c r="O544" s="15"/>
      <c r="P544" s="15"/>
      <c r="Q544" s="15"/>
      <c r="R544" s="15"/>
    </row>
    <row r="545" spans="12:18" x14ac:dyDescent="0.2">
      <c r="L545" s="15"/>
      <c r="M545" s="15"/>
      <c r="N545" s="15"/>
      <c r="O545" s="15"/>
      <c r="P545" s="15"/>
      <c r="Q545" s="15"/>
      <c r="R545" s="15"/>
    </row>
    <row r="546" spans="12:18" x14ac:dyDescent="0.2">
      <c r="L546" s="15"/>
      <c r="M546" s="15"/>
      <c r="N546" s="15"/>
      <c r="O546" s="15"/>
      <c r="P546" s="15"/>
      <c r="Q546" s="15"/>
      <c r="R546" s="15"/>
    </row>
    <row r="547" spans="12:18" x14ac:dyDescent="0.2">
      <c r="L547" s="15"/>
      <c r="M547" s="15"/>
      <c r="N547" s="15"/>
      <c r="O547" s="15"/>
      <c r="P547" s="15"/>
      <c r="Q547" s="15"/>
      <c r="R547" s="15"/>
    </row>
    <row r="548" spans="12:18" x14ac:dyDescent="0.2">
      <c r="L548" s="15"/>
      <c r="M548" s="15"/>
      <c r="N548" s="15"/>
      <c r="O548" s="15"/>
      <c r="P548" s="15"/>
      <c r="Q548" s="15"/>
      <c r="R548" s="15"/>
    </row>
    <row r="549" spans="12:18" x14ac:dyDescent="0.2">
      <c r="L549" s="15"/>
      <c r="M549" s="15"/>
      <c r="N549" s="15"/>
      <c r="O549" s="15"/>
      <c r="P549" s="15"/>
      <c r="Q549" s="15"/>
      <c r="R549" s="15"/>
    </row>
    <row r="550" spans="12:18" x14ac:dyDescent="0.2">
      <c r="L550" s="15"/>
      <c r="M550" s="15"/>
      <c r="N550" s="15"/>
      <c r="O550" s="15"/>
      <c r="P550" s="15"/>
      <c r="Q550" s="15"/>
      <c r="R550" s="15"/>
    </row>
    <row r="551" spans="12:18" x14ac:dyDescent="0.2">
      <c r="L551" s="15"/>
      <c r="M551" s="15"/>
      <c r="N551" s="15"/>
      <c r="O551" s="15"/>
      <c r="P551" s="15"/>
      <c r="Q551" s="15"/>
      <c r="R551" s="15"/>
    </row>
    <row r="552" spans="12:18" x14ac:dyDescent="0.2">
      <c r="L552" s="15"/>
      <c r="M552" s="15"/>
      <c r="N552" s="15"/>
      <c r="O552" s="15"/>
      <c r="P552" s="15"/>
      <c r="Q552" s="15"/>
      <c r="R552" s="15"/>
    </row>
    <row r="553" spans="12:18" x14ac:dyDescent="0.2">
      <c r="L553" s="15"/>
      <c r="M553" s="15"/>
      <c r="N553" s="15"/>
      <c r="O553" s="15"/>
      <c r="P553" s="15"/>
      <c r="Q553" s="15"/>
      <c r="R553" s="15"/>
    </row>
    <row r="554" spans="12:18" x14ac:dyDescent="0.2">
      <c r="L554" s="15"/>
      <c r="M554" s="15"/>
      <c r="N554" s="15"/>
      <c r="O554" s="15"/>
      <c r="P554" s="15"/>
      <c r="Q554" s="15"/>
      <c r="R554" s="15"/>
    </row>
    <row r="555" spans="12:18" x14ac:dyDescent="0.2">
      <c r="L555" s="15"/>
      <c r="M555" s="15"/>
      <c r="N555" s="15"/>
      <c r="O555" s="15"/>
      <c r="P555" s="15"/>
      <c r="Q555" s="15"/>
      <c r="R555" s="15"/>
    </row>
    <row r="556" spans="12:18" x14ac:dyDescent="0.2">
      <c r="L556" s="15"/>
      <c r="M556" s="15"/>
      <c r="N556" s="15"/>
      <c r="O556" s="15"/>
      <c r="P556" s="15"/>
      <c r="Q556" s="15"/>
      <c r="R556" s="15"/>
    </row>
    <row r="557" spans="12:18" x14ac:dyDescent="0.2">
      <c r="L557" s="15"/>
      <c r="M557" s="15"/>
      <c r="N557" s="15"/>
      <c r="O557" s="15"/>
      <c r="P557" s="15"/>
      <c r="Q557" s="15"/>
      <c r="R557" s="15"/>
    </row>
    <row r="558" spans="12:18" x14ac:dyDescent="0.2">
      <c r="L558" s="15"/>
      <c r="M558" s="15"/>
      <c r="N558" s="15"/>
      <c r="O558" s="15"/>
      <c r="P558" s="15"/>
      <c r="Q558" s="15"/>
      <c r="R558" s="15"/>
    </row>
    <row r="559" spans="12:18" x14ac:dyDescent="0.2">
      <c r="L559" s="15"/>
      <c r="M559" s="15"/>
      <c r="N559" s="15"/>
      <c r="O559" s="15"/>
      <c r="P559" s="15"/>
      <c r="Q559" s="15"/>
      <c r="R559" s="15"/>
    </row>
    <row r="560" spans="12:18" x14ac:dyDescent="0.2">
      <c r="L560" s="15"/>
      <c r="M560" s="15"/>
      <c r="N560" s="15"/>
      <c r="O560" s="15"/>
      <c r="P560" s="15"/>
      <c r="Q560" s="15"/>
      <c r="R560" s="15"/>
    </row>
    <row r="561" spans="12:18" x14ac:dyDescent="0.2">
      <c r="L561" s="15"/>
      <c r="M561" s="15"/>
      <c r="N561" s="15"/>
      <c r="O561" s="15"/>
      <c r="P561" s="15"/>
      <c r="Q561" s="15"/>
      <c r="R561" s="15"/>
    </row>
    <row r="562" spans="12:18" x14ac:dyDescent="0.2">
      <c r="L562" s="15"/>
      <c r="M562" s="15"/>
      <c r="N562" s="15"/>
      <c r="O562" s="15"/>
      <c r="P562" s="15"/>
      <c r="Q562" s="15"/>
      <c r="R562" s="15"/>
    </row>
    <row r="563" spans="12:18" x14ac:dyDescent="0.2">
      <c r="L563" s="15"/>
      <c r="M563" s="15"/>
      <c r="N563" s="15"/>
      <c r="O563" s="15"/>
      <c r="P563" s="15"/>
      <c r="Q563" s="15"/>
      <c r="R563" s="15"/>
    </row>
    <row r="564" spans="12:18" x14ac:dyDescent="0.2">
      <c r="L564" s="15"/>
      <c r="M564" s="15"/>
      <c r="N564" s="15"/>
      <c r="O564" s="15"/>
      <c r="P564" s="15"/>
      <c r="Q564" s="15"/>
      <c r="R564" s="15"/>
    </row>
    <row r="565" spans="12:18" x14ac:dyDescent="0.2">
      <c r="L565" s="15"/>
      <c r="M565" s="15"/>
      <c r="N565" s="15"/>
      <c r="O565" s="15"/>
      <c r="P565" s="15"/>
      <c r="Q565" s="15"/>
      <c r="R565" s="15"/>
    </row>
    <row r="566" spans="12:18" x14ac:dyDescent="0.2">
      <c r="L566" s="15"/>
      <c r="M566" s="15"/>
      <c r="N566" s="15"/>
      <c r="O566" s="15"/>
      <c r="P566" s="15"/>
      <c r="Q566" s="15"/>
      <c r="R566" s="15"/>
    </row>
    <row r="567" spans="12:18" x14ac:dyDescent="0.2">
      <c r="L567" s="15"/>
      <c r="M567" s="15"/>
      <c r="N567" s="15"/>
      <c r="O567" s="15"/>
      <c r="P567" s="15"/>
      <c r="Q567" s="15"/>
      <c r="R567" s="15"/>
    </row>
    <row r="568" spans="12:18" x14ac:dyDescent="0.2">
      <c r="L568" s="15"/>
      <c r="M568" s="15"/>
      <c r="N568" s="15"/>
      <c r="O568" s="15"/>
      <c r="P568" s="15"/>
      <c r="Q568" s="15"/>
      <c r="R568" s="15"/>
    </row>
    <row r="569" spans="12:18" x14ac:dyDescent="0.2">
      <c r="L569" s="15"/>
      <c r="M569" s="15"/>
      <c r="N569" s="15"/>
      <c r="O569" s="15"/>
      <c r="P569" s="15"/>
      <c r="Q569" s="15"/>
      <c r="R569" s="15"/>
    </row>
    <row r="570" spans="12:18" x14ac:dyDescent="0.2">
      <c r="L570" s="15"/>
      <c r="M570" s="15"/>
      <c r="N570" s="15"/>
      <c r="O570" s="15"/>
      <c r="P570" s="15"/>
      <c r="Q570" s="15"/>
      <c r="R570" s="15"/>
    </row>
    <row r="571" spans="12:18" x14ac:dyDescent="0.2">
      <c r="L571" s="15"/>
      <c r="M571" s="15"/>
      <c r="N571" s="15"/>
      <c r="O571" s="15"/>
      <c r="P571" s="15"/>
      <c r="Q571" s="15"/>
      <c r="R571" s="15"/>
    </row>
    <row r="572" spans="12:18" x14ac:dyDescent="0.2">
      <c r="L572" s="15"/>
      <c r="M572" s="15"/>
      <c r="N572" s="15"/>
      <c r="O572" s="15"/>
      <c r="P572" s="15"/>
      <c r="Q572" s="15"/>
      <c r="R572" s="15"/>
    </row>
    <row r="573" spans="12:18" x14ac:dyDescent="0.2">
      <c r="L573" s="15"/>
      <c r="M573" s="15"/>
      <c r="N573" s="15"/>
      <c r="O573" s="15"/>
      <c r="P573" s="15"/>
      <c r="Q573" s="15"/>
      <c r="R573" s="15"/>
    </row>
    <row r="574" spans="12:18" x14ac:dyDescent="0.2">
      <c r="L574" s="15"/>
      <c r="M574" s="15"/>
      <c r="N574" s="15"/>
      <c r="O574" s="15"/>
      <c r="P574" s="15"/>
      <c r="Q574" s="15"/>
      <c r="R574" s="15"/>
    </row>
    <row r="575" spans="12:18" x14ac:dyDescent="0.2">
      <c r="L575" s="15"/>
      <c r="M575" s="15"/>
      <c r="N575" s="15"/>
      <c r="O575" s="15"/>
      <c r="P575" s="15"/>
      <c r="Q575" s="15"/>
      <c r="R575" s="15"/>
    </row>
    <row r="576" spans="12:18" x14ac:dyDescent="0.2">
      <c r="L576" s="15"/>
      <c r="M576" s="15"/>
      <c r="N576" s="15"/>
      <c r="O576" s="15"/>
      <c r="P576" s="15"/>
      <c r="Q576" s="15"/>
      <c r="R576" s="15"/>
    </row>
    <row r="577" spans="12:18" x14ac:dyDescent="0.2">
      <c r="L577" s="15"/>
      <c r="M577" s="15"/>
      <c r="N577" s="15"/>
      <c r="O577" s="15"/>
      <c r="P577" s="15"/>
      <c r="Q577" s="15"/>
      <c r="R577" s="15"/>
    </row>
    <row r="578" spans="12:18" x14ac:dyDescent="0.2">
      <c r="L578" s="15"/>
      <c r="M578" s="15"/>
      <c r="N578" s="15"/>
      <c r="O578" s="15"/>
      <c r="P578" s="15"/>
      <c r="Q578" s="15"/>
      <c r="R578" s="15"/>
    </row>
    <row r="579" spans="12:18" x14ac:dyDescent="0.2">
      <c r="L579" s="15"/>
      <c r="M579" s="15"/>
      <c r="N579" s="15"/>
      <c r="O579" s="15"/>
      <c r="P579" s="15"/>
      <c r="Q579" s="15"/>
      <c r="R579" s="15"/>
    </row>
    <row r="580" spans="12:18" x14ac:dyDescent="0.2">
      <c r="L580" s="15"/>
      <c r="M580" s="15"/>
      <c r="N580" s="15"/>
      <c r="O580" s="15"/>
      <c r="P580" s="15"/>
      <c r="Q580" s="15"/>
      <c r="R580" s="15"/>
    </row>
    <row r="581" spans="12:18" x14ac:dyDescent="0.2">
      <c r="L581" s="15"/>
      <c r="M581" s="15"/>
      <c r="N581" s="15"/>
      <c r="O581" s="15"/>
      <c r="P581" s="15"/>
      <c r="Q581" s="15"/>
      <c r="R581" s="15"/>
    </row>
    <row r="582" spans="12:18" x14ac:dyDescent="0.2">
      <c r="L582" s="15"/>
      <c r="M582" s="15"/>
      <c r="N582" s="15"/>
      <c r="O582" s="15"/>
      <c r="P582" s="15"/>
      <c r="Q582" s="15"/>
      <c r="R582" s="15"/>
    </row>
    <row r="583" spans="12:18" x14ac:dyDescent="0.2">
      <c r="L583" s="15"/>
      <c r="M583" s="15"/>
      <c r="N583" s="15"/>
      <c r="O583" s="15"/>
      <c r="P583" s="15"/>
      <c r="Q583" s="15"/>
      <c r="R583" s="15"/>
    </row>
    <row r="584" spans="12:18" x14ac:dyDescent="0.2">
      <c r="L584" s="15"/>
      <c r="M584" s="15"/>
      <c r="N584" s="15"/>
      <c r="O584" s="15"/>
      <c r="P584" s="15"/>
      <c r="Q584" s="15"/>
      <c r="R584" s="15"/>
    </row>
    <row r="585" spans="12:18" x14ac:dyDescent="0.2">
      <c r="L585" s="15"/>
      <c r="M585" s="15"/>
      <c r="N585" s="15"/>
      <c r="O585" s="15"/>
      <c r="P585" s="15"/>
      <c r="Q585" s="15"/>
      <c r="R585" s="15"/>
    </row>
    <row r="586" spans="12:18" x14ac:dyDescent="0.2">
      <c r="L586" s="15"/>
      <c r="M586" s="15"/>
      <c r="N586" s="15"/>
      <c r="O586" s="15"/>
      <c r="P586" s="15"/>
      <c r="Q586" s="15"/>
      <c r="R586" s="15"/>
    </row>
    <row r="587" spans="12:18" x14ac:dyDescent="0.2">
      <c r="L587" s="15"/>
      <c r="M587" s="15"/>
      <c r="N587" s="15"/>
      <c r="O587" s="15"/>
      <c r="P587" s="15"/>
      <c r="Q587" s="15"/>
      <c r="R587" s="15"/>
    </row>
    <row r="588" spans="12:18" x14ac:dyDescent="0.2">
      <c r="L588" s="15"/>
      <c r="M588" s="15"/>
      <c r="N588" s="15"/>
      <c r="O588" s="15"/>
      <c r="P588" s="15"/>
      <c r="Q588" s="15"/>
      <c r="R588" s="15"/>
    </row>
    <row r="589" spans="12:18" x14ac:dyDescent="0.2">
      <c r="L589" s="15"/>
      <c r="M589" s="15"/>
      <c r="N589" s="15"/>
      <c r="O589" s="15"/>
      <c r="P589" s="15"/>
      <c r="Q589" s="15"/>
      <c r="R589" s="15"/>
    </row>
    <row r="590" spans="12:18" x14ac:dyDescent="0.2">
      <c r="L590" s="15"/>
      <c r="M590" s="15"/>
      <c r="N590" s="15"/>
      <c r="O590" s="15"/>
      <c r="P590" s="15"/>
      <c r="Q590" s="15"/>
      <c r="R590" s="15"/>
    </row>
    <row r="591" spans="12:18" x14ac:dyDescent="0.2">
      <c r="L591" s="15"/>
      <c r="M591" s="15"/>
      <c r="N591" s="15"/>
      <c r="O591" s="15"/>
      <c r="P591" s="15"/>
      <c r="Q591" s="15"/>
      <c r="R591" s="15"/>
    </row>
    <row r="592" spans="12:18" x14ac:dyDescent="0.2">
      <c r="L592" s="15"/>
      <c r="M592" s="15"/>
      <c r="N592" s="15"/>
      <c r="O592" s="15"/>
      <c r="P592" s="15"/>
      <c r="Q592" s="15"/>
      <c r="R592" s="15"/>
    </row>
    <row r="593" spans="12:18" x14ac:dyDescent="0.2">
      <c r="L593" s="15"/>
      <c r="M593" s="15"/>
      <c r="N593" s="15"/>
      <c r="O593" s="15"/>
      <c r="P593" s="15"/>
      <c r="Q593" s="15"/>
      <c r="R593" s="15"/>
    </row>
    <row r="594" spans="12:18" x14ac:dyDescent="0.2">
      <c r="L594" s="15"/>
      <c r="M594" s="15"/>
      <c r="N594" s="15"/>
      <c r="O594" s="15"/>
      <c r="P594" s="15"/>
      <c r="Q594" s="15"/>
      <c r="R594" s="15"/>
    </row>
    <row r="595" spans="12:18" x14ac:dyDescent="0.2">
      <c r="L595" s="15"/>
      <c r="M595" s="15"/>
      <c r="N595" s="15"/>
      <c r="O595" s="15"/>
      <c r="P595" s="15"/>
      <c r="Q595" s="15"/>
      <c r="R595" s="15"/>
    </row>
    <row r="596" spans="12:18" x14ac:dyDescent="0.2">
      <c r="L596" s="15"/>
      <c r="M596" s="15"/>
      <c r="N596" s="15"/>
      <c r="O596" s="15"/>
      <c r="P596" s="15"/>
      <c r="Q596" s="15"/>
      <c r="R596" s="15"/>
    </row>
    <row r="597" spans="12:18" x14ac:dyDescent="0.2">
      <c r="L597" s="15"/>
      <c r="M597" s="15"/>
      <c r="N597" s="15"/>
      <c r="O597" s="15"/>
      <c r="P597" s="15"/>
      <c r="Q597" s="15"/>
      <c r="R597" s="15"/>
    </row>
    <row r="598" spans="12:18" x14ac:dyDescent="0.2">
      <c r="L598" s="15"/>
      <c r="M598" s="15"/>
      <c r="N598" s="15"/>
      <c r="O598" s="15"/>
      <c r="P598" s="15"/>
      <c r="Q598" s="15"/>
      <c r="R598" s="15"/>
    </row>
    <row r="599" spans="12:18" x14ac:dyDescent="0.2">
      <c r="L599" s="15"/>
      <c r="M599" s="15"/>
      <c r="N599" s="15"/>
      <c r="O599" s="15"/>
      <c r="P599" s="15"/>
      <c r="Q599" s="15"/>
      <c r="R599" s="15"/>
    </row>
    <row r="600" spans="12:18" x14ac:dyDescent="0.2">
      <c r="L600" s="15"/>
      <c r="M600" s="15"/>
      <c r="N600" s="15"/>
      <c r="O600" s="15"/>
      <c r="P600" s="15"/>
      <c r="Q600" s="15"/>
      <c r="R600" s="15"/>
    </row>
    <row r="601" spans="12:18" x14ac:dyDescent="0.2">
      <c r="L601" s="15"/>
      <c r="M601" s="15"/>
      <c r="N601" s="15"/>
      <c r="O601" s="15"/>
      <c r="P601" s="15"/>
      <c r="Q601" s="15"/>
      <c r="R601" s="15"/>
    </row>
    <row r="602" spans="12:18" x14ac:dyDescent="0.2">
      <c r="L602" s="15"/>
      <c r="M602" s="15"/>
      <c r="N602" s="15"/>
      <c r="O602" s="15"/>
      <c r="P602" s="15"/>
      <c r="Q602" s="15"/>
      <c r="R602" s="15"/>
    </row>
    <row r="603" spans="12:18" x14ac:dyDescent="0.2">
      <c r="L603" s="15"/>
      <c r="M603" s="15"/>
      <c r="N603" s="15"/>
      <c r="O603" s="15"/>
      <c r="P603" s="15"/>
      <c r="Q603" s="15"/>
      <c r="R603" s="15"/>
    </row>
    <row r="604" spans="12:18" x14ac:dyDescent="0.2">
      <c r="L604" s="15"/>
      <c r="M604" s="15"/>
      <c r="N604" s="15"/>
      <c r="O604" s="15"/>
      <c r="P604" s="15"/>
      <c r="Q604" s="15"/>
      <c r="R604" s="15"/>
    </row>
    <row r="605" spans="12:18" x14ac:dyDescent="0.2">
      <c r="L605" s="15"/>
      <c r="M605" s="15"/>
      <c r="N605" s="15"/>
      <c r="O605" s="15"/>
      <c r="P605" s="15"/>
      <c r="Q605" s="15"/>
      <c r="R605" s="15"/>
    </row>
    <row r="606" spans="12:18" x14ac:dyDescent="0.2">
      <c r="L606" s="15"/>
      <c r="M606" s="15"/>
      <c r="N606" s="15"/>
      <c r="O606" s="15"/>
      <c r="P606" s="15"/>
      <c r="Q606" s="15"/>
      <c r="R606" s="15"/>
    </row>
    <row r="607" spans="12:18" x14ac:dyDescent="0.2">
      <c r="L607" s="15"/>
      <c r="M607" s="15"/>
      <c r="N607" s="15"/>
      <c r="O607" s="15"/>
      <c r="P607" s="15"/>
      <c r="Q607" s="15"/>
      <c r="R607" s="15"/>
    </row>
    <row r="608" spans="12:18" x14ac:dyDescent="0.2">
      <c r="L608" s="15"/>
      <c r="M608" s="15"/>
      <c r="N608" s="15"/>
      <c r="O608" s="15"/>
      <c r="P608" s="15"/>
      <c r="Q608" s="15"/>
      <c r="R608" s="15"/>
    </row>
    <row r="609" spans="12:18" x14ac:dyDescent="0.2">
      <c r="L609" s="15"/>
      <c r="M609" s="15"/>
      <c r="N609" s="15"/>
      <c r="O609" s="15"/>
      <c r="P609" s="15"/>
      <c r="Q609" s="15"/>
      <c r="R609" s="15"/>
    </row>
    <row r="610" spans="12:18" x14ac:dyDescent="0.2">
      <c r="L610" s="15"/>
      <c r="M610" s="15"/>
      <c r="N610" s="15"/>
      <c r="O610" s="15"/>
      <c r="P610" s="15"/>
      <c r="Q610" s="15"/>
      <c r="R610" s="15"/>
    </row>
    <row r="611" spans="12:18" x14ac:dyDescent="0.2">
      <c r="L611" s="15"/>
      <c r="M611" s="15"/>
      <c r="N611" s="15"/>
      <c r="O611" s="15"/>
      <c r="P611" s="15"/>
      <c r="Q611" s="15"/>
      <c r="R611" s="15"/>
    </row>
    <row r="612" spans="12:18" x14ac:dyDescent="0.2">
      <c r="L612" s="15"/>
      <c r="M612" s="15"/>
      <c r="N612" s="15"/>
      <c r="O612" s="15"/>
      <c r="P612" s="15"/>
      <c r="Q612" s="15"/>
      <c r="R612" s="15"/>
    </row>
    <row r="613" spans="12:18" x14ac:dyDescent="0.2">
      <c r="L613" s="15"/>
      <c r="M613" s="15"/>
      <c r="N613" s="15"/>
      <c r="O613" s="15"/>
      <c r="P613" s="15"/>
      <c r="Q613" s="15"/>
      <c r="R613" s="15"/>
    </row>
    <row r="614" spans="12:18" x14ac:dyDescent="0.2">
      <c r="L614" s="15"/>
      <c r="M614" s="15"/>
      <c r="N614" s="15"/>
      <c r="O614" s="15"/>
      <c r="P614" s="15"/>
      <c r="Q614" s="15"/>
      <c r="R614" s="15"/>
    </row>
    <row r="615" spans="12:18" x14ac:dyDescent="0.2">
      <c r="L615" s="15"/>
      <c r="M615" s="15"/>
      <c r="N615" s="15"/>
      <c r="O615" s="15"/>
      <c r="P615" s="15"/>
      <c r="Q615" s="15"/>
      <c r="R615" s="15"/>
    </row>
    <row r="616" spans="12:18" x14ac:dyDescent="0.2">
      <c r="L616" s="15"/>
      <c r="M616" s="15"/>
      <c r="N616" s="15"/>
      <c r="O616" s="15"/>
      <c r="P616" s="15"/>
      <c r="Q616" s="15"/>
      <c r="R616" s="15"/>
    </row>
    <row r="617" spans="12:18" x14ac:dyDescent="0.2">
      <c r="L617" s="15"/>
      <c r="M617" s="15"/>
      <c r="N617" s="15"/>
      <c r="O617" s="15"/>
      <c r="P617" s="15"/>
      <c r="Q617" s="15"/>
      <c r="R617" s="15"/>
    </row>
    <row r="618" spans="12:18" x14ac:dyDescent="0.2">
      <c r="L618" s="15"/>
      <c r="M618" s="15"/>
      <c r="N618" s="15"/>
      <c r="O618" s="15"/>
      <c r="P618" s="15"/>
      <c r="Q618" s="15"/>
      <c r="R618" s="15"/>
    </row>
    <row r="619" spans="12:18" x14ac:dyDescent="0.2">
      <c r="L619" s="15"/>
      <c r="M619" s="15"/>
      <c r="N619" s="15"/>
      <c r="O619" s="15"/>
      <c r="P619" s="15"/>
      <c r="Q619" s="15"/>
      <c r="R619" s="15"/>
    </row>
    <row r="620" spans="12:18" x14ac:dyDescent="0.2">
      <c r="L620" s="15"/>
      <c r="M620" s="15"/>
      <c r="N620" s="15"/>
      <c r="O620" s="15"/>
      <c r="P620" s="15"/>
      <c r="Q620" s="15"/>
      <c r="R620" s="15"/>
    </row>
    <row r="621" spans="12:18" x14ac:dyDescent="0.2">
      <c r="L621" s="15"/>
      <c r="M621" s="15"/>
      <c r="N621" s="15"/>
      <c r="O621" s="15"/>
      <c r="P621" s="15"/>
      <c r="Q621" s="15"/>
      <c r="R621" s="15"/>
    </row>
    <row r="622" spans="12:18" x14ac:dyDescent="0.2">
      <c r="L622" s="15"/>
      <c r="M622" s="15"/>
      <c r="N622" s="15"/>
      <c r="O622" s="15"/>
      <c r="P622" s="15"/>
      <c r="Q622" s="15"/>
      <c r="R622" s="15"/>
    </row>
    <row r="623" spans="12:18" x14ac:dyDescent="0.2">
      <c r="L623" s="15"/>
      <c r="M623" s="15"/>
      <c r="N623" s="15"/>
      <c r="O623" s="15"/>
      <c r="P623" s="15"/>
      <c r="Q623" s="15"/>
      <c r="R623" s="15"/>
    </row>
    <row r="624" spans="12:18" x14ac:dyDescent="0.2">
      <c r="L624" s="15"/>
      <c r="M624" s="15"/>
      <c r="N624" s="15"/>
      <c r="O624" s="15"/>
      <c r="P624" s="15"/>
      <c r="Q624" s="15"/>
      <c r="R624" s="15"/>
    </row>
    <row r="625" spans="12:18" x14ac:dyDescent="0.2">
      <c r="L625" s="15"/>
      <c r="M625" s="15"/>
      <c r="N625" s="15"/>
      <c r="O625" s="15"/>
      <c r="P625" s="15"/>
      <c r="Q625" s="15"/>
      <c r="R625" s="15"/>
    </row>
    <row r="626" spans="12:18" x14ac:dyDescent="0.2">
      <c r="L626" s="15"/>
      <c r="M626" s="15"/>
      <c r="N626" s="15"/>
      <c r="O626" s="15"/>
      <c r="P626" s="15"/>
      <c r="Q626" s="15"/>
      <c r="R626" s="15"/>
    </row>
    <row r="627" spans="12:18" x14ac:dyDescent="0.2">
      <c r="L627" s="15"/>
      <c r="M627" s="15"/>
      <c r="N627" s="15"/>
      <c r="O627" s="15"/>
      <c r="P627" s="15"/>
      <c r="Q627" s="15"/>
      <c r="R627" s="15"/>
    </row>
    <row r="628" spans="12:18" x14ac:dyDescent="0.2">
      <c r="L628" s="15"/>
      <c r="M628" s="15"/>
      <c r="N628" s="15"/>
      <c r="O628" s="15"/>
      <c r="P628" s="15"/>
      <c r="Q628" s="15"/>
      <c r="R628" s="15"/>
    </row>
    <row r="629" spans="12:18" x14ac:dyDescent="0.2">
      <c r="L629" s="15"/>
      <c r="M629" s="15"/>
      <c r="N629" s="15"/>
      <c r="O629" s="15"/>
      <c r="P629" s="15"/>
      <c r="Q629" s="15"/>
      <c r="R629" s="15"/>
    </row>
    <row r="630" spans="12:18" x14ac:dyDescent="0.2">
      <c r="L630" s="15"/>
      <c r="M630" s="15"/>
      <c r="N630" s="15"/>
      <c r="O630" s="15"/>
      <c r="P630" s="15"/>
      <c r="Q630" s="15"/>
      <c r="R630" s="15"/>
    </row>
    <row r="631" spans="12:18" x14ac:dyDescent="0.2">
      <c r="L631" s="15"/>
      <c r="M631" s="15"/>
      <c r="N631" s="15"/>
      <c r="O631" s="15"/>
      <c r="P631" s="15"/>
      <c r="Q631" s="15"/>
      <c r="R631" s="15"/>
    </row>
    <row r="632" spans="12:18" x14ac:dyDescent="0.2">
      <c r="L632" s="15"/>
      <c r="M632" s="15"/>
      <c r="N632" s="15"/>
      <c r="O632" s="15"/>
      <c r="P632" s="15"/>
      <c r="Q632" s="15"/>
      <c r="R632" s="15"/>
    </row>
    <row r="633" spans="12:18" x14ac:dyDescent="0.2">
      <c r="L633" s="15"/>
      <c r="M633" s="15"/>
      <c r="N633" s="15"/>
      <c r="O633" s="15"/>
      <c r="P633" s="15"/>
      <c r="Q633" s="15"/>
      <c r="R633" s="15"/>
    </row>
    <row r="634" spans="12:18" x14ac:dyDescent="0.2">
      <c r="L634" s="15"/>
      <c r="M634" s="15"/>
      <c r="N634" s="15"/>
      <c r="O634" s="15"/>
      <c r="P634" s="15"/>
      <c r="Q634" s="15"/>
      <c r="R634" s="15"/>
    </row>
    <row r="635" spans="12:18" x14ac:dyDescent="0.2">
      <c r="L635" s="15"/>
      <c r="M635" s="15"/>
      <c r="N635" s="15"/>
      <c r="O635" s="15"/>
      <c r="P635" s="15"/>
      <c r="Q635" s="15"/>
      <c r="R635" s="15"/>
    </row>
    <row r="636" spans="12:18" x14ac:dyDescent="0.2">
      <c r="L636" s="15"/>
      <c r="M636" s="15"/>
      <c r="N636" s="15"/>
      <c r="O636" s="15"/>
      <c r="P636" s="15"/>
      <c r="Q636" s="15"/>
      <c r="R636" s="15"/>
    </row>
    <row r="637" spans="12:18" x14ac:dyDescent="0.2">
      <c r="L637" s="15"/>
      <c r="M637" s="15"/>
      <c r="N637" s="15"/>
      <c r="O637" s="15"/>
      <c r="P637" s="15"/>
      <c r="Q637" s="15"/>
      <c r="R637" s="15"/>
    </row>
    <row r="638" spans="12:18" x14ac:dyDescent="0.2">
      <c r="L638" s="15"/>
      <c r="M638" s="15"/>
      <c r="N638" s="15"/>
      <c r="O638" s="15"/>
      <c r="P638" s="15"/>
      <c r="Q638" s="15"/>
      <c r="R638" s="15"/>
    </row>
    <row r="639" spans="12:18" x14ac:dyDescent="0.2">
      <c r="L639" s="15"/>
      <c r="M639" s="15"/>
      <c r="N639" s="15"/>
      <c r="O639" s="15"/>
      <c r="P639" s="15"/>
      <c r="Q639" s="15"/>
      <c r="R639" s="15"/>
    </row>
    <row r="640" spans="12:18" x14ac:dyDescent="0.2">
      <c r="L640" s="15"/>
      <c r="M640" s="15"/>
      <c r="N640" s="15"/>
      <c r="O640" s="15"/>
      <c r="P640" s="15"/>
      <c r="Q640" s="15"/>
      <c r="R640" s="15"/>
    </row>
    <row r="641" spans="12:18" x14ac:dyDescent="0.2">
      <c r="L641" s="15"/>
      <c r="M641" s="15"/>
      <c r="N641" s="15"/>
      <c r="O641" s="15"/>
      <c r="P641" s="15"/>
      <c r="Q641" s="15"/>
      <c r="R641" s="15"/>
    </row>
    <row r="642" spans="12:18" x14ac:dyDescent="0.2">
      <c r="L642" s="15"/>
      <c r="M642" s="15"/>
      <c r="N642" s="15"/>
      <c r="O642" s="15"/>
      <c r="P642" s="15"/>
      <c r="Q642" s="15"/>
      <c r="R642" s="15"/>
    </row>
    <row r="643" spans="12:18" x14ac:dyDescent="0.2">
      <c r="L643" s="15"/>
      <c r="M643" s="15"/>
      <c r="N643" s="15"/>
      <c r="O643" s="15"/>
      <c r="P643" s="15"/>
      <c r="Q643" s="15"/>
      <c r="R643" s="15"/>
    </row>
    <row r="644" spans="12:18" x14ac:dyDescent="0.2">
      <c r="L644" s="15"/>
      <c r="M644" s="15"/>
      <c r="N644" s="15"/>
      <c r="O644" s="15"/>
      <c r="P644" s="15"/>
      <c r="Q644" s="15"/>
      <c r="R644" s="15"/>
    </row>
    <row r="645" spans="12:18" x14ac:dyDescent="0.2">
      <c r="L645" s="15"/>
      <c r="M645" s="15"/>
      <c r="N645" s="15"/>
      <c r="O645" s="15"/>
      <c r="P645" s="15"/>
      <c r="Q645" s="15"/>
      <c r="R645" s="15"/>
    </row>
    <row r="646" spans="12:18" x14ac:dyDescent="0.2">
      <c r="L646" s="15"/>
      <c r="M646" s="15"/>
      <c r="N646" s="15"/>
      <c r="O646" s="15"/>
      <c r="P646" s="15"/>
      <c r="Q646" s="15"/>
      <c r="R646" s="15"/>
    </row>
    <row r="647" spans="12:18" x14ac:dyDescent="0.2">
      <c r="L647" s="15"/>
      <c r="M647" s="15"/>
      <c r="N647" s="15"/>
      <c r="O647" s="15"/>
      <c r="P647" s="15"/>
      <c r="Q647" s="15"/>
      <c r="R647" s="15"/>
    </row>
    <row r="648" spans="12:18" x14ac:dyDescent="0.2">
      <c r="L648" s="15"/>
      <c r="M648" s="15"/>
      <c r="N648" s="15"/>
      <c r="O648" s="15"/>
      <c r="P648" s="15"/>
      <c r="Q648" s="15"/>
      <c r="R648" s="15"/>
    </row>
    <row r="649" spans="12:18" x14ac:dyDescent="0.2">
      <c r="L649" s="15"/>
      <c r="M649" s="15"/>
      <c r="N649" s="15"/>
      <c r="O649" s="15"/>
      <c r="P649" s="15"/>
      <c r="Q649" s="15"/>
      <c r="R649" s="15"/>
    </row>
    <row r="650" spans="12:18" x14ac:dyDescent="0.2">
      <c r="L650" s="15"/>
      <c r="M650" s="15"/>
      <c r="N650" s="15"/>
      <c r="O650" s="15"/>
      <c r="P650" s="15"/>
      <c r="Q650" s="15"/>
      <c r="R650" s="15"/>
    </row>
    <row r="651" spans="12:18" x14ac:dyDescent="0.2">
      <c r="L651" s="15"/>
      <c r="M651" s="15"/>
      <c r="N651" s="15"/>
      <c r="O651" s="15"/>
      <c r="P651" s="15"/>
      <c r="Q651" s="15"/>
      <c r="R651" s="15"/>
    </row>
    <row r="652" spans="12:18" x14ac:dyDescent="0.2">
      <c r="L652" s="15"/>
      <c r="M652" s="15"/>
      <c r="N652" s="15"/>
      <c r="O652" s="15"/>
      <c r="P652" s="15"/>
      <c r="Q652" s="15"/>
      <c r="R652" s="15"/>
    </row>
    <row r="653" spans="12:18" x14ac:dyDescent="0.2">
      <c r="L653" s="15"/>
      <c r="M653" s="15"/>
      <c r="N653" s="15"/>
      <c r="O653" s="15"/>
      <c r="P653" s="15"/>
      <c r="Q653" s="15"/>
      <c r="R653" s="15"/>
    </row>
    <row r="654" spans="12:18" x14ac:dyDescent="0.2">
      <c r="L654" s="15"/>
      <c r="M654" s="15"/>
      <c r="N654" s="15"/>
      <c r="O654" s="15"/>
      <c r="P654" s="15"/>
      <c r="Q654" s="15"/>
      <c r="R654" s="15"/>
    </row>
    <row r="655" spans="12:18" x14ac:dyDescent="0.2">
      <c r="L655" s="15"/>
      <c r="M655" s="15"/>
      <c r="N655" s="15"/>
      <c r="O655" s="15"/>
      <c r="P655" s="15"/>
      <c r="Q655" s="15"/>
      <c r="R655" s="15"/>
    </row>
    <row r="656" spans="12:18" x14ac:dyDescent="0.2">
      <c r="L656" s="15"/>
      <c r="M656" s="15"/>
      <c r="N656" s="15"/>
      <c r="O656" s="15"/>
      <c r="P656" s="15"/>
      <c r="Q656" s="15"/>
      <c r="R656" s="15"/>
    </row>
    <row r="657" spans="12:18" x14ac:dyDescent="0.2">
      <c r="L657" s="15"/>
      <c r="M657" s="15"/>
      <c r="N657" s="15"/>
      <c r="O657" s="15"/>
      <c r="P657" s="15"/>
      <c r="Q657" s="15"/>
      <c r="R657" s="15"/>
    </row>
    <row r="658" spans="12:18" x14ac:dyDescent="0.2">
      <c r="L658" s="15"/>
      <c r="M658" s="15"/>
      <c r="N658" s="15"/>
      <c r="O658" s="15"/>
      <c r="P658" s="15"/>
      <c r="Q658" s="15"/>
      <c r="R658" s="15"/>
    </row>
    <row r="659" spans="12:18" x14ac:dyDescent="0.2">
      <c r="L659" s="15"/>
      <c r="M659" s="15"/>
      <c r="N659" s="15"/>
      <c r="O659" s="15"/>
      <c r="P659" s="15"/>
      <c r="Q659" s="15"/>
      <c r="R659" s="15"/>
    </row>
    <row r="660" spans="12:18" x14ac:dyDescent="0.2">
      <c r="L660" s="15"/>
      <c r="M660" s="15"/>
      <c r="N660" s="15"/>
      <c r="O660" s="15"/>
      <c r="P660" s="15"/>
      <c r="Q660" s="15"/>
      <c r="R660" s="15"/>
    </row>
    <row r="661" spans="12:18" x14ac:dyDescent="0.2">
      <c r="L661" s="15"/>
      <c r="M661" s="15"/>
      <c r="N661" s="15"/>
      <c r="O661" s="15"/>
      <c r="P661" s="15"/>
      <c r="Q661" s="15"/>
      <c r="R661" s="15"/>
    </row>
    <row r="662" spans="12:18" x14ac:dyDescent="0.2">
      <c r="L662" s="15"/>
      <c r="M662" s="15"/>
      <c r="N662" s="15"/>
      <c r="O662" s="15"/>
      <c r="P662" s="15"/>
      <c r="Q662" s="15"/>
      <c r="R662" s="15"/>
    </row>
    <row r="663" spans="12:18" x14ac:dyDescent="0.2">
      <c r="L663" s="15"/>
      <c r="M663" s="15"/>
      <c r="N663" s="15"/>
      <c r="O663" s="15"/>
      <c r="P663" s="15"/>
      <c r="Q663" s="15"/>
      <c r="R663" s="15"/>
    </row>
    <row r="664" spans="12:18" x14ac:dyDescent="0.2">
      <c r="L664" s="15"/>
      <c r="M664" s="15"/>
      <c r="N664" s="15"/>
      <c r="O664" s="15"/>
      <c r="P664" s="15"/>
      <c r="Q664" s="15"/>
      <c r="R664" s="15"/>
    </row>
    <row r="665" spans="12:18" x14ac:dyDescent="0.2">
      <c r="L665" s="15"/>
      <c r="M665" s="15"/>
      <c r="N665" s="15"/>
      <c r="O665" s="15"/>
      <c r="P665" s="15"/>
      <c r="Q665" s="15"/>
      <c r="R665" s="15"/>
    </row>
    <row r="666" spans="12:18" x14ac:dyDescent="0.2">
      <c r="L666" s="15"/>
      <c r="M666" s="15"/>
      <c r="N666" s="15"/>
      <c r="O666" s="15"/>
      <c r="P666" s="15"/>
      <c r="Q666" s="15"/>
      <c r="R666" s="15"/>
    </row>
    <row r="667" spans="12:18" x14ac:dyDescent="0.2">
      <c r="L667" s="15"/>
      <c r="M667" s="15"/>
      <c r="N667" s="15"/>
      <c r="O667" s="15"/>
      <c r="P667" s="15"/>
      <c r="Q667" s="15"/>
      <c r="R667" s="15"/>
    </row>
    <row r="668" spans="12:18" x14ac:dyDescent="0.2">
      <c r="L668" s="15"/>
      <c r="M668" s="15"/>
      <c r="N668" s="15"/>
      <c r="O668" s="15"/>
      <c r="P668" s="15"/>
      <c r="Q668" s="15"/>
      <c r="R668" s="15"/>
    </row>
    <row r="669" spans="12:18" x14ac:dyDescent="0.2">
      <c r="L669" s="15"/>
      <c r="M669" s="15"/>
      <c r="N669" s="15"/>
      <c r="O669" s="15"/>
      <c r="P669" s="15"/>
      <c r="Q669" s="15"/>
      <c r="R669" s="15"/>
    </row>
    <row r="670" spans="12:18" x14ac:dyDescent="0.2">
      <c r="L670" s="15"/>
      <c r="M670" s="15"/>
      <c r="N670" s="15"/>
      <c r="O670" s="15"/>
      <c r="P670" s="15"/>
      <c r="Q670" s="15"/>
      <c r="R670" s="15"/>
    </row>
    <row r="671" spans="12:18" x14ac:dyDescent="0.2">
      <c r="L671" s="15"/>
      <c r="M671" s="15"/>
      <c r="N671" s="15"/>
      <c r="O671" s="15"/>
      <c r="P671" s="15"/>
      <c r="Q671" s="15"/>
      <c r="R671" s="15"/>
    </row>
    <row r="672" spans="12:18" x14ac:dyDescent="0.2">
      <c r="L672" s="15"/>
      <c r="M672" s="15"/>
      <c r="N672" s="15"/>
      <c r="O672" s="15"/>
      <c r="P672" s="15"/>
      <c r="Q672" s="15"/>
      <c r="R672" s="15"/>
    </row>
    <row r="673" spans="12:18" x14ac:dyDescent="0.2">
      <c r="L673" s="15"/>
      <c r="M673" s="15"/>
      <c r="N673" s="15"/>
      <c r="O673" s="15"/>
      <c r="P673" s="15"/>
      <c r="Q673" s="15"/>
      <c r="R673" s="15"/>
    </row>
    <row r="674" spans="12:18" x14ac:dyDescent="0.2">
      <c r="L674" s="15"/>
      <c r="M674" s="15"/>
      <c r="N674" s="15"/>
      <c r="O674" s="15"/>
      <c r="P674" s="15"/>
      <c r="Q674" s="15"/>
      <c r="R674" s="15"/>
    </row>
    <row r="675" spans="12:18" x14ac:dyDescent="0.2">
      <c r="L675" s="15"/>
      <c r="M675" s="15"/>
      <c r="N675" s="15"/>
      <c r="O675" s="15"/>
      <c r="P675" s="15"/>
      <c r="Q675" s="15"/>
      <c r="R675" s="15"/>
    </row>
    <row r="676" spans="12:18" x14ac:dyDescent="0.2">
      <c r="L676" s="15"/>
      <c r="M676" s="15"/>
      <c r="N676" s="15"/>
      <c r="O676" s="15"/>
      <c r="P676" s="15"/>
      <c r="Q676" s="15"/>
      <c r="R676" s="15"/>
    </row>
    <row r="677" spans="12:18" x14ac:dyDescent="0.2">
      <c r="L677" s="15"/>
      <c r="M677" s="15"/>
      <c r="N677" s="15"/>
      <c r="O677" s="15"/>
      <c r="P677" s="15"/>
      <c r="Q677" s="15"/>
      <c r="R677" s="15"/>
    </row>
    <row r="678" spans="12:18" x14ac:dyDescent="0.2">
      <c r="L678" s="15"/>
      <c r="M678" s="15"/>
      <c r="N678" s="15"/>
      <c r="O678" s="15"/>
      <c r="P678" s="15"/>
      <c r="Q678" s="15"/>
      <c r="R678" s="15"/>
    </row>
    <row r="679" spans="12:18" x14ac:dyDescent="0.2">
      <c r="L679" s="15"/>
      <c r="M679" s="15"/>
      <c r="N679" s="15"/>
      <c r="O679" s="15"/>
      <c r="P679" s="15"/>
      <c r="Q679" s="15"/>
      <c r="R679" s="15"/>
    </row>
    <row r="680" spans="12:18" x14ac:dyDescent="0.2">
      <c r="L680" s="15"/>
      <c r="M680" s="15"/>
      <c r="N680" s="15"/>
      <c r="O680" s="15"/>
      <c r="P680" s="15"/>
      <c r="Q680" s="15"/>
      <c r="R680" s="15"/>
    </row>
    <row r="681" spans="12:18" x14ac:dyDescent="0.2">
      <c r="L681" s="15"/>
      <c r="M681" s="15"/>
      <c r="N681" s="15"/>
      <c r="O681" s="15"/>
      <c r="P681" s="15"/>
      <c r="Q681" s="15"/>
      <c r="R681" s="15"/>
    </row>
    <row r="682" spans="12:18" x14ac:dyDescent="0.2">
      <c r="L682" s="15"/>
      <c r="M682" s="15"/>
      <c r="N682" s="15"/>
      <c r="O682" s="15"/>
      <c r="P682" s="15"/>
      <c r="Q682" s="15"/>
      <c r="R682" s="15"/>
    </row>
    <row r="683" spans="12:18" x14ac:dyDescent="0.2">
      <c r="L683" s="15"/>
      <c r="M683" s="15"/>
      <c r="N683" s="15"/>
      <c r="O683" s="15"/>
      <c r="P683" s="15"/>
      <c r="Q683" s="15"/>
      <c r="R683" s="15"/>
    </row>
    <row r="684" spans="12:18" x14ac:dyDescent="0.2">
      <c r="L684" s="15"/>
      <c r="M684" s="15"/>
      <c r="N684" s="15"/>
      <c r="O684" s="15"/>
      <c r="P684" s="15"/>
      <c r="Q684" s="15"/>
      <c r="R684" s="15"/>
    </row>
    <row r="685" spans="12:18" x14ac:dyDescent="0.2">
      <c r="L685" s="15"/>
      <c r="M685" s="15"/>
      <c r="N685" s="15"/>
      <c r="O685" s="15"/>
      <c r="P685" s="15"/>
      <c r="Q685" s="15"/>
      <c r="R685" s="15"/>
    </row>
    <row r="686" spans="12:18" x14ac:dyDescent="0.2">
      <c r="L686" s="15"/>
      <c r="M686" s="15"/>
      <c r="N686" s="15"/>
      <c r="O686" s="15"/>
      <c r="P686" s="15"/>
      <c r="Q686" s="15"/>
      <c r="R686" s="15"/>
    </row>
    <row r="687" spans="12:18" x14ac:dyDescent="0.2">
      <c r="L687" s="15"/>
      <c r="M687" s="15"/>
      <c r="N687" s="15"/>
      <c r="O687" s="15"/>
      <c r="P687" s="15"/>
      <c r="Q687" s="15"/>
      <c r="R687" s="15"/>
    </row>
    <row r="688" spans="12:18" x14ac:dyDescent="0.2">
      <c r="L688" s="15"/>
      <c r="M688" s="15"/>
      <c r="N688" s="15"/>
      <c r="O688" s="15"/>
      <c r="P688" s="15"/>
      <c r="Q688" s="15"/>
      <c r="R688" s="15"/>
    </row>
    <row r="689" spans="12:18" x14ac:dyDescent="0.2">
      <c r="L689" s="15"/>
      <c r="M689" s="15"/>
      <c r="N689" s="15"/>
      <c r="O689" s="15"/>
      <c r="P689" s="15"/>
      <c r="Q689" s="15"/>
      <c r="R689" s="15"/>
    </row>
    <row r="690" spans="12:18" x14ac:dyDescent="0.2">
      <c r="L690" s="15"/>
      <c r="M690" s="15"/>
      <c r="N690" s="15"/>
      <c r="O690" s="15"/>
      <c r="P690" s="15"/>
      <c r="Q690" s="15"/>
      <c r="R690" s="15"/>
    </row>
    <row r="691" spans="12:18" x14ac:dyDescent="0.2">
      <c r="L691" s="15"/>
      <c r="M691" s="15"/>
      <c r="N691" s="15"/>
      <c r="O691" s="15"/>
      <c r="P691" s="15"/>
      <c r="Q691" s="15"/>
      <c r="R691" s="15"/>
    </row>
    <row r="692" spans="12:18" x14ac:dyDescent="0.2">
      <c r="L692" s="15"/>
      <c r="M692" s="15"/>
      <c r="N692" s="15"/>
      <c r="O692" s="15"/>
      <c r="P692" s="15"/>
      <c r="Q692" s="15"/>
      <c r="R692" s="15"/>
    </row>
    <row r="693" spans="12:18" x14ac:dyDescent="0.2">
      <c r="L693" s="15"/>
      <c r="M693" s="15"/>
      <c r="N693" s="15"/>
      <c r="O693" s="15"/>
      <c r="P693" s="15"/>
      <c r="Q693" s="15"/>
      <c r="R693" s="15"/>
    </row>
    <row r="694" spans="12:18" x14ac:dyDescent="0.2">
      <c r="L694" s="15"/>
      <c r="M694" s="15"/>
      <c r="N694" s="15"/>
      <c r="O694" s="15"/>
      <c r="P694" s="15"/>
      <c r="Q694" s="15"/>
      <c r="R694" s="15"/>
    </row>
    <row r="695" spans="12:18" x14ac:dyDescent="0.2">
      <c r="L695" s="15"/>
      <c r="M695" s="15"/>
      <c r="N695" s="15"/>
      <c r="O695" s="15"/>
      <c r="P695" s="15"/>
      <c r="Q695" s="15"/>
      <c r="R695" s="15"/>
    </row>
    <row r="696" spans="12:18" x14ac:dyDescent="0.2">
      <c r="L696" s="15"/>
      <c r="M696" s="15"/>
      <c r="N696" s="15"/>
      <c r="O696" s="15"/>
      <c r="P696" s="15"/>
      <c r="Q696" s="15"/>
      <c r="R696" s="15"/>
    </row>
    <row r="697" spans="12:18" x14ac:dyDescent="0.2">
      <c r="L697" s="15"/>
      <c r="M697" s="15"/>
      <c r="N697" s="15"/>
      <c r="O697" s="15"/>
      <c r="P697" s="15"/>
      <c r="Q697" s="15"/>
      <c r="R697" s="15"/>
    </row>
    <row r="698" spans="12:18" x14ac:dyDescent="0.2">
      <c r="L698" s="15"/>
      <c r="M698" s="15"/>
      <c r="N698" s="15"/>
      <c r="O698" s="15"/>
      <c r="P698" s="15"/>
      <c r="Q698" s="15"/>
      <c r="R698" s="15"/>
    </row>
    <row r="699" spans="12:18" x14ac:dyDescent="0.2">
      <c r="L699" s="15"/>
      <c r="M699" s="15"/>
      <c r="N699" s="15"/>
      <c r="O699" s="15"/>
      <c r="P699" s="15"/>
      <c r="Q699" s="15"/>
      <c r="R699" s="15"/>
    </row>
    <row r="700" spans="12:18" x14ac:dyDescent="0.2">
      <c r="L700" s="15"/>
      <c r="M700" s="15"/>
      <c r="N700" s="15"/>
      <c r="O700" s="15"/>
      <c r="P700" s="15"/>
      <c r="Q700" s="15"/>
      <c r="R700" s="15"/>
    </row>
    <row r="701" spans="12:18" x14ac:dyDescent="0.2">
      <c r="L701" s="15"/>
      <c r="M701" s="15"/>
      <c r="N701" s="15"/>
      <c r="O701" s="15"/>
      <c r="P701" s="15"/>
      <c r="Q701" s="15"/>
      <c r="R701" s="15"/>
    </row>
    <row r="702" spans="12:18" x14ac:dyDescent="0.2">
      <c r="L702" s="15"/>
      <c r="M702" s="15"/>
      <c r="N702" s="15"/>
      <c r="O702" s="15"/>
      <c r="P702" s="15"/>
      <c r="Q702" s="15"/>
      <c r="R702" s="15"/>
    </row>
    <row r="703" spans="12:18" x14ac:dyDescent="0.2">
      <c r="L703" s="15"/>
      <c r="M703" s="15"/>
      <c r="N703" s="15"/>
      <c r="O703" s="15"/>
      <c r="P703" s="15"/>
      <c r="Q703" s="15"/>
      <c r="R703" s="15"/>
    </row>
    <row r="704" spans="12:18" x14ac:dyDescent="0.2">
      <c r="L704" s="15"/>
      <c r="M704" s="15"/>
      <c r="N704" s="15"/>
      <c r="O704" s="15"/>
      <c r="P704" s="15"/>
      <c r="Q704" s="15"/>
      <c r="R704" s="15"/>
    </row>
    <row r="705" spans="12:18" x14ac:dyDescent="0.2">
      <c r="L705" s="15"/>
      <c r="M705" s="15"/>
      <c r="N705" s="15"/>
      <c r="O705" s="15"/>
      <c r="P705" s="15"/>
      <c r="Q705" s="15"/>
      <c r="R705" s="15"/>
    </row>
    <row r="706" spans="12:18" x14ac:dyDescent="0.2">
      <c r="L706" s="15"/>
      <c r="M706" s="15"/>
      <c r="N706" s="15"/>
      <c r="O706" s="15"/>
      <c r="P706" s="15"/>
      <c r="Q706" s="15"/>
      <c r="R706" s="15"/>
    </row>
    <row r="707" spans="12:18" x14ac:dyDescent="0.2">
      <c r="L707" s="15"/>
      <c r="M707" s="15"/>
      <c r="N707" s="15"/>
      <c r="O707" s="15"/>
      <c r="P707" s="15"/>
      <c r="Q707" s="15"/>
      <c r="R707" s="15"/>
    </row>
    <row r="708" spans="12:18" x14ac:dyDescent="0.2">
      <c r="L708" s="15"/>
      <c r="M708" s="15"/>
      <c r="N708" s="15"/>
      <c r="O708" s="15"/>
      <c r="P708" s="15"/>
      <c r="Q708" s="15"/>
      <c r="R708" s="15"/>
    </row>
    <row r="709" spans="12:18" x14ac:dyDescent="0.2">
      <c r="L709" s="15"/>
      <c r="M709" s="15"/>
      <c r="N709" s="15"/>
      <c r="O709" s="15"/>
      <c r="P709" s="15"/>
      <c r="Q709" s="15"/>
      <c r="R709" s="15"/>
    </row>
    <row r="710" spans="12:18" x14ac:dyDescent="0.2">
      <c r="L710" s="15"/>
      <c r="M710" s="15"/>
      <c r="N710" s="15"/>
      <c r="O710" s="15"/>
      <c r="P710" s="15"/>
      <c r="Q710" s="15"/>
      <c r="R710" s="15"/>
    </row>
    <row r="711" spans="12:18" x14ac:dyDescent="0.2">
      <c r="L711" s="15"/>
      <c r="M711" s="15"/>
      <c r="N711" s="15"/>
      <c r="O711" s="15"/>
      <c r="P711" s="15"/>
      <c r="Q711" s="15"/>
      <c r="R711" s="15"/>
    </row>
    <row r="712" spans="12:18" x14ac:dyDescent="0.2">
      <c r="L712" s="15"/>
      <c r="M712" s="15"/>
      <c r="N712" s="15"/>
      <c r="O712" s="15"/>
      <c r="P712" s="15"/>
      <c r="Q712" s="15"/>
      <c r="R712" s="15"/>
    </row>
    <row r="713" spans="12:18" x14ac:dyDescent="0.2">
      <c r="L713" s="15"/>
      <c r="M713" s="15"/>
      <c r="N713" s="15"/>
      <c r="O713" s="15"/>
      <c r="P713" s="15"/>
      <c r="Q713" s="15"/>
      <c r="R713" s="15"/>
    </row>
    <row r="714" spans="12:18" x14ac:dyDescent="0.2">
      <c r="L714" s="15"/>
      <c r="M714" s="15"/>
      <c r="N714" s="15"/>
      <c r="O714" s="15"/>
      <c r="P714" s="15"/>
      <c r="Q714" s="15"/>
      <c r="R714" s="15"/>
    </row>
    <row r="715" spans="12:18" x14ac:dyDescent="0.2">
      <c r="L715" s="15"/>
      <c r="M715" s="15"/>
      <c r="N715" s="15"/>
      <c r="O715" s="15"/>
      <c r="P715" s="15"/>
      <c r="Q715" s="15"/>
      <c r="R715" s="15"/>
    </row>
    <row r="716" spans="12:18" x14ac:dyDescent="0.2">
      <c r="L716" s="15"/>
      <c r="M716" s="15"/>
      <c r="N716" s="15"/>
      <c r="O716" s="15"/>
      <c r="P716" s="15"/>
      <c r="Q716" s="15"/>
      <c r="R716" s="15"/>
    </row>
    <row r="717" spans="12:18" x14ac:dyDescent="0.2">
      <c r="L717" s="15"/>
      <c r="M717" s="15"/>
      <c r="N717" s="15"/>
      <c r="O717" s="15"/>
      <c r="P717" s="15"/>
      <c r="Q717" s="15"/>
      <c r="R717" s="15"/>
    </row>
    <row r="718" spans="12:18" x14ac:dyDescent="0.2">
      <c r="L718" s="15"/>
      <c r="M718" s="15"/>
      <c r="N718" s="15"/>
      <c r="O718" s="15"/>
      <c r="P718" s="15"/>
      <c r="Q718" s="15"/>
      <c r="R718" s="15"/>
    </row>
    <row r="719" spans="12:18" x14ac:dyDescent="0.2">
      <c r="L719" s="15"/>
      <c r="M719" s="15"/>
      <c r="N719" s="15"/>
      <c r="O719" s="15"/>
      <c r="P719" s="15"/>
      <c r="Q719" s="15"/>
      <c r="R719" s="15"/>
    </row>
    <row r="720" spans="12:18" x14ac:dyDescent="0.2">
      <c r="L720" s="15"/>
      <c r="M720" s="15"/>
      <c r="N720" s="15"/>
      <c r="O720" s="15"/>
      <c r="P720" s="15"/>
      <c r="Q720" s="15"/>
      <c r="R720" s="15"/>
    </row>
    <row r="721" spans="12:18" x14ac:dyDescent="0.2">
      <c r="L721" s="15"/>
      <c r="M721" s="15"/>
      <c r="N721" s="15"/>
      <c r="O721" s="15"/>
      <c r="P721" s="15"/>
      <c r="Q721" s="15"/>
      <c r="R721" s="15"/>
    </row>
    <row r="722" spans="12:18" x14ac:dyDescent="0.2">
      <c r="L722" s="15"/>
      <c r="M722" s="15"/>
      <c r="N722" s="15"/>
      <c r="O722" s="15"/>
      <c r="P722" s="15"/>
      <c r="Q722" s="15"/>
      <c r="R722" s="15"/>
    </row>
    <row r="723" spans="12:18" x14ac:dyDescent="0.2">
      <c r="L723" s="15"/>
      <c r="M723" s="15"/>
      <c r="N723" s="15"/>
      <c r="O723" s="15"/>
      <c r="P723" s="15"/>
      <c r="Q723" s="15"/>
      <c r="R723" s="15"/>
    </row>
    <row r="724" spans="12:18" x14ac:dyDescent="0.2">
      <c r="L724" s="15"/>
      <c r="M724" s="15"/>
      <c r="N724" s="15"/>
      <c r="O724" s="15"/>
      <c r="P724" s="15"/>
      <c r="Q724" s="15"/>
      <c r="R724" s="15"/>
    </row>
    <row r="725" spans="12:18" x14ac:dyDescent="0.2">
      <c r="L725" s="15"/>
      <c r="M725" s="15"/>
      <c r="N725" s="15"/>
      <c r="O725" s="15"/>
      <c r="P725" s="15"/>
      <c r="Q725" s="15"/>
      <c r="R725" s="15"/>
    </row>
    <row r="726" spans="12:18" x14ac:dyDescent="0.2">
      <c r="L726" s="15"/>
      <c r="M726" s="15"/>
      <c r="N726" s="15"/>
      <c r="O726" s="15"/>
      <c r="P726" s="15"/>
      <c r="Q726" s="15"/>
      <c r="R726" s="15"/>
    </row>
    <row r="727" spans="12:18" x14ac:dyDescent="0.2">
      <c r="L727" s="15"/>
      <c r="M727" s="15"/>
      <c r="N727" s="15"/>
      <c r="O727" s="15"/>
      <c r="P727" s="15"/>
      <c r="Q727" s="15"/>
      <c r="R727" s="15"/>
    </row>
    <row r="728" spans="12:18" x14ac:dyDescent="0.2">
      <c r="L728" s="15"/>
      <c r="M728" s="15"/>
      <c r="N728" s="15"/>
      <c r="O728" s="15"/>
      <c r="P728" s="15"/>
      <c r="Q728" s="15"/>
      <c r="R728" s="15"/>
    </row>
    <row r="729" spans="12:18" x14ac:dyDescent="0.2">
      <c r="L729" s="15"/>
      <c r="M729" s="15"/>
      <c r="N729" s="15"/>
      <c r="O729" s="15"/>
      <c r="P729" s="15"/>
      <c r="Q729" s="15"/>
      <c r="R729" s="15"/>
    </row>
    <row r="730" spans="12:18" x14ac:dyDescent="0.2">
      <c r="L730" s="15"/>
      <c r="M730" s="15"/>
      <c r="N730" s="15"/>
      <c r="O730" s="15"/>
      <c r="P730" s="15"/>
      <c r="Q730" s="15"/>
      <c r="R730" s="15"/>
    </row>
    <row r="731" spans="12:18" x14ac:dyDescent="0.2">
      <c r="L731" s="15"/>
      <c r="M731" s="15"/>
      <c r="N731" s="15"/>
      <c r="O731" s="15"/>
      <c r="P731" s="15"/>
      <c r="Q731" s="15"/>
      <c r="R731" s="15"/>
    </row>
    <row r="732" spans="12:18" x14ac:dyDescent="0.2">
      <c r="L732" s="15"/>
      <c r="M732" s="15"/>
      <c r="N732" s="15"/>
      <c r="O732" s="15"/>
      <c r="P732" s="15"/>
      <c r="Q732" s="15"/>
      <c r="R732" s="15"/>
    </row>
    <row r="733" spans="12:18" x14ac:dyDescent="0.2">
      <c r="L733" s="15"/>
      <c r="M733" s="15"/>
      <c r="N733" s="15"/>
      <c r="O733" s="15"/>
      <c r="P733" s="15"/>
      <c r="Q733" s="15"/>
      <c r="R733" s="15"/>
    </row>
    <row r="734" spans="12:18" x14ac:dyDescent="0.2">
      <c r="L734" s="15"/>
      <c r="M734" s="15"/>
      <c r="N734" s="15"/>
      <c r="O734" s="15"/>
      <c r="P734" s="15"/>
      <c r="Q734" s="15"/>
      <c r="R734" s="15"/>
    </row>
    <row r="735" spans="12:18" x14ac:dyDescent="0.2">
      <c r="L735" s="15"/>
      <c r="M735" s="15"/>
      <c r="N735" s="15"/>
      <c r="O735" s="15"/>
      <c r="P735" s="15"/>
      <c r="Q735" s="15"/>
      <c r="R735" s="15"/>
    </row>
    <row r="736" spans="12:18" x14ac:dyDescent="0.2">
      <c r="L736" s="15"/>
      <c r="M736" s="15"/>
      <c r="N736" s="15"/>
      <c r="O736" s="15"/>
      <c r="P736" s="15"/>
      <c r="Q736" s="15"/>
      <c r="R736" s="15"/>
    </row>
    <row r="737" spans="12:18" x14ac:dyDescent="0.2">
      <c r="L737" s="15"/>
      <c r="M737" s="15"/>
      <c r="N737" s="15"/>
      <c r="O737" s="15"/>
      <c r="P737" s="15"/>
      <c r="Q737" s="15"/>
      <c r="R737" s="15"/>
    </row>
    <row r="738" spans="12:18" x14ac:dyDescent="0.2">
      <c r="L738" s="15"/>
      <c r="M738" s="15"/>
      <c r="N738" s="15"/>
      <c r="O738" s="15"/>
      <c r="P738" s="15"/>
      <c r="Q738" s="15"/>
      <c r="R738" s="15"/>
    </row>
    <row r="739" spans="12:18" x14ac:dyDescent="0.2">
      <c r="L739" s="15"/>
      <c r="M739" s="15"/>
      <c r="N739" s="15"/>
      <c r="O739" s="15"/>
      <c r="P739" s="15"/>
      <c r="Q739" s="15"/>
      <c r="R739" s="15"/>
    </row>
    <row r="740" spans="12:18" x14ac:dyDescent="0.2">
      <c r="L740" s="15"/>
      <c r="M740" s="15"/>
      <c r="N740" s="15"/>
      <c r="O740" s="15"/>
      <c r="P740" s="15"/>
      <c r="Q740" s="15"/>
      <c r="R740" s="15"/>
    </row>
    <row r="741" spans="12:18" x14ac:dyDescent="0.2">
      <c r="L741" s="15"/>
      <c r="M741" s="15"/>
      <c r="N741" s="15"/>
      <c r="O741" s="15"/>
      <c r="P741" s="15"/>
      <c r="Q741" s="15"/>
      <c r="R741" s="15"/>
    </row>
    <row r="742" spans="12:18" x14ac:dyDescent="0.2">
      <c r="L742" s="15"/>
      <c r="M742" s="15"/>
      <c r="N742" s="15"/>
      <c r="O742" s="15"/>
      <c r="P742" s="15"/>
      <c r="Q742" s="15"/>
      <c r="R742" s="15"/>
    </row>
    <row r="743" spans="12:18" x14ac:dyDescent="0.2">
      <c r="L743" s="15"/>
      <c r="M743" s="15"/>
      <c r="N743" s="15"/>
      <c r="O743" s="15"/>
      <c r="P743" s="15"/>
      <c r="Q743" s="15"/>
      <c r="R743" s="15"/>
    </row>
    <row r="744" spans="12:18" x14ac:dyDescent="0.2">
      <c r="L744" s="15"/>
      <c r="M744" s="15"/>
      <c r="N744" s="15"/>
      <c r="O744" s="15"/>
      <c r="P744" s="15"/>
      <c r="Q744" s="15"/>
      <c r="R744" s="15"/>
    </row>
    <row r="745" spans="12:18" x14ac:dyDescent="0.2">
      <c r="L745" s="15"/>
      <c r="M745" s="15"/>
      <c r="N745" s="15"/>
      <c r="O745" s="15"/>
      <c r="P745" s="15"/>
      <c r="Q745" s="15"/>
      <c r="R745" s="15"/>
    </row>
    <row r="746" spans="12:18" x14ac:dyDescent="0.2">
      <c r="L746" s="15"/>
      <c r="M746" s="15"/>
      <c r="N746" s="15"/>
      <c r="O746" s="15"/>
      <c r="P746" s="15"/>
      <c r="Q746" s="15"/>
      <c r="R746" s="15"/>
    </row>
    <row r="747" spans="12:18" x14ac:dyDescent="0.2">
      <c r="L747" s="15"/>
      <c r="M747" s="15"/>
      <c r="N747" s="15"/>
      <c r="O747" s="15"/>
      <c r="P747" s="15"/>
      <c r="Q747" s="15"/>
      <c r="R747" s="15"/>
    </row>
    <row r="748" spans="12:18" x14ac:dyDescent="0.2">
      <c r="L748" s="15"/>
      <c r="M748" s="15"/>
      <c r="N748" s="15"/>
      <c r="O748" s="15"/>
      <c r="P748" s="15"/>
      <c r="Q748" s="15"/>
      <c r="R748" s="15"/>
    </row>
    <row r="749" spans="12:18" x14ac:dyDescent="0.2">
      <c r="L749" s="15"/>
      <c r="M749" s="15"/>
      <c r="N749" s="15"/>
      <c r="O749" s="15"/>
      <c r="P749" s="15"/>
      <c r="Q749" s="15"/>
      <c r="R749" s="15"/>
    </row>
    <row r="750" spans="12:18" x14ac:dyDescent="0.2">
      <c r="L750" s="15"/>
      <c r="M750" s="15"/>
      <c r="N750" s="15"/>
      <c r="O750" s="15"/>
      <c r="P750" s="15"/>
      <c r="Q750" s="15"/>
      <c r="R750" s="15"/>
    </row>
    <row r="751" spans="12:18" x14ac:dyDescent="0.2">
      <c r="L751" s="15"/>
      <c r="M751" s="15"/>
      <c r="N751" s="15"/>
      <c r="O751" s="15"/>
      <c r="P751" s="15"/>
      <c r="Q751" s="15"/>
      <c r="R751" s="15"/>
    </row>
    <row r="752" spans="12:18" x14ac:dyDescent="0.2">
      <c r="L752" s="15"/>
      <c r="M752" s="15"/>
      <c r="N752" s="15"/>
      <c r="O752" s="15"/>
      <c r="P752" s="15"/>
      <c r="Q752" s="15"/>
      <c r="R752" s="15"/>
    </row>
    <row r="753" spans="12:18" x14ac:dyDescent="0.2">
      <c r="L753" s="15"/>
      <c r="M753" s="15"/>
      <c r="N753" s="15"/>
      <c r="O753" s="15"/>
      <c r="P753" s="15"/>
      <c r="Q753" s="15"/>
      <c r="R753" s="15"/>
    </row>
    <row r="754" spans="12:18" x14ac:dyDescent="0.2">
      <c r="L754" s="15"/>
      <c r="M754" s="15"/>
      <c r="N754" s="15"/>
      <c r="O754" s="15"/>
      <c r="P754" s="15"/>
      <c r="Q754" s="15"/>
      <c r="R754" s="15"/>
    </row>
    <row r="755" spans="12:18" x14ac:dyDescent="0.2">
      <c r="L755" s="15"/>
      <c r="M755" s="15"/>
      <c r="N755" s="15"/>
      <c r="O755" s="15"/>
      <c r="P755" s="15"/>
      <c r="Q755" s="15"/>
      <c r="R755" s="15"/>
    </row>
    <row r="756" spans="12:18" x14ac:dyDescent="0.2">
      <c r="L756" s="15"/>
      <c r="M756" s="15"/>
      <c r="N756" s="15"/>
      <c r="O756" s="15"/>
      <c r="P756" s="15"/>
      <c r="Q756" s="15"/>
      <c r="R756" s="15"/>
    </row>
    <row r="757" spans="12:18" x14ac:dyDescent="0.2">
      <c r="L757" s="15"/>
      <c r="M757" s="15"/>
      <c r="N757" s="15"/>
      <c r="O757" s="15"/>
      <c r="P757" s="15"/>
      <c r="Q757" s="15"/>
      <c r="R757" s="15"/>
    </row>
    <row r="758" spans="12:18" x14ac:dyDescent="0.2">
      <c r="L758" s="15"/>
      <c r="M758" s="15"/>
      <c r="N758" s="15"/>
      <c r="O758" s="15"/>
      <c r="P758" s="15"/>
      <c r="Q758" s="15"/>
      <c r="R758" s="15"/>
    </row>
    <row r="759" spans="12:18" x14ac:dyDescent="0.2">
      <c r="L759" s="15"/>
      <c r="M759" s="15"/>
      <c r="N759" s="15"/>
      <c r="O759" s="15"/>
      <c r="P759" s="15"/>
      <c r="Q759" s="15"/>
      <c r="R759" s="15"/>
    </row>
    <row r="760" spans="12:18" x14ac:dyDescent="0.2">
      <c r="L760" s="15"/>
      <c r="M760" s="15"/>
      <c r="N760" s="15"/>
      <c r="O760" s="15"/>
      <c r="P760" s="15"/>
      <c r="Q760" s="15"/>
      <c r="R760" s="15"/>
    </row>
    <row r="761" spans="12:18" x14ac:dyDescent="0.2">
      <c r="L761" s="15"/>
      <c r="M761" s="15"/>
      <c r="N761" s="15"/>
      <c r="O761" s="15"/>
      <c r="P761" s="15"/>
      <c r="Q761" s="15"/>
      <c r="R761" s="15"/>
    </row>
    <row r="762" spans="12:18" x14ac:dyDescent="0.2">
      <c r="L762" s="15"/>
      <c r="M762" s="15"/>
      <c r="N762" s="15"/>
      <c r="O762" s="15"/>
      <c r="P762" s="15"/>
      <c r="Q762" s="15"/>
      <c r="R762" s="15"/>
    </row>
    <row r="763" spans="12:18" x14ac:dyDescent="0.2">
      <c r="L763" s="15"/>
      <c r="M763" s="15"/>
      <c r="N763" s="15"/>
      <c r="O763" s="15"/>
      <c r="P763" s="15"/>
      <c r="Q763" s="15"/>
      <c r="R763" s="15"/>
    </row>
    <row r="764" spans="12:18" x14ac:dyDescent="0.2">
      <c r="L764" s="15"/>
      <c r="M764" s="15"/>
      <c r="N764" s="15"/>
      <c r="O764" s="15"/>
      <c r="P764" s="15"/>
      <c r="Q764" s="15"/>
      <c r="R764" s="15"/>
    </row>
    <row r="765" spans="12:18" x14ac:dyDescent="0.2">
      <c r="L765" s="15"/>
      <c r="M765" s="15"/>
      <c r="N765" s="15"/>
      <c r="O765" s="15"/>
      <c r="P765" s="15"/>
      <c r="Q765" s="15"/>
      <c r="R765" s="15"/>
    </row>
    <row r="766" spans="12:18" x14ac:dyDescent="0.2">
      <c r="L766" s="15"/>
      <c r="M766" s="15"/>
      <c r="N766" s="15"/>
      <c r="O766" s="15"/>
      <c r="P766" s="15"/>
      <c r="Q766" s="15"/>
      <c r="R766" s="15"/>
    </row>
    <row r="767" spans="12:18" x14ac:dyDescent="0.2">
      <c r="L767" s="15"/>
      <c r="M767" s="15"/>
      <c r="N767" s="15"/>
      <c r="O767" s="15"/>
      <c r="P767" s="15"/>
      <c r="Q767" s="15"/>
      <c r="R767" s="15"/>
    </row>
    <row r="768" spans="12:18" x14ac:dyDescent="0.2">
      <c r="L768" s="15"/>
      <c r="M768" s="15"/>
      <c r="N768" s="15"/>
      <c r="O768" s="15"/>
      <c r="P768" s="15"/>
      <c r="Q768" s="15"/>
      <c r="R768" s="15"/>
    </row>
    <row r="769" spans="12:18" x14ac:dyDescent="0.2">
      <c r="L769" s="15"/>
      <c r="M769" s="15"/>
      <c r="N769" s="15"/>
      <c r="O769" s="15"/>
      <c r="P769" s="15"/>
      <c r="Q769" s="15"/>
      <c r="R769" s="15"/>
    </row>
    <row r="770" spans="12:18" x14ac:dyDescent="0.2">
      <c r="L770" s="15"/>
      <c r="M770" s="15"/>
      <c r="N770" s="15"/>
      <c r="O770" s="15"/>
      <c r="P770" s="15"/>
      <c r="Q770" s="15"/>
      <c r="R770" s="15"/>
    </row>
    <row r="771" spans="12:18" x14ac:dyDescent="0.2">
      <c r="L771" s="15"/>
      <c r="M771" s="15"/>
      <c r="N771" s="15"/>
      <c r="O771" s="15"/>
      <c r="P771" s="15"/>
      <c r="Q771" s="15"/>
      <c r="R771" s="15"/>
    </row>
    <row r="772" spans="12:18" x14ac:dyDescent="0.2">
      <c r="L772" s="15"/>
      <c r="M772" s="15"/>
      <c r="N772" s="15"/>
      <c r="O772" s="15"/>
      <c r="P772" s="15"/>
      <c r="Q772" s="15"/>
      <c r="R772" s="15"/>
    </row>
    <row r="773" spans="12:18" x14ac:dyDescent="0.2">
      <c r="L773" s="15"/>
      <c r="M773" s="15"/>
      <c r="N773" s="15"/>
      <c r="O773" s="15"/>
      <c r="P773" s="15"/>
      <c r="Q773" s="15"/>
      <c r="R773" s="15"/>
    </row>
    <row r="774" spans="12:18" x14ac:dyDescent="0.2">
      <c r="L774" s="15"/>
      <c r="M774" s="15"/>
      <c r="N774" s="15"/>
      <c r="O774" s="15"/>
      <c r="P774" s="15"/>
      <c r="Q774" s="15"/>
      <c r="R774" s="15"/>
    </row>
    <row r="775" spans="12:18" x14ac:dyDescent="0.2">
      <c r="L775" s="15"/>
      <c r="M775" s="15"/>
      <c r="N775" s="15"/>
      <c r="O775" s="15"/>
      <c r="P775" s="15"/>
      <c r="Q775" s="15"/>
      <c r="R775" s="15"/>
    </row>
    <row r="776" spans="12:18" x14ac:dyDescent="0.2">
      <c r="L776" s="15"/>
      <c r="M776" s="15"/>
      <c r="N776" s="15"/>
      <c r="O776" s="15"/>
      <c r="P776" s="15"/>
      <c r="Q776" s="15"/>
      <c r="R776" s="15"/>
    </row>
    <row r="777" spans="12:18" x14ac:dyDescent="0.2">
      <c r="L777" s="15"/>
      <c r="M777" s="15"/>
      <c r="N777" s="15"/>
      <c r="O777" s="15"/>
      <c r="P777" s="15"/>
      <c r="Q777" s="15"/>
      <c r="R777" s="15"/>
    </row>
    <row r="778" spans="12:18" x14ac:dyDescent="0.2">
      <c r="L778" s="15"/>
      <c r="M778" s="15"/>
      <c r="N778" s="15"/>
      <c r="O778" s="15"/>
      <c r="P778" s="15"/>
      <c r="Q778" s="15"/>
      <c r="R778" s="15"/>
    </row>
    <row r="779" spans="12:18" x14ac:dyDescent="0.2">
      <c r="L779" s="15"/>
      <c r="M779" s="15"/>
      <c r="N779" s="15"/>
      <c r="O779" s="15"/>
      <c r="P779" s="15"/>
      <c r="Q779" s="15"/>
      <c r="R779" s="15"/>
    </row>
    <row r="780" spans="12:18" x14ac:dyDescent="0.2">
      <c r="L780" s="15"/>
      <c r="M780" s="15"/>
      <c r="N780" s="15"/>
      <c r="O780" s="15"/>
      <c r="P780" s="15"/>
      <c r="Q780" s="15"/>
      <c r="R780" s="15"/>
    </row>
    <row r="781" spans="12:18" x14ac:dyDescent="0.2">
      <c r="L781" s="15"/>
      <c r="M781" s="15"/>
      <c r="N781" s="15"/>
      <c r="O781" s="15"/>
      <c r="P781" s="15"/>
      <c r="Q781" s="15"/>
      <c r="R781" s="15"/>
    </row>
    <row r="782" spans="12:18" x14ac:dyDescent="0.2">
      <c r="L782" s="15"/>
      <c r="M782" s="15"/>
      <c r="N782" s="15"/>
      <c r="O782" s="15"/>
      <c r="P782" s="15"/>
      <c r="Q782" s="15"/>
      <c r="R782" s="15"/>
    </row>
    <row r="783" spans="12:18" x14ac:dyDescent="0.2">
      <c r="L783" s="15"/>
      <c r="M783" s="15"/>
      <c r="N783" s="15"/>
      <c r="O783" s="15"/>
      <c r="P783" s="15"/>
      <c r="Q783" s="15"/>
      <c r="R783" s="15"/>
    </row>
    <row r="784" spans="12:18" x14ac:dyDescent="0.2">
      <c r="L784" s="15"/>
      <c r="M784" s="15"/>
      <c r="N784" s="15"/>
      <c r="O784" s="15"/>
      <c r="P784" s="15"/>
      <c r="Q784" s="15"/>
      <c r="R784" s="15"/>
    </row>
    <row r="785" spans="12:18" x14ac:dyDescent="0.2">
      <c r="L785" s="15"/>
      <c r="M785" s="15"/>
      <c r="N785" s="15"/>
      <c r="O785" s="15"/>
      <c r="P785" s="15"/>
      <c r="Q785" s="15"/>
      <c r="R785" s="15"/>
    </row>
    <row r="786" spans="12:18" x14ac:dyDescent="0.2">
      <c r="L786" s="15"/>
      <c r="M786" s="15"/>
      <c r="N786" s="15"/>
      <c r="O786" s="15"/>
      <c r="P786" s="15"/>
      <c r="Q786" s="15"/>
      <c r="R786" s="15"/>
    </row>
    <row r="787" spans="12:18" x14ac:dyDescent="0.2">
      <c r="L787" s="15"/>
      <c r="M787" s="15"/>
      <c r="N787" s="15"/>
      <c r="O787" s="15"/>
      <c r="P787" s="15"/>
      <c r="Q787" s="15"/>
      <c r="R787" s="15"/>
    </row>
    <row r="788" spans="12:18" x14ac:dyDescent="0.2">
      <c r="L788" s="15"/>
      <c r="M788" s="15"/>
      <c r="N788" s="15"/>
      <c r="O788" s="15"/>
      <c r="P788" s="15"/>
      <c r="Q788" s="15"/>
      <c r="R788" s="15"/>
    </row>
    <row r="789" spans="12:18" x14ac:dyDescent="0.2">
      <c r="L789" s="15"/>
      <c r="M789" s="15"/>
      <c r="N789" s="15"/>
      <c r="O789" s="15"/>
      <c r="P789" s="15"/>
      <c r="Q789" s="15"/>
      <c r="R789" s="15"/>
    </row>
    <row r="790" spans="12:18" x14ac:dyDescent="0.2">
      <c r="L790" s="15"/>
      <c r="M790" s="15"/>
      <c r="N790" s="15"/>
      <c r="O790" s="15"/>
      <c r="P790" s="15"/>
      <c r="Q790" s="15"/>
      <c r="R790" s="15"/>
    </row>
    <row r="791" spans="12:18" x14ac:dyDescent="0.2">
      <c r="L791" s="15"/>
      <c r="M791" s="15"/>
      <c r="N791" s="15"/>
      <c r="O791" s="15"/>
      <c r="P791" s="15"/>
      <c r="Q791" s="15"/>
      <c r="R791" s="15"/>
    </row>
    <row r="792" spans="12:18" x14ac:dyDescent="0.2">
      <c r="L792" s="15"/>
      <c r="M792" s="15"/>
      <c r="N792" s="15"/>
      <c r="O792" s="15"/>
      <c r="P792" s="15"/>
      <c r="Q792" s="15"/>
      <c r="R792" s="15"/>
    </row>
    <row r="793" spans="12:18" x14ac:dyDescent="0.2">
      <c r="L793" s="15"/>
      <c r="M793" s="15"/>
      <c r="N793" s="15"/>
      <c r="O793" s="15"/>
      <c r="P793" s="15"/>
      <c r="Q793" s="15"/>
      <c r="R793" s="15"/>
    </row>
    <row r="794" spans="12:18" x14ac:dyDescent="0.2">
      <c r="L794" s="15"/>
      <c r="M794" s="15"/>
      <c r="N794" s="15"/>
      <c r="O794" s="15"/>
      <c r="P794" s="15"/>
      <c r="Q794" s="15"/>
      <c r="R794" s="15"/>
    </row>
    <row r="795" spans="12:18" x14ac:dyDescent="0.2">
      <c r="L795" s="15"/>
      <c r="M795" s="15"/>
      <c r="N795" s="15"/>
      <c r="O795" s="15"/>
      <c r="P795" s="15"/>
      <c r="Q795" s="15"/>
      <c r="R795" s="15"/>
    </row>
    <row r="796" spans="12:18" x14ac:dyDescent="0.2">
      <c r="L796" s="15"/>
      <c r="M796" s="15"/>
      <c r="N796" s="15"/>
      <c r="O796" s="15"/>
      <c r="P796" s="15"/>
      <c r="Q796" s="15"/>
      <c r="R796" s="15"/>
    </row>
    <row r="797" spans="12:18" x14ac:dyDescent="0.2">
      <c r="L797" s="15"/>
      <c r="M797" s="15"/>
      <c r="N797" s="15"/>
      <c r="O797" s="15"/>
      <c r="P797" s="15"/>
      <c r="Q797" s="15"/>
      <c r="R797" s="15"/>
    </row>
    <row r="798" spans="12:18" x14ac:dyDescent="0.2">
      <c r="L798" s="15"/>
      <c r="M798" s="15"/>
      <c r="N798" s="15"/>
      <c r="O798" s="15"/>
      <c r="P798" s="15"/>
      <c r="Q798" s="15"/>
      <c r="R798" s="15"/>
    </row>
    <row r="799" spans="12:18" x14ac:dyDescent="0.2">
      <c r="L799" s="15"/>
      <c r="M799" s="15"/>
      <c r="N799" s="15"/>
      <c r="O799" s="15"/>
      <c r="P799" s="15"/>
      <c r="Q799" s="15"/>
      <c r="R799" s="15"/>
    </row>
    <row r="800" spans="12:18" x14ac:dyDescent="0.2">
      <c r="L800" s="15"/>
      <c r="M800" s="15"/>
      <c r="N800" s="15"/>
      <c r="O800" s="15"/>
      <c r="P800" s="15"/>
      <c r="Q800" s="15"/>
      <c r="R800" s="15"/>
    </row>
    <row r="801" spans="12:18" x14ac:dyDescent="0.2">
      <c r="L801" s="15"/>
      <c r="M801" s="15"/>
      <c r="N801" s="15"/>
      <c r="O801" s="15"/>
      <c r="P801" s="15"/>
      <c r="Q801" s="15"/>
      <c r="R801" s="15"/>
    </row>
    <row r="802" spans="12:18" x14ac:dyDescent="0.2">
      <c r="L802" s="15"/>
      <c r="M802" s="15"/>
      <c r="N802" s="15"/>
      <c r="O802" s="15"/>
      <c r="P802" s="15"/>
      <c r="Q802" s="15"/>
      <c r="R802" s="15"/>
    </row>
    <row r="803" spans="12:18" x14ac:dyDescent="0.2">
      <c r="L803" s="15"/>
      <c r="M803" s="15"/>
      <c r="N803" s="15"/>
      <c r="O803" s="15"/>
      <c r="P803" s="15"/>
      <c r="Q803" s="15"/>
      <c r="R803" s="15"/>
    </row>
    <row r="804" spans="12:18" x14ac:dyDescent="0.2">
      <c r="L804" s="15"/>
      <c r="M804" s="15"/>
      <c r="N804" s="15"/>
      <c r="O804" s="15"/>
      <c r="P804" s="15"/>
      <c r="Q804" s="15"/>
      <c r="R804" s="15"/>
    </row>
    <row r="805" spans="12:18" x14ac:dyDescent="0.2">
      <c r="L805" s="15"/>
      <c r="M805" s="15"/>
      <c r="N805" s="15"/>
      <c r="O805" s="15"/>
      <c r="P805" s="15"/>
      <c r="Q805" s="15"/>
      <c r="R805" s="15"/>
    </row>
    <row r="806" spans="12:18" x14ac:dyDescent="0.2">
      <c r="L806" s="15"/>
      <c r="M806" s="15"/>
      <c r="N806" s="15"/>
      <c r="O806" s="15"/>
      <c r="P806" s="15"/>
      <c r="Q806" s="15"/>
      <c r="R806" s="15"/>
    </row>
    <row r="807" spans="12:18" x14ac:dyDescent="0.2">
      <c r="L807" s="15"/>
      <c r="M807" s="15"/>
      <c r="N807" s="15"/>
      <c r="O807" s="15"/>
      <c r="P807" s="15"/>
      <c r="Q807" s="15"/>
      <c r="R807" s="15"/>
    </row>
    <row r="808" spans="12:18" x14ac:dyDescent="0.2">
      <c r="L808" s="15"/>
      <c r="M808" s="15"/>
      <c r="N808" s="15"/>
      <c r="O808" s="15"/>
      <c r="P808" s="15"/>
      <c r="Q808" s="15"/>
      <c r="R808" s="15"/>
    </row>
    <row r="809" spans="12:18" x14ac:dyDescent="0.2">
      <c r="L809" s="15"/>
      <c r="M809" s="15"/>
      <c r="N809" s="15"/>
      <c r="O809" s="15"/>
      <c r="P809" s="15"/>
      <c r="Q809" s="15"/>
      <c r="R809" s="15"/>
    </row>
    <row r="810" spans="12:18" x14ac:dyDescent="0.2">
      <c r="L810" s="15"/>
      <c r="M810" s="15"/>
      <c r="N810" s="15"/>
      <c r="O810" s="15"/>
      <c r="P810" s="15"/>
      <c r="Q810" s="15"/>
      <c r="R810" s="15"/>
    </row>
    <row r="811" spans="12:18" x14ac:dyDescent="0.2">
      <c r="L811" s="15"/>
      <c r="M811" s="15"/>
      <c r="N811" s="15"/>
      <c r="O811" s="15"/>
      <c r="P811" s="15"/>
      <c r="Q811" s="15"/>
      <c r="R811" s="15"/>
    </row>
    <row r="812" spans="12:18" x14ac:dyDescent="0.2">
      <c r="L812" s="15"/>
      <c r="M812" s="15"/>
      <c r="N812" s="15"/>
      <c r="O812" s="15"/>
      <c r="P812" s="15"/>
      <c r="Q812" s="15"/>
      <c r="R812" s="15"/>
    </row>
    <row r="813" spans="12:18" x14ac:dyDescent="0.2">
      <c r="L813" s="15"/>
      <c r="M813" s="15"/>
      <c r="N813" s="15"/>
      <c r="O813" s="15"/>
      <c r="P813" s="15"/>
      <c r="Q813" s="15"/>
      <c r="R813" s="15"/>
    </row>
    <row r="814" spans="12:18" x14ac:dyDescent="0.2">
      <c r="L814" s="15"/>
      <c r="M814" s="15"/>
      <c r="N814" s="15"/>
      <c r="O814" s="15"/>
      <c r="P814" s="15"/>
      <c r="Q814" s="15"/>
      <c r="R814" s="15"/>
    </row>
    <row r="815" spans="12:18" x14ac:dyDescent="0.2">
      <c r="L815" s="15"/>
      <c r="M815" s="15"/>
      <c r="N815" s="15"/>
      <c r="O815" s="15"/>
      <c r="P815" s="15"/>
      <c r="Q815" s="15"/>
      <c r="R815" s="15"/>
    </row>
    <row r="816" spans="12:18" x14ac:dyDescent="0.2">
      <c r="L816" s="15"/>
      <c r="M816" s="15"/>
      <c r="N816" s="15"/>
      <c r="O816" s="15"/>
      <c r="P816" s="15"/>
      <c r="Q816" s="15"/>
      <c r="R816" s="15"/>
    </row>
    <row r="817" spans="12:18" x14ac:dyDescent="0.2">
      <c r="L817" s="15"/>
      <c r="M817" s="15"/>
      <c r="N817" s="15"/>
      <c r="O817" s="15"/>
      <c r="P817" s="15"/>
      <c r="Q817" s="15"/>
      <c r="R817" s="15"/>
    </row>
    <row r="818" spans="12:18" x14ac:dyDescent="0.2">
      <c r="L818" s="15"/>
      <c r="M818" s="15"/>
      <c r="N818" s="15"/>
      <c r="O818" s="15"/>
      <c r="P818" s="15"/>
      <c r="Q818" s="15"/>
      <c r="R818" s="15"/>
    </row>
    <row r="819" spans="12:18" x14ac:dyDescent="0.2">
      <c r="L819" s="15"/>
      <c r="M819" s="15"/>
      <c r="N819" s="15"/>
      <c r="O819" s="15"/>
      <c r="P819" s="15"/>
      <c r="Q819" s="15"/>
      <c r="R819" s="15"/>
    </row>
    <row r="820" spans="12:18" x14ac:dyDescent="0.2">
      <c r="L820" s="15"/>
      <c r="M820" s="15"/>
      <c r="N820" s="15"/>
      <c r="O820" s="15"/>
      <c r="P820" s="15"/>
      <c r="Q820" s="15"/>
      <c r="R820" s="15"/>
    </row>
    <row r="821" spans="12:18" x14ac:dyDescent="0.2">
      <c r="L821" s="15"/>
      <c r="M821" s="15"/>
      <c r="N821" s="15"/>
      <c r="O821" s="15"/>
      <c r="P821" s="15"/>
      <c r="Q821" s="15"/>
      <c r="R821" s="15"/>
    </row>
    <row r="822" spans="12:18" x14ac:dyDescent="0.2">
      <c r="L822" s="15"/>
      <c r="M822" s="15"/>
      <c r="N822" s="15"/>
      <c r="O822" s="15"/>
      <c r="P822" s="15"/>
      <c r="Q822" s="15"/>
      <c r="R822" s="15"/>
    </row>
    <row r="823" spans="12:18" x14ac:dyDescent="0.2">
      <c r="L823" s="15"/>
      <c r="M823" s="15"/>
      <c r="N823" s="15"/>
      <c r="O823" s="15"/>
      <c r="P823" s="15"/>
      <c r="Q823" s="15"/>
      <c r="R823" s="15"/>
    </row>
    <row r="824" spans="12:18" x14ac:dyDescent="0.2">
      <c r="L824" s="15"/>
      <c r="M824" s="15"/>
      <c r="N824" s="15"/>
      <c r="O824" s="15"/>
      <c r="P824" s="15"/>
      <c r="Q824" s="15"/>
      <c r="R824" s="15"/>
    </row>
    <row r="825" spans="12:18" x14ac:dyDescent="0.2">
      <c r="L825" s="15"/>
      <c r="M825" s="15"/>
      <c r="N825" s="15"/>
      <c r="O825" s="15"/>
      <c r="P825" s="15"/>
      <c r="Q825" s="15"/>
      <c r="R825" s="15"/>
    </row>
    <row r="826" spans="12:18" x14ac:dyDescent="0.2">
      <c r="L826" s="15"/>
      <c r="M826" s="15"/>
      <c r="N826" s="15"/>
      <c r="O826" s="15"/>
      <c r="P826" s="15"/>
      <c r="Q826" s="15"/>
      <c r="R826" s="15"/>
    </row>
    <row r="827" spans="12:18" x14ac:dyDescent="0.2">
      <c r="L827" s="15"/>
      <c r="M827" s="15"/>
      <c r="N827" s="15"/>
      <c r="O827" s="15"/>
      <c r="P827" s="15"/>
      <c r="Q827" s="15"/>
      <c r="R827" s="15"/>
    </row>
    <row r="828" spans="12:18" x14ac:dyDescent="0.2">
      <c r="L828" s="15"/>
      <c r="M828" s="15"/>
      <c r="N828" s="15"/>
      <c r="O828" s="15"/>
      <c r="P828" s="15"/>
      <c r="Q828" s="15"/>
      <c r="R828" s="15"/>
    </row>
    <row r="829" spans="12:18" x14ac:dyDescent="0.2">
      <c r="L829" s="15"/>
      <c r="M829" s="15"/>
      <c r="N829" s="15"/>
      <c r="O829" s="15"/>
      <c r="P829" s="15"/>
      <c r="Q829" s="15"/>
      <c r="R829" s="15"/>
    </row>
    <row r="830" spans="12:18" x14ac:dyDescent="0.2">
      <c r="L830" s="15"/>
      <c r="M830" s="15"/>
      <c r="N830" s="15"/>
      <c r="O830" s="15"/>
      <c r="P830" s="15"/>
      <c r="Q830" s="15"/>
      <c r="R830" s="15"/>
    </row>
    <row r="831" spans="12:18" x14ac:dyDescent="0.2">
      <c r="L831" s="15"/>
      <c r="M831" s="15"/>
      <c r="N831" s="15"/>
      <c r="O831" s="15"/>
      <c r="P831" s="15"/>
      <c r="Q831" s="15"/>
      <c r="R831" s="15"/>
    </row>
    <row r="832" spans="12:18" x14ac:dyDescent="0.2">
      <c r="L832" s="15"/>
      <c r="M832" s="15"/>
      <c r="N832" s="15"/>
      <c r="O832" s="15"/>
      <c r="P832" s="15"/>
      <c r="Q832" s="15"/>
      <c r="R832" s="15"/>
    </row>
    <row r="833" spans="12:18" x14ac:dyDescent="0.2">
      <c r="L833" s="15"/>
      <c r="M833" s="15"/>
      <c r="N833" s="15"/>
      <c r="O833" s="15"/>
      <c r="P833" s="15"/>
      <c r="Q833" s="15"/>
      <c r="R833" s="15"/>
    </row>
    <row r="834" spans="12:18" x14ac:dyDescent="0.2">
      <c r="L834" s="15"/>
      <c r="M834" s="15"/>
      <c r="N834" s="15"/>
      <c r="O834" s="15"/>
      <c r="P834" s="15"/>
      <c r="Q834" s="15"/>
      <c r="R834" s="15"/>
    </row>
    <row r="835" spans="12:18" x14ac:dyDescent="0.2">
      <c r="L835" s="15"/>
      <c r="M835" s="15"/>
      <c r="N835" s="15"/>
      <c r="O835" s="15"/>
      <c r="P835" s="15"/>
      <c r="Q835" s="15"/>
      <c r="R835" s="15"/>
    </row>
    <row r="836" spans="12:18" x14ac:dyDescent="0.2">
      <c r="L836" s="15"/>
      <c r="M836" s="15"/>
      <c r="N836" s="15"/>
      <c r="O836" s="15"/>
      <c r="P836" s="15"/>
      <c r="Q836" s="15"/>
      <c r="R836" s="15"/>
    </row>
    <row r="837" spans="12:18" x14ac:dyDescent="0.2">
      <c r="L837" s="15"/>
      <c r="M837" s="15"/>
      <c r="N837" s="15"/>
      <c r="O837" s="15"/>
      <c r="P837" s="15"/>
      <c r="Q837" s="15"/>
      <c r="R837" s="15"/>
    </row>
    <row r="838" spans="12:18" x14ac:dyDescent="0.2">
      <c r="L838" s="15"/>
      <c r="M838" s="15"/>
      <c r="N838" s="15"/>
      <c r="O838" s="15"/>
      <c r="P838" s="15"/>
      <c r="Q838" s="15"/>
      <c r="R838" s="15"/>
    </row>
    <row r="839" spans="12:18" x14ac:dyDescent="0.2">
      <c r="L839" s="15"/>
      <c r="M839" s="15"/>
      <c r="N839" s="15"/>
      <c r="O839" s="15"/>
      <c r="P839" s="15"/>
      <c r="Q839" s="15"/>
      <c r="R839" s="15"/>
    </row>
    <row r="840" spans="12:18" x14ac:dyDescent="0.2">
      <c r="L840" s="15"/>
      <c r="M840" s="15"/>
      <c r="N840" s="15"/>
      <c r="O840" s="15"/>
      <c r="P840" s="15"/>
      <c r="Q840" s="15"/>
      <c r="R840" s="15"/>
    </row>
    <row r="841" spans="12:18" x14ac:dyDescent="0.2">
      <c r="L841" s="15"/>
      <c r="M841" s="15"/>
      <c r="N841" s="15"/>
      <c r="O841" s="15"/>
      <c r="P841" s="15"/>
      <c r="Q841" s="15"/>
      <c r="R841" s="15"/>
    </row>
    <row r="842" spans="12:18" x14ac:dyDescent="0.2">
      <c r="L842" s="15"/>
      <c r="M842" s="15"/>
      <c r="N842" s="15"/>
      <c r="O842" s="15"/>
      <c r="P842" s="15"/>
      <c r="Q842" s="15"/>
      <c r="R842" s="15"/>
    </row>
    <row r="843" spans="12:18" x14ac:dyDescent="0.2">
      <c r="L843" s="15"/>
      <c r="M843" s="15"/>
      <c r="N843" s="15"/>
      <c r="O843" s="15"/>
      <c r="P843" s="15"/>
      <c r="Q843" s="15"/>
      <c r="R843" s="15"/>
    </row>
    <row r="844" spans="12:18" x14ac:dyDescent="0.2">
      <c r="L844" s="15"/>
      <c r="M844" s="15"/>
      <c r="N844" s="15"/>
      <c r="O844" s="15"/>
      <c r="P844" s="15"/>
      <c r="Q844" s="15"/>
      <c r="R844" s="15"/>
    </row>
    <row r="845" spans="12:18" x14ac:dyDescent="0.2">
      <c r="L845" s="15"/>
      <c r="M845" s="15"/>
      <c r="N845" s="15"/>
      <c r="O845" s="15"/>
      <c r="P845" s="15"/>
      <c r="Q845" s="15"/>
      <c r="R845" s="15"/>
    </row>
    <row r="846" spans="12:18" x14ac:dyDescent="0.2">
      <c r="L846" s="15"/>
      <c r="M846" s="15"/>
      <c r="N846" s="15"/>
      <c r="O846" s="15"/>
      <c r="P846" s="15"/>
      <c r="Q846" s="15"/>
      <c r="R846" s="15"/>
    </row>
    <row r="847" spans="12:18" x14ac:dyDescent="0.2">
      <c r="L847" s="15"/>
      <c r="M847" s="15"/>
      <c r="N847" s="15"/>
      <c r="O847" s="15"/>
      <c r="P847" s="15"/>
      <c r="Q847" s="15"/>
      <c r="R847" s="15"/>
    </row>
    <row r="848" spans="12:18" x14ac:dyDescent="0.2">
      <c r="L848" s="15"/>
      <c r="M848" s="15"/>
      <c r="N848" s="15"/>
      <c r="O848" s="15"/>
      <c r="P848" s="15"/>
      <c r="Q848" s="15"/>
      <c r="R848" s="15"/>
    </row>
    <row r="849" spans="12:18" x14ac:dyDescent="0.2">
      <c r="L849" s="15"/>
      <c r="M849" s="15"/>
      <c r="N849" s="15"/>
      <c r="O849" s="15"/>
      <c r="P849" s="15"/>
      <c r="Q849" s="15"/>
      <c r="R849" s="15"/>
    </row>
    <row r="850" spans="12:18" x14ac:dyDescent="0.2">
      <c r="L850" s="15"/>
      <c r="M850" s="15"/>
      <c r="N850" s="15"/>
      <c r="O850" s="15"/>
      <c r="P850" s="15"/>
      <c r="Q850" s="15"/>
      <c r="R850" s="15"/>
    </row>
    <row r="851" spans="12:18" x14ac:dyDescent="0.2">
      <c r="L851" s="15"/>
      <c r="M851" s="15"/>
      <c r="N851" s="15"/>
      <c r="O851" s="15"/>
      <c r="P851" s="15"/>
      <c r="Q851" s="15"/>
      <c r="R851" s="15"/>
    </row>
    <row r="852" spans="12:18" x14ac:dyDescent="0.2">
      <c r="L852" s="15"/>
      <c r="M852" s="15"/>
      <c r="N852" s="15"/>
      <c r="O852" s="15"/>
      <c r="P852" s="15"/>
      <c r="Q852" s="15"/>
      <c r="R852" s="15"/>
    </row>
    <row r="853" spans="12:18" x14ac:dyDescent="0.2">
      <c r="L853" s="15"/>
      <c r="M853" s="15"/>
      <c r="N853" s="15"/>
      <c r="O853" s="15"/>
      <c r="P853" s="15"/>
      <c r="Q853" s="15"/>
      <c r="R853" s="15"/>
    </row>
    <row r="854" spans="12:18" x14ac:dyDescent="0.2">
      <c r="L854" s="15"/>
      <c r="M854" s="15"/>
      <c r="N854" s="15"/>
      <c r="O854" s="15"/>
      <c r="P854" s="15"/>
      <c r="Q854" s="15"/>
      <c r="R854" s="15"/>
    </row>
    <row r="855" spans="12:18" x14ac:dyDescent="0.2">
      <c r="L855" s="15"/>
      <c r="M855" s="15"/>
      <c r="N855" s="15"/>
      <c r="O855" s="15"/>
      <c r="P855" s="15"/>
      <c r="Q855" s="15"/>
      <c r="R855" s="15"/>
    </row>
    <row r="856" spans="12:18" x14ac:dyDescent="0.2">
      <c r="L856" s="15"/>
      <c r="M856" s="15"/>
      <c r="N856" s="15"/>
      <c r="O856" s="15"/>
      <c r="P856" s="15"/>
      <c r="Q856" s="15"/>
      <c r="R856" s="15"/>
    </row>
    <row r="857" spans="12:18" x14ac:dyDescent="0.2">
      <c r="L857" s="15"/>
      <c r="M857" s="15"/>
      <c r="N857" s="15"/>
      <c r="O857" s="15"/>
      <c r="P857" s="15"/>
      <c r="Q857" s="15"/>
      <c r="R857" s="15"/>
    </row>
    <row r="858" spans="12:18" x14ac:dyDescent="0.2">
      <c r="L858" s="15"/>
      <c r="M858" s="15"/>
      <c r="N858" s="15"/>
      <c r="O858" s="15"/>
      <c r="P858" s="15"/>
      <c r="Q858" s="15"/>
      <c r="R858" s="15"/>
    </row>
    <row r="859" spans="12:18" x14ac:dyDescent="0.2">
      <c r="L859" s="15"/>
      <c r="M859" s="15"/>
      <c r="N859" s="15"/>
      <c r="O859" s="15"/>
      <c r="P859" s="15"/>
      <c r="Q859" s="15"/>
      <c r="R859" s="15"/>
    </row>
    <row r="860" spans="12:18" x14ac:dyDescent="0.2">
      <c r="L860" s="15"/>
      <c r="M860" s="15"/>
      <c r="N860" s="15"/>
      <c r="O860" s="15"/>
      <c r="P860" s="15"/>
      <c r="Q860" s="15"/>
      <c r="R860" s="15"/>
    </row>
    <row r="861" spans="12:18" x14ac:dyDescent="0.2">
      <c r="L861" s="15"/>
      <c r="M861" s="15"/>
      <c r="N861" s="15"/>
      <c r="O861" s="15"/>
      <c r="P861" s="15"/>
      <c r="Q861" s="15"/>
      <c r="R861" s="15"/>
    </row>
    <row r="862" spans="12:18" x14ac:dyDescent="0.2">
      <c r="L862" s="15"/>
      <c r="M862" s="15"/>
      <c r="N862" s="15"/>
      <c r="O862" s="15"/>
      <c r="P862" s="15"/>
      <c r="Q862" s="15"/>
      <c r="R862" s="15"/>
    </row>
    <row r="863" spans="12:18" x14ac:dyDescent="0.2">
      <c r="L863" s="15"/>
      <c r="M863" s="15"/>
      <c r="N863" s="15"/>
      <c r="O863" s="15"/>
      <c r="P863" s="15"/>
      <c r="Q863" s="15"/>
      <c r="R863" s="15"/>
    </row>
    <row r="864" spans="12:18" x14ac:dyDescent="0.2">
      <c r="L864" s="15"/>
      <c r="M864" s="15"/>
      <c r="N864" s="15"/>
      <c r="O864" s="15"/>
      <c r="P864" s="15"/>
      <c r="Q864" s="15"/>
      <c r="R864" s="15"/>
    </row>
    <row r="865" spans="12:18" x14ac:dyDescent="0.2">
      <c r="L865" s="15"/>
      <c r="M865" s="15"/>
      <c r="N865" s="15"/>
      <c r="O865" s="15"/>
      <c r="P865" s="15"/>
      <c r="Q865" s="15"/>
      <c r="R865" s="15"/>
    </row>
    <row r="866" spans="12:18" x14ac:dyDescent="0.2">
      <c r="L866" s="15"/>
      <c r="M866" s="15"/>
      <c r="N866" s="15"/>
      <c r="O866" s="15"/>
      <c r="P866" s="15"/>
      <c r="Q866" s="15"/>
      <c r="R866" s="15"/>
    </row>
    <row r="867" spans="12:18" x14ac:dyDescent="0.2">
      <c r="L867" s="15"/>
      <c r="M867" s="15"/>
      <c r="N867" s="15"/>
      <c r="O867" s="15"/>
      <c r="P867" s="15"/>
      <c r="Q867" s="15"/>
      <c r="R867" s="15"/>
    </row>
    <row r="868" spans="12:18" x14ac:dyDescent="0.2">
      <c r="L868" s="15"/>
      <c r="M868" s="15"/>
      <c r="N868" s="15"/>
      <c r="O868" s="15"/>
      <c r="P868" s="15"/>
      <c r="Q868" s="15"/>
      <c r="R868" s="15"/>
    </row>
    <row r="869" spans="12:18" x14ac:dyDescent="0.2">
      <c r="L869" s="15"/>
      <c r="M869" s="15"/>
      <c r="N869" s="15"/>
      <c r="O869" s="15"/>
      <c r="P869" s="15"/>
      <c r="Q869" s="15"/>
      <c r="R869" s="15"/>
    </row>
    <row r="870" spans="12:18" x14ac:dyDescent="0.2">
      <c r="L870" s="15"/>
      <c r="M870" s="15"/>
      <c r="N870" s="15"/>
      <c r="O870" s="15"/>
      <c r="P870" s="15"/>
      <c r="Q870" s="15"/>
      <c r="R870" s="15"/>
    </row>
    <row r="871" spans="12:18" x14ac:dyDescent="0.2">
      <c r="L871" s="15"/>
      <c r="M871" s="15"/>
      <c r="N871" s="15"/>
      <c r="O871" s="15"/>
      <c r="P871" s="15"/>
      <c r="Q871" s="15"/>
      <c r="R871" s="15"/>
    </row>
    <row r="872" spans="12:18" x14ac:dyDescent="0.2">
      <c r="L872" s="15"/>
      <c r="M872" s="15"/>
      <c r="N872" s="15"/>
      <c r="O872" s="15"/>
      <c r="P872" s="15"/>
      <c r="Q872" s="15"/>
      <c r="R872" s="15"/>
    </row>
    <row r="873" spans="12:18" x14ac:dyDescent="0.2">
      <c r="L873" s="15"/>
      <c r="M873" s="15"/>
      <c r="N873" s="15"/>
      <c r="O873" s="15"/>
      <c r="P873" s="15"/>
      <c r="Q873" s="15"/>
      <c r="R873" s="15"/>
    </row>
    <row r="874" spans="12:18" x14ac:dyDescent="0.2">
      <c r="L874" s="15"/>
      <c r="M874" s="15"/>
      <c r="N874" s="15"/>
      <c r="O874" s="15"/>
      <c r="P874" s="15"/>
      <c r="Q874" s="15"/>
      <c r="R874" s="15"/>
    </row>
    <row r="875" spans="12:18" x14ac:dyDescent="0.2">
      <c r="L875" s="15"/>
      <c r="M875" s="15"/>
      <c r="N875" s="15"/>
      <c r="O875" s="15"/>
      <c r="P875" s="15"/>
      <c r="Q875" s="15"/>
      <c r="R875" s="15"/>
    </row>
    <row r="876" spans="12:18" x14ac:dyDescent="0.2">
      <c r="L876" s="15"/>
      <c r="M876" s="15"/>
      <c r="N876" s="15"/>
      <c r="O876" s="15"/>
      <c r="P876" s="15"/>
      <c r="Q876" s="15"/>
      <c r="R876" s="15"/>
    </row>
    <row r="877" spans="12:18" x14ac:dyDescent="0.2">
      <c r="L877" s="15"/>
      <c r="M877" s="15"/>
      <c r="N877" s="15"/>
      <c r="O877" s="15"/>
      <c r="P877" s="15"/>
      <c r="Q877" s="15"/>
      <c r="R877" s="15"/>
    </row>
    <row r="878" spans="12:18" x14ac:dyDescent="0.2">
      <c r="L878" s="15"/>
      <c r="M878" s="15"/>
      <c r="N878" s="15"/>
      <c r="O878" s="15"/>
      <c r="P878" s="15"/>
      <c r="Q878" s="15"/>
      <c r="R878" s="15"/>
    </row>
    <row r="879" spans="12:18" x14ac:dyDescent="0.2">
      <c r="L879" s="15"/>
      <c r="M879" s="15"/>
      <c r="N879" s="15"/>
      <c r="O879" s="15"/>
      <c r="P879" s="15"/>
      <c r="Q879" s="15"/>
      <c r="R879" s="15"/>
    </row>
    <row r="880" spans="12:18" x14ac:dyDescent="0.2">
      <c r="L880" s="15"/>
      <c r="M880" s="15"/>
      <c r="N880" s="15"/>
      <c r="O880" s="15"/>
      <c r="P880" s="15"/>
      <c r="Q880" s="15"/>
      <c r="R880" s="15"/>
    </row>
    <row r="881" spans="12:18" x14ac:dyDescent="0.2">
      <c r="L881" s="15"/>
      <c r="M881" s="15"/>
      <c r="N881" s="15"/>
      <c r="O881" s="15"/>
      <c r="P881" s="15"/>
      <c r="Q881" s="15"/>
      <c r="R881" s="15"/>
    </row>
    <row r="882" spans="12:18" x14ac:dyDescent="0.2">
      <c r="L882" s="15"/>
      <c r="M882" s="15"/>
      <c r="N882" s="15"/>
      <c r="O882" s="15"/>
      <c r="P882" s="15"/>
      <c r="Q882" s="15"/>
      <c r="R882" s="15"/>
    </row>
    <row r="883" spans="12:18" x14ac:dyDescent="0.2">
      <c r="L883" s="15"/>
      <c r="M883" s="15"/>
      <c r="N883" s="15"/>
      <c r="O883" s="15"/>
      <c r="P883" s="15"/>
      <c r="Q883" s="15"/>
      <c r="R883" s="15"/>
    </row>
    <row r="884" spans="12:18" x14ac:dyDescent="0.2">
      <c r="L884" s="15"/>
      <c r="M884" s="15"/>
      <c r="N884" s="15"/>
      <c r="O884" s="15"/>
      <c r="P884" s="15"/>
      <c r="Q884" s="15"/>
      <c r="R884" s="15"/>
    </row>
    <row r="885" spans="12:18" x14ac:dyDescent="0.2">
      <c r="L885" s="15"/>
      <c r="M885" s="15"/>
      <c r="N885" s="15"/>
      <c r="O885" s="15"/>
      <c r="P885" s="15"/>
      <c r="Q885" s="15"/>
      <c r="R885" s="15"/>
    </row>
    <row r="886" spans="12:18" x14ac:dyDescent="0.2">
      <c r="L886" s="15"/>
      <c r="M886" s="15"/>
      <c r="N886" s="15"/>
      <c r="O886" s="15"/>
      <c r="P886" s="15"/>
      <c r="Q886" s="15"/>
      <c r="R886" s="15"/>
    </row>
    <row r="887" spans="12:18" x14ac:dyDescent="0.2">
      <c r="L887" s="15"/>
      <c r="M887" s="15"/>
      <c r="N887" s="15"/>
      <c r="O887" s="15"/>
      <c r="P887" s="15"/>
      <c r="Q887" s="15"/>
      <c r="R887" s="15"/>
    </row>
    <row r="888" spans="12:18" x14ac:dyDescent="0.2">
      <c r="L888" s="15"/>
      <c r="M888" s="15"/>
      <c r="N888" s="15"/>
      <c r="O888" s="15"/>
      <c r="P888" s="15"/>
      <c r="Q888" s="15"/>
      <c r="R888" s="15"/>
    </row>
    <row r="889" spans="12:18" x14ac:dyDescent="0.2">
      <c r="L889" s="15"/>
      <c r="M889" s="15"/>
      <c r="N889" s="15"/>
      <c r="O889" s="15"/>
      <c r="P889" s="15"/>
      <c r="Q889" s="15"/>
      <c r="R889" s="15"/>
    </row>
    <row r="890" spans="12:18" x14ac:dyDescent="0.2">
      <c r="L890" s="15"/>
      <c r="M890" s="15"/>
      <c r="N890" s="15"/>
      <c r="O890" s="15"/>
      <c r="P890" s="15"/>
      <c r="Q890" s="15"/>
      <c r="R890" s="15"/>
    </row>
    <row r="891" spans="12:18" x14ac:dyDescent="0.2">
      <c r="L891" s="15"/>
      <c r="M891" s="15"/>
      <c r="N891" s="15"/>
      <c r="O891" s="15"/>
      <c r="P891" s="15"/>
      <c r="Q891" s="15"/>
      <c r="R891" s="15"/>
    </row>
    <row r="892" spans="12:18" x14ac:dyDescent="0.2">
      <c r="L892" s="15"/>
      <c r="M892" s="15"/>
      <c r="N892" s="15"/>
      <c r="O892" s="15"/>
      <c r="P892" s="15"/>
      <c r="Q892" s="15"/>
      <c r="R892" s="15"/>
    </row>
    <row r="893" spans="12:18" x14ac:dyDescent="0.2">
      <c r="L893" s="15"/>
      <c r="M893" s="15"/>
      <c r="N893" s="15"/>
      <c r="O893" s="15"/>
      <c r="P893" s="15"/>
      <c r="Q893" s="15"/>
      <c r="R893" s="15"/>
    </row>
    <row r="894" spans="12:18" x14ac:dyDescent="0.2">
      <c r="L894" s="15"/>
      <c r="M894" s="15"/>
      <c r="N894" s="15"/>
      <c r="O894" s="15"/>
      <c r="P894" s="15"/>
      <c r="Q894" s="15"/>
      <c r="R894" s="15"/>
    </row>
    <row r="895" spans="12:18" x14ac:dyDescent="0.2">
      <c r="L895" s="15"/>
      <c r="M895" s="15"/>
      <c r="N895" s="15"/>
      <c r="O895" s="15"/>
      <c r="P895" s="15"/>
      <c r="Q895" s="15"/>
      <c r="R895" s="15"/>
    </row>
    <row r="896" spans="12:18" x14ac:dyDescent="0.2">
      <c r="L896" s="15"/>
      <c r="M896" s="15"/>
      <c r="N896" s="15"/>
      <c r="O896" s="15"/>
      <c r="P896" s="15"/>
      <c r="Q896" s="15"/>
      <c r="R896" s="15"/>
    </row>
    <row r="897" spans="12:18" x14ac:dyDescent="0.2">
      <c r="L897" s="15"/>
      <c r="M897" s="15"/>
      <c r="N897" s="15"/>
      <c r="O897" s="15"/>
      <c r="P897" s="15"/>
      <c r="Q897" s="15"/>
      <c r="R897" s="15"/>
    </row>
    <row r="898" spans="12:18" x14ac:dyDescent="0.2">
      <c r="L898" s="15"/>
      <c r="M898" s="15"/>
      <c r="N898" s="15"/>
      <c r="O898" s="15"/>
      <c r="P898" s="15"/>
      <c r="Q898" s="15"/>
      <c r="R898" s="15"/>
    </row>
    <row r="899" spans="12:18" x14ac:dyDescent="0.2">
      <c r="L899" s="15"/>
      <c r="M899" s="15"/>
      <c r="N899" s="15"/>
      <c r="O899" s="15"/>
      <c r="P899" s="15"/>
      <c r="Q899" s="15"/>
      <c r="R899" s="15"/>
    </row>
    <row r="900" spans="12:18" x14ac:dyDescent="0.2">
      <c r="L900" s="15"/>
      <c r="M900" s="15"/>
      <c r="N900" s="15"/>
      <c r="O900" s="15"/>
      <c r="P900" s="15"/>
      <c r="Q900" s="15"/>
      <c r="R900" s="15"/>
    </row>
    <row r="901" spans="12:18" x14ac:dyDescent="0.2">
      <c r="L901" s="15"/>
      <c r="M901" s="15"/>
      <c r="N901" s="15"/>
      <c r="O901" s="15"/>
      <c r="P901" s="15"/>
      <c r="Q901" s="15"/>
      <c r="R901" s="15"/>
    </row>
    <row r="902" spans="12:18" x14ac:dyDescent="0.2">
      <c r="L902" s="15"/>
      <c r="M902" s="15"/>
      <c r="N902" s="15"/>
      <c r="O902" s="15"/>
      <c r="P902" s="15"/>
      <c r="Q902" s="15"/>
      <c r="R902" s="15"/>
    </row>
    <row r="903" spans="12:18" x14ac:dyDescent="0.2">
      <c r="L903" s="15"/>
      <c r="M903" s="15"/>
      <c r="N903" s="15"/>
      <c r="O903" s="15"/>
      <c r="P903" s="15"/>
      <c r="Q903" s="15"/>
      <c r="R903" s="15"/>
    </row>
    <row r="904" spans="12:18" x14ac:dyDescent="0.2">
      <c r="L904" s="15"/>
      <c r="M904" s="15"/>
      <c r="N904" s="15"/>
      <c r="O904" s="15"/>
      <c r="P904" s="15"/>
      <c r="Q904" s="15"/>
      <c r="R904" s="15"/>
    </row>
    <row r="905" spans="12:18" x14ac:dyDescent="0.2">
      <c r="L905" s="15"/>
      <c r="M905" s="15"/>
      <c r="N905" s="15"/>
      <c r="O905" s="15"/>
      <c r="P905" s="15"/>
      <c r="Q905" s="15"/>
      <c r="R905" s="15"/>
    </row>
    <row r="906" spans="12:18" x14ac:dyDescent="0.2">
      <c r="L906" s="15"/>
      <c r="M906" s="15"/>
      <c r="N906" s="15"/>
      <c r="O906" s="15"/>
      <c r="P906" s="15"/>
      <c r="Q906" s="15"/>
      <c r="R906" s="15"/>
    </row>
    <row r="907" spans="12:18" x14ac:dyDescent="0.2">
      <c r="L907" s="15"/>
      <c r="M907" s="15"/>
      <c r="N907" s="15"/>
      <c r="O907" s="15"/>
      <c r="P907" s="15"/>
      <c r="Q907" s="15"/>
      <c r="R907" s="15"/>
    </row>
    <row r="908" spans="12:18" x14ac:dyDescent="0.2">
      <c r="L908" s="15"/>
      <c r="M908" s="15"/>
      <c r="N908" s="15"/>
      <c r="O908" s="15"/>
      <c r="P908" s="15"/>
      <c r="Q908" s="15"/>
      <c r="R908" s="15"/>
    </row>
    <row r="909" spans="12:18" x14ac:dyDescent="0.2">
      <c r="L909" s="15"/>
      <c r="M909" s="15"/>
      <c r="N909" s="15"/>
      <c r="O909" s="15"/>
      <c r="P909" s="15"/>
      <c r="Q909" s="15"/>
      <c r="R909" s="15"/>
    </row>
    <row r="910" spans="12:18" x14ac:dyDescent="0.2">
      <c r="L910" s="15"/>
      <c r="M910" s="15"/>
      <c r="N910" s="15"/>
      <c r="O910" s="15"/>
      <c r="P910" s="15"/>
      <c r="Q910" s="15"/>
      <c r="R910" s="15"/>
    </row>
    <row r="911" spans="12:18" x14ac:dyDescent="0.2">
      <c r="L911" s="15"/>
      <c r="M911" s="15"/>
      <c r="N911" s="15"/>
      <c r="O911" s="15"/>
      <c r="P911" s="15"/>
      <c r="Q911" s="15"/>
      <c r="R911" s="15"/>
    </row>
    <row r="912" spans="12:18" x14ac:dyDescent="0.2">
      <c r="L912" s="15"/>
      <c r="M912" s="15"/>
      <c r="N912" s="15"/>
      <c r="O912" s="15"/>
      <c r="P912" s="15"/>
      <c r="Q912" s="15"/>
      <c r="R912" s="15"/>
    </row>
    <row r="913" spans="12:18" x14ac:dyDescent="0.2">
      <c r="L913" s="15"/>
      <c r="M913" s="15"/>
      <c r="N913" s="15"/>
      <c r="O913" s="15"/>
      <c r="P913" s="15"/>
      <c r="Q913" s="15"/>
      <c r="R913" s="15"/>
    </row>
    <row r="914" spans="12:18" x14ac:dyDescent="0.2">
      <c r="L914" s="15"/>
      <c r="M914" s="15"/>
      <c r="N914" s="15"/>
      <c r="O914" s="15"/>
      <c r="P914" s="15"/>
      <c r="Q914" s="15"/>
      <c r="R914" s="15"/>
    </row>
    <row r="915" spans="12:18" x14ac:dyDescent="0.2">
      <c r="L915" s="15"/>
      <c r="M915" s="15"/>
      <c r="N915" s="15"/>
      <c r="O915" s="15"/>
      <c r="P915" s="15"/>
      <c r="Q915" s="15"/>
      <c r="R915" s="15"/>
    </row>
    <row r="916" spans="12:18" x14ac:dyDescent="0.2">
      <c r="L916" s="15"/>
      <c r="M916" s="15"/>
      <c r="N916" s="15"/>
      <c r="O916" s="15"/>
      <c r="P916" s="15"/>
      <c r="Q916" s="15"/>
      <c r="R916" s="15"/>
    </row>
    <row r="917" spans="12:18" x14ac:dyDescent="0.2">
      <c r="L917" s="15"/>
      <c r="M917" s="15"/>
      <c r="N917" s="15"/>
      <c r="O917" s="15"/>
      <c r="P917" s="15"/>
      <c r="Q917" s="15"/>
      <c r="R917" s="15"/>
    </row>
    <row r="918" spans="12:18" x14ac:dyDescent="0.2">
      <c r="L918" s="15"/>
      <c r="M918" s="15"/>
      <c r="N918" s="15"/>
      <c r="O918" s="15"/>
      <c r="P918" s="15"/>
      <c r="Q918" s="15"/>
      <c r="R918" s="15"/>
    </row>
    <row r="919" spans="12:18" x14ac:dyDescent="0.2">
      <c r="L919" s="15"/>
      <c r="M919" s="15"/>
      <c r="N919" s="15"/>
      <c r="O919" s="15"/>
      <c r="P919" s="15"/>
      <c r="Q919" s="15"/>
      <c r="R919" s="15"/>
    </row>
    <row r="920" spans="12:18" x14ac:dyDescent="0.2">
      <c r="L920" s="15"/>
      <c r="M920" s="15"/>
      <c r="N920" s="15"/>
      <c r="O920" s="15"/>
      <c r="P920" s="15"/>
      <c r="Q920" s="15"/>
      <c r="R920" s="15"/>
    </row>
    <row r="921" spans="12:18" x14ac:dyDescent="0.2">
      <c r="L921" s="15"/>
      <c r="M921" s="15"/>
      <c r="N921" s="15"/>
      <c r="O921" s="15"/>
      <c r="P921" s="15"/>
      <c r="Q921" s="15"/>
      <c r="R921" s="15"/>
    </row>
    <row r="922" spans="12:18" x14ac:dyDescent="0.2">
      <c r="L922" s="15"/>
      <c r="M922" s="15"/>
      <c r="N922" s="15"/>
      <c r="O922" s="15"/>
      <c r="P922" s="15"/>
      <c r="Q922" s="15"/>
      <c r="R922" s="15"/>
    </row>
    <row r="923" spans="12:18" x14ac:dyDescent="0.2">
      <c r="L923" s="15"/>
      <c r="M923" s="15"/>
      <c r="N923" s="15"/>
      <c r="O923" s="15"/>
      <c r="P923" s="15"/>
      <c r="Q923" s="15"/>
      <c r="R923" s="15"/>
    </row>
    <row r="924" spans="12:18" x14ac:dyDescent="0.2">
      <c r="L924" s="15"/>
      <c r="M924" s="15"/>
      <c r="N924" s="15"/>
      <c r="O924" s="15"/>
      <c r="P924" s="15"/>
      <c r="Q924" s="15"/>
      <c r="R924" s="15"/>
    </row>
    <row r="925" spans="12:18" x14ac:dyDescent="0.2">
      <c r="L925" s="15"/>
      <c r="M925" s="15"/>
      <c r="N925" s="15"/>
      <c r="O925" s="15"/>
      <c r="P925" s="15"/>
      <c r="Q925" s="15"/>
      <c r="R925" s="15"/>
    </row>
    <row r="926" spans="12:18" x14ac:dyDescent="0.2">
      <c r="L926" s="15"/>
      <c r="M926" s="15"/>
      <c r="N926" s="15"/>
      <c r="O926" s="15"/>
      <c r="P926" s="15"/>
      <c r="Q926" s="15"/>
      <c r="R926" s="15"/>
    </row>
    <row r="927" spans="12:18" x14ac:dyDescent="0.2">
      <c r="L927" s="15"/>
      <c r="M927" s="15"/>
      <c r="N927" s="15"/>
      <c r="O927" s="15"/>
      <c r="P927" s="15"/>
      <c r="Q927" s="15"/>
      <c r="R927" s="15"/>
    </row>
    <row r="928" spans="12:18" x14ac:dyDescent="0.2">
      <c r="L928" s="15"/>
      <c r="M928" s="15"/>
      <c r="N928" s="15"/>
      <c r="O928" s="15"/>
      <c r="P928" s="15"/>
      <c r="Q928" s="15"/>
      <c r="R928" s="15"/>
    </row>
    <row r="929" spans="12:18" x14ac:dyDescent="0.2">
      <c r="L929" s="15"/>
      <c r="M929" s="15"/>
      <c r="N929" s="15"/>
      <c r="O929" s="15"/>
      <c r="P929" s="15"/>
      <c r="Q929" s="15"/>
      <c r="R929" s="15"/>
    </row>
    <row r="930" spans="12:18" x14ac:dyDescent="0.2">
      <c r="L930" s="15"/>
      <c r="M930" s="15"/>
      <c r="N930" s="15"/>
      <c r="O930" s="15"/>
      <c r="P930" s="15"/>
      <c r="Q930" s="15"/>
      <c r="R930" s="15"/>
    </row>
    <row r="931" spans="12:18" x14ac:dyDescent="0.2">
      <c r="L931" s="15"/>
      <c r="M931" s="15"/>
      <c r="N931" s="15"/>
      <c r="O931" s="15"/>
      <c r="P931" s="15"/>
      <c r="Q931" s="15"/>
      <c r="R931" s="15"/>
    </row>
    <row r="932" spans="12:18" x14ac:dyDescent="0.2">
      <c r="L932" s="15"/>
      <c r="M932" s="15"/>
      <c r="N932" s="15"/>
      <c r="O932" s="15"/>
      <c r="P932" s="15"/>
      <c r="Q932" s="15"/>
      <c r="R932" s="15"/>
    </row>
    <row r="933" spans="12:18" x14ac:dyDescent="0.2">
      <c r="L933" s="15"/>
      <c r="M933" s="15"/>
      <c r="N933" s="15"/>
      <c r="O933" s="15"/>
      <c r="P933" s="15"/>
      <c r="Q933" s="15"/>
      <c r="R933" s="15"/>
    </row>
    <row r="934" spans="12:18" x14ac:dyDescent="0.2">
      <c r="L934" s="15"/>
      <c r="M934" s="15"/>
      <c r="N934" s="15"/>
      <c r="O934" s="15"/>
      <c r="P934" s="15"/>
      <c r="Q934" s="15"/>
      <c r="R934" s="15"/>
    </row>
    <row r="935" spans="12:18" x14ac:dyDescent="0.2">
      <c r="L935" s="15"/>
      <c r="M935" s="15"/>
      <c r="N935" s="15"/>
      <c r="O935" s="15"/>
      <c r="P935" s="15"/>
      <c r="Q935" s="15"/>
      <c r="R935" s="15"/>
    </row>
    <row r="936" spans="12:18" x14ac:dyDescent="0.2">
      <c r="L936" s="15"/>
      <c r="M936" s="15"/>
      <c r="N936" s="15"/>
      <c r="O936" s="15"/>
      <c r="P936" s="15"/>
      <c r="Q936" s="15"/>
      <c r="R936" s="15"/>
    </row>
    <row r="937" spans="12:18" x14ac:dyDescent="0.2">
      <c r="L937" s="15"/>
      <c r="M937" s="15"/>
      <c r="N937" s="15"/>
      <c r="O937" s="15"/>
      <c r="P937" s="15"/>
      <c r="Q937" s="15"/>
      <c r="R937" s="15"/>
    </row>
    <row r="938" spans="12:18" x14ac:dyDescent="0.2">
      <c r="L938" s="15"/>
      <c r="M938" s="15"/>
      <c r="N938" s="15"/>
      <c r="O938" s="15"/>
      <c r="P938" s="15"/>
      <c r="Q938" s="15"/>
      <c r="R938" s="15"/>
    </row>
    <row r="939" spans="12:18" x14ac:dyDescent="0.2">
      <c r="L939" s="15"/>
      <c r="M939" s="15"/>
      <c r="N939" s="15"/>
      <c r="O939" s="15"/>
      <c r="P939" s="15"/>
      <c r="Q939" s="15"/>
      <c r="R939" s="15"/>
    </row>
    <row r="940" spans="12:18" x14ac:dyDescent="0.2">
      <c r="L940" s="15"/>
      <c r="M940" s="15"/>
      <c r="N940" s="15"/>
      <c r="O940" s="15"/>
      <c r="P940" s="15"/>
      <c r="Q940" s="15"/>
      <c r="R940" s="15"/>
    </row>
    <row r="941" spans="12:18" x14ac:dyDescent="0.2">
      <c r="L941" s="15"/>
      <c r="M941" s="15"/>
      <c r="N941" s="15"/>
      <c r="O941" s="15"/>
      <c r="P941" s="15"/>
      <c r="Q941" s="15"/>
      <c r="R941" s="15"/>
    </row>
    <row r="942" spans="12:18" x14ac:dyDescent="0.2">
      <c r="L942" s="15"/>
      <c r="M942" s="15"/>
      <c r="N942" s="15"/>
      <c r="O942" s="15"/>
      <c r="P942" s="15"/>
      <c r="Q942" s="15"/>
      <c r="R942" s="15"/>
    </row>
    <row r="943" spans="12:18" x14ac:dyDescent="0.2">
      <c r="L943" s="15"/>
      <c r="M943" s="15"/>
      <c r="N943" s="15"/>
      <c r="O943" s="15"/>
      <c r="P943" s="15"/>
      <c r="Q943" s="15"/>
      <c r="R943" s="15"/>
    </row>
    <row r="944" spans="12:18" x14ac:dyDescent="0.2">
      <c r="L944" s="15"/>
      <c r="M944" s="15"/>
      <c r="N944" s="15"/>
      <c r="O944" s="15"/>
      <c r="P944" s="15"/>
      <c r="Q944" s="15"/>
      <c r="R944" s="15"/>
    </row>
    <row r="945" spans="12:18" x14ac:dyDescent="0.2">
      <c r="L945" s="15"/>
      <c r="M945" s="15"/>
      <c r="N945" s="15"/>
      <c r="O945" s="15"/>
      <c r="P945" s="15"/>
      <c r="Q945" s="15"/>
      <c r="R945" s="15"/>
    </row>
    <row r="946" spans="12:18" x14ac:dyDescent="0.2">
      <c r="L946" s="15"/>
      <c r="M946" s="15"/>
      <c r="N946" s="15"/>
      <c r="O946" s="15"/>
      <c r="P946" s="15"/>
      <c r="Q946" s="15"/>
      <c r="R946" s="15"/>
    </row>
    <row r="947" spans="12:18" x14ac:dyDescent="0.2">
      <c r="L947" s="15"/>
      <c r="M947" s="15"/>
      <c r="N947" s="15"/>
      <c r="O947" s="15"/>
      <c r="P947" s="15"/>
      <c r="Q947" s="15"/>
      <c r="R947" s="15"/>
    </row>
    <row r="948" spans="12:18" x14ac:dyDescent="0.2">
      <c r="L948" s="15"/>
      <c r="M948" s="15"/>
      <c r="N948" s="15"/>
      <c r="O948" s="15"/>
      <c r="P948" s="15"/>
      <c r="Q948" s="15"/>
      <c r="R948" s="15"/>
    </row>
    <row r="949" spans="12:18" x14ac:dyDescent="0.2">
      <c r="L949" s="15"/>
      <c r="M949" s="15"/>
      <c r="N949" s="15"/>
      <c r="O949" s="15"/>
      <c r="P949" s="15"/>
      <c r="Q949" s="15"/>
      <c r="R949" s="15"/>
    </row>
    <row r="950" spans="12:18" x14ac:dyDescent="0.2">
      <c r="L950" s="15"/>
      <c r="M950" s="15"/>
      <c r="N950" s="15"/>
      <c r="O950" s="15"/>
      <c r="P950" s="15"/>
      <c r="Q950" s="15"/>
      <c r="R950" s="15"/>
    </row>
    <row r="951" spans="12:18" x14ac:dyDescent="0.2">
      <c r="L951" s="15"/>
      <c r="M951" s="15"/>
      <c r="N951" s="15"/>
      <c r="O951" s="15"/>
      <c r="P951" s="15"/>
      <c r="Q951" s="15"/>
      <c r="R951" s="15"/>
    </row>
    <row r="952" spans="12:18" x14ac:dyDescent="0.2">
      <c r="L952" s="15"/>
      <c r="M952" s="15"/>
      <c r="N952" s="15"/>
      <c r="O952" s="15"/>
      <c r="P952" s="15"/>
      <c r="Q952" s="15"/>
      <c r="R952" s="15"/>
    </row>
    <row r="953" spans="12:18" x14ac:dyDescent="0.2">
      <c r="L953" s="15"/>
      <c r="M953" s="15"/>
      <c r="N953" s="15"/>
      <c r="O953" s="15"/>
      <c r="P953" s="15"/>
      <c r="Q953" s="15"/>
      <c r="R953" s="15"/>
    </row>
    <row r="954" spans="12:18" x14ac:dyDescent="0.2">
      <c r="L954" s="15"/>
      <c r="M954" s="15"/>
      <c r="N954" s="15"/>
      <c r="O954" s="15"/>
      <c r="P954" s="15"/>
      <c r="Q954" s="15"/>
      <c r="R954" s="15"/>
    </row>
    <row r="955" spans="12:18" x14ac:dyDescent="0.2">
      <c r="L955" s="15"/>
      <c r="M955" s="15"/>
      <c r="N955" s="15"/>
      <c r="O955" s="15"/>
      <c r="P955" s="15"/>
      <c r="Q955" s="15"/>
      <c r="R955" s="15"/>
    </row>
    <row r="956" spans="12:18" x14ac:dyDescent="0.2">
      <c r="L956" s="15"/>
      <c r="M956" s="15"/>
      <c r="N956" s="15"/>
      <c r="O956" s="15"/>
      <c r="P956" s="15"/>
      <c r="Q956" s="15"/>
      <c r="R956" s="15"/>
    </row>
    <row r="957" spans="12:18" x14ac:dyDescent="0.2">
      <c r="L957" s="15"/>
      <c r="M957" s="15"/>
      <c r="N957" s="15"/>
      <c r="O957" s="15"/>
      <c r="P957" s="15"/>
      <c r="Q957" s="15"/>
      <c r="R957" s="15"/>
    </row>
    <row r="958" spans="12:18" x14ac:dyDescent="0.2">
      <c r="L958" s="15"/>
      <c r="M958" s="15"/>
      <c r="N958" s="15"/>
      <c r="O958" s="15"/>
      <c r="P958" s="15"/>
      <c r="Q958" s="15"/>
      <c r="R958" s="15"/>
    </row>
    <row r="959" spans="12:18" x14ac:dyDescent="0.2">
      <c r="L959" s="15"/>
      <c r="M959" s="15"/>
      <c r="N959" s="15"/>
      <c r="O959" s="15"/>
      <c r="P959" s="15"/>
      <c r="Q959" s="15"/>
      <c r="R959" s="15"/>
    </row>
    <row r="960" spans="12:18" x14ac:dyDescent="0.2">
      <c r="L960" s="15"/>
      <c r="M960" s="15"/>
      <c r="N960" s="15"/>
      <c r="O960" s="15"/>
      <c r="P960" s="15"/>
      <c r="Q960" s="15"/>
      <c r="R960" s="15"/>
    </row>
    <row r="961" spans="12:18" x14ac:dyDescent="0.2">
      <c r="L961" s="15"/>
      <c r="M961" s="15"/>
      <c r="N961" s="15"/>
      <c r="O961" s="15"/>
      <c r="P961" s="15"/>
      <c r="Q961" s="15"/>
      <c r="R961" s="15"/>
    </row>
    <row r="962" spans="12:18" x14ac:dyDescent="0.2">
      <c r="L962" s="15"/>
      <c r="M962" s="15"/>
      <c r="N962" s="15"/>
      <c r="O962" s="15"/>
      <c r="P962" s="15"/>
      <c r="Q962" s="15"/>
      <c r="R962" s="15"/>
    </row>
    <row r="963" spans="12:18" x14ac:dyDescent="0.2">
      <c r="L963" s="15"/>
      <c r="M963" s="15"/>
      <c r="N963" s="15"/>
      <c r="O963" s="15"/>
      <c r="P963" s="15"/>
      <c r="Q963" s="15"/>
      <c r="R963" s="15"/>
    </row>
    <row r="964" spans="12:18" x14ac:dyDescent="0.2">
      <c r="L964" s="15"/>
      <c r="M964" s="15"/>
      <c r="N964" s="15"/>
      <c r="O964" s="15"/>
      <c r="P964" s="15"/>
      <c r="Q964" s="15"/>
      <c r="R964" s="15"/>
    </row>
    <row r="965" spans="12:18" x14ac:dyDescent="0.2">
      <c r="L965" s="15"/>
      <c r="M965" s="15"/>
      <c r="N965" s="15"/>
      <c r="O965" s="15"/>
      <c r="P965" s="15"/>
      <c r="Q965" s="15"/>
      <c r="R965" s="15"/>
    </row>
    <row r="966" spans="12:18" x14ac:dyDescent="0.2">
      <c r="L966" s="15"/>
      <c r="M966" s="15"/>
      <c r="N966" s="15"/>
      <c r="O966" s="15"/>
      <c r="P966" s="15"/>
      <c r="Q966" s="15"/>
      <c r="R966" s="15"/>
    </row>
    <row r="967" spans="12:18" x14ac:dyDescent="0.2">
      <c r="L967" s="15"/>
      <c r="M967" s="15"/>
      <c r="N967" s="15"/>
      <c r="O967" s="15"/>
      <c r="P967" s="15"/>
      <c r="Q967" s="15"/>
      <c r="R967" s="15"/>
    </row>
    <row r="968" spans="12:18" x14ac:dyDescent="0.2">
      <c r="L968" s="15"/>
      <c r="M968" s="15"/>
      <c r="N968" s="15"/>
      <c r="O968" s="15"/>
      <c r="P968" s="15"/>
      <c r="Q968" s="15"/>
      <c r="R968" s="15"/>
    </row>
    <row r="969" spans="12:18" x14ac:dyDescent="0.2">
      <c r="L969" s="15"/>
      <c r="M969" s="15"/>
      <c r="N969" s="15"/>
      <c r="O969" s="15"/>
      <c r="P969" s="15"/>
      <c r="Q969" s="15"/>
      <c r="R969" s="15"/>
    </row>
    <row r="970" spans="12:18" x14ac:dyDescent="0.2">
      <c r="L970" s="15"/>
      <c r="M970" s="15"/>
      <c r="N970" s="15"/>
      <c r="O970" s="15"/>
      <c r="P970" s="15"/>
      <c r="Q970" s="15"/>
      <c r="R970" s="15"/>
    </row>
    <row r="971" spans="12:18" x14ac:dyDescent="0.2">
      <c r="L971" s="15"/>
      <c r="M971" s="15"/>
      <c r="N971" s="15"/>
      <c r="O971" s="15"/>
      <c r="P971" s="15"/>
      <c r="Q971" s="15"/>
      <c r="R971" s="15"/>
    </row>
    <row r="972" spans="12:18" x14ac:dyDescent="0.2">
      <c r="L972" s="15"/>
      <c r="M972" s="15"/>
      <c r="N972" s="15"/>
      <c r="O972" s="15"/>
      <c r="P972" s="15"/>
      <c r="Q972" s="15"/>
      <c r="R972" s="15"/>
    </row>
    <row r="973" spans="12:18" x14ac:dyDescent="0.2">
      <c r="L973" s="15"/>
      <c r="M973" s="15"/>
      <c r="N973" s="15"/>
      <c r="O973" s="15"/>
      <c r="P973" s="15"/>
      <c r="Q973" s="15"/>
      <c r="R973" s="15"/>
    </row>
    <row r="974" spans="12:18" x14ac:dyDescent="0.2">
      <c r="L974" s="15"/>
      <c r="M974" s="15"/>
      <c r="N974" s="15"/>
      <c r="O974" s="15"/>
      <c r="P974" s="15"/>
      <c r="Q974" s="15"/>
      <c r="R974" s="15"/>
    </row>
    <row r="975" spans="12:18" x14ac:dyDescent="0.2">
      <c r="L975" s="15"/>
      <c r="M975" s="15"/>
      <c r="N975" s="15"/>
      <c r="O975" s="15"/>
      <c r="P975" s="15"/>
      <c r="Q975" s="15"/>
      <c r="R975" s="15"/>
    </row>
    <row r="976" spans="12:18" x14ac:dyDescent="0.2">
      <c r="L976" s="15"/>
      <c r="M976" s="15"/>
      <c r="N976" s="15"/>
      <c r="O976" s="15"/>
      <c r="P976" s="15"/>
      <c r="Q976" s="15"/>
      <c r="R976" s="15"/>
    </row>
    <row r="977" spans="12:18" x14ac:dyDescent="0.2">
      <c r="L977" s="15"/>
      <c r="M977" s="15"/>
      <c r="N977" s="15"/>
      <c r="O977" s="15"/>
      <c r="P977" s="15"/>
      <c r="Q977" s="15"/>
      <c r="R977" s="15"/>
    </row>
    <row r="978" spans="12:18" x14ac:dyDescent="0.2">
      <c r="L978" s="15"/>
      <c r="M978" s="15"/>
      <c r="N978" s="15"/>
      <c r="O978" s="15"/>
      <c r="P978" s="15"/>
      <c r="Q978" s="15"/>
      <c r="R978" s="15"/>
    </row>
    <row r="979" spans="12:18" x14ac:dyDescent="0.2">
      <c r="L979" s="15"/>
      <c r="M979" s="15"/>
      <c r="N979" s="15"/>
      <c r="O979" s="15"/>
      <c r="P979" s="15"/>
      <c r="Q979" s="15"/>
      <c r="R979" s="15"/>
    </row>
    <row r="980" spans="12:18" x14ac:dyDescent="0.2">
      <c r="L980" s="15"/>
      <c r="M980" s="15"/>
      <c r="N980" s="15"/>
      <c r="O980" s="15"/>
      <c r="P980" s="15"/>
      <c r="Q980" s="15"/>
      <c r="R980" s="15"/>
    </row>
    <row r="981" spans="12:18" x14ac:dyDescent="0.2">
      <c r="L981" s="15"/>
      <c r="M981" s="15"/>
      <c r="N981" s="15"/>
      <c r="O981" s="15"/>
      <c r="P981" s="15"/>
      <c r="Q981" s="15"/>
      <c r="R981" s="15"/>
    </row>
    <row r="982" spans="12:18" x14ac:dyDescent="0.2">
      <c r="L982" s="15"/>
      <c r="M982" s="15"/>
      <c r="N982" s="15"/>
      <c r="O982" s="15"/>
      <c r="P982" s="15"/>
      <c r="Q982" s="15"/>
      <c r="R982" s="15"/>
    </row>
    <row r="983" spans="12:18" x14ac:dyDescent="0.2">
      <c r="L983" s="15"/>
      <c r="M983" s="15"/>
      <c r="N983" s="15"/>
      <c r="O983" s="15"/>
      <c r="P983" s="15"/>
      <c r="Q983" s="15"/>
      <c r="R983" s="15"/>
    </row>
    <row r="984" spans="12:18" x14ac:dyDescent="0.2">
      <c r="L984" s="15"/>
      <c r="M984" s="15"/>
      <c r="N984" s="15"/>
      <c r="O984" s="15"/>
      <c r="P984" s="15"/>
      <c r="Q984" s="15"/>
      <c r="R984" s="15"/>
    </row>
    <row r="985" spans="12:18" x14ac:dyDescent="0.2">
      <c r="L985" s="15"/>
      <c r="M985" s="15"/>
      <c r="N985" s="15"/>
      <c r="O985" s="15"/>
      <c r="P985" s="15"/>
      <c r="Q985" s="15"/>
      <c r="R985" s="15"/>
    </row>
    <row r="986" spans="12:18" x14ac:dyDescent="0.2">
      <c r="L986" s="15"/>
      <c r="M986" s="15"/>
      <c r="N986" s="15"/>
      <c r="O986" s="15"/>
      <c r="P986" s="15"/>
      <c r="Q986" s="15"/>
      <c r="R986" s="15"/>
    </row>
    <row r="987" spans="12:18" x14ac:dyDescent="0.2">
      <c r="L987" s="15"/>
      <c r="M987" s="15"/>
      <c r="N987" s="15"/>
      <c r="O987" s="15"/>
      <c r="P987" s="15"/>
      <c r="Q987" s="15"/>
      <c r="R987" s="15"/>
    </row>
    <row r="988" spans="12:18" x14ac:dyDescent="0.2">
      <c r="L988" s="15"/>
      <c r="M988" s="15"/>
      <c r="N988" s="15"/>
      <c r="O988" s="15"/>
      <c r="P988" s="15"/>
      <c r="Q988" s="15"/>
      <c r="R988" s="15"/>
    </row>
    <row r="989" spans="12:18" x14ac:dyDescent="0.2">
      <c r="L989" s="15"/>
      <c r="M989" s="15"/>
      <c r="N989" s="15"/>
      <c r="O989" s="15"/>
      <c r="P989" s="15"/>
      <c r="Q989" s="15"/>
      <c r="R989" s="15"/>
    </row>
    <row r="990" spans="12:18" x14ac:dyDescent="0.2">
      <c r="L990" s="15"/>
      <c r="M990" s="15"/>
      <c r="N990" s="15"/>
      <c r="O990" s="15"/>
      <c r="P990" s="15"/>
      <c r="Q990" s="15"/>
      <c r="R990" s="15"/>
    </row>
    <row r="991" spans="12:18" x14ac:dyDescent="0.2">
      <c r="L991" s="15"/>
      <c r="M991" s="15"/>
      <c r="N991" s="15"/>
      <c r="O991" s="15"/>
      <c r="P991" s="15"/>
      <c r="Q991" s="15"/>
      <c r="R991" s="15"/>
    </row>
    <row r="992" spans="12:18" x14ac:dyDescent="0.2">
      <c r="L992" s="15"/>
      <c r="M992" s="15"/>
      <c r="N992" s="15"/>
      <c r="O992" s="15"/>
      <c r="P992" s="15"/>
      <c r="Q992" s="15"/>
      <c r="R992" s="15"/>
    </row>
    <row r="993" spans="12:18" x14ac:dyDescent="0.2">
      <c r="L993" s="15"/>
      <c r="M993" s="15"/>
      <c r="N993" s="15"/>
      <c r="O993" s="15"/>
      <c r="P993" s="15"/>
      <c r="Q993" s="15"/>
      <c r="R993" s="15"/>
    </row>
    <row r="994" spans="12:18" x14ac:dyDescent="0.2">
      <c r="L994" s="15"/>
      <c r="M994" s="15"/>
      <c r="N994" s="15"/>
      <c r="O994" s="15"/>
      <c r="P994" s="15"/>
      <c r="Q994" s="15"/>
      <c r="R994" s="15"/>
    </row>
    <row r="995" spans="12:18" x14ac:dyDescent="0.2">
      <c r="L995" s="15"/>
      <c r="M995" s="15"/>
      <c r="N995" s="15"/>
      <c r="O995" s="15"/>
      <c r="P995" s="15"/>
      <c r="Q995" s="15"/>
      <c r="R995" s="15"/>
    </row>
    <row r="996" spans="12:18" x14ac:dyDescent="0.2">
      <c r="L996" s="15"/>
      <c r="M996" s="15"/>
      <c r="N996" s="15"/>
      <c r="O996" s="15"/>
      <c r="P996" s="15"/>
      <c r="Q996" s="15"/>
      <c r="R996" s="15"/>
    </row>
    <row r="997" spans="12:18" x14ac:dyDescent="0.2">
      <c r="L997" s="15"/>
      <c r="M997" s="15"/>
      <c r="N997" s="15"/>
      <c r="O997" s="15"/>
      <c r="P997" s="15"/>
      <c r="Q997" s="15"/>
      <c r="R997" s="15"/>
    </row>
    <row r="998" spans="12:18" x14ac:dyDescent="0.2">
      <c r="L998" s="15"/>
      <c r="M998" s="15"/>
      <c r="N998" s="15"/>
      <c r="O998" s="15"/>
      <c r="P998" s="15"/>
      <c r="Q998" s="15"/>
      <c r="R998" s="15"/>
    </row>
    <row r="999" spans="12:18" x14ac:dyDescent="0.2">
      <c r="L999" s="15"/>
      <c r="M999" s="15"/>
      <c r="N999" s="15"/>
      <c r="O999" s="15"/>
      <c r="P999" s="15"/>
      <c r="Q999" s="15"/>
      <c r="R999" s="15"/>
    </row>
    <row r="1000" spans="12:18" x14ac:dyDescent="0.2">
      <c r="L1000" s="15"/>
      <c r="M1000" s="15"/>
      <c r="N1000" s="15"/>
      <c r="O1000" s="15"/>
      <c r="P1000" s="15"/>
      <c r="Q1000" s="15"/>
      <c r="R1000" s="15"/>
    </row>
    <row r="1001" spans="12:18" x14ac:dyDescent="0.2">
      <c r="L1001" s="15"/>
      <c r="M1001" s="15"/>
      <c r="N1001" s="15"/>
      <c r="O1001" s="15"/>
      <c r="P1001" s="15"/>
      <c r="Q1001" s="15"/>
      <c r="R1001" s="15"/>
    </row>
    <row r="1002" spans="12:18" x14ac:dyDescent="0.2">
      <c r="L1002" s="15"/>
      <c r="M1002" s="15"/>
      <c r="N1002" s="15"/>
      <c r="O1002" s="15"/>
      <c r="P1002" s="15"/>
      <c r="Q1002" s="15"/>
      <c r="R1002" s="15"/>
    </row>
    <row r="1003" spans="12:18" x14ac:dyDescent="0.2">
      <c r="L1003" s="15"/>
      <c r="M1003" s="15"/>
      <c r="N1003" s="15"/>
      <c r="O1003" s="15"/>
      <c r="P1003" s="15"/>
      <c r="Q1003" s="15"/>
      <c r="R1003" s="15"/>
    </row>
    <row r="1004" spans="12:18" x14ac:dyDescent="0.2">
      <c r="L1004" s="15"/>
      <c r="M1004" s="15"/>
      <c r="N1004" s="15"/>
      <c r="O1004" s="15"/>
      <c r="P1004" s="15"/>
      <c r="Q1004" s="15"/>
      <c r="R1004" s="15"/>
    </row>
    <row r="1005" spans="12:18" x14ac:dyDescent="0.2">
      <c r="L1005" s="15"/>
      <c r="M1005" s="15"/>
      <c r="N1005" s="15"/>
      <c r="O1005" s="15"/>
      <c r="P1005" s="15"/>
      <c r="Q1005" s="15"/>
      <c r="R1005" s="15"/>
    </row>
    <row r="1006" spans="12:18" x14ac:dyDescent="0.2">
      <c r="L1006" s="15"/>
      <c r="M1006" s="15"/>
      <c r="N1006" s="15"/>
      <c r="O1006" s="15"/>
      <c r="P1006" s="15"/>
      <c r="Q1006" s="15"/>
      <c r="R1006" s="15"/>
    </row>
    <row r="1007" spans="12:18" x14ac:dyDescent="0.2">
      <c r="L1007" s="15"/>
      <c r="M1007" s="15"/>
      <c r="N1007" s="15"/>
      <c r="O1007" s="15"/>
      <c r="P1007" s="15"/>
      <c r="Q1007" s="15"/>
      <c r="R1007" s="15"/>
    </row>
    <row r="1008" spans="12:18" x14ac:dyDescent="0.2">
      <c r="L1008" s="15"/>
      <c r="M1008" s="15"/>
      <c r="N1008" s="15"/>
      <c r="O1008" s="15"/>
      <c r="P1008" s="15"/>
      <c r="Q1008" s="15"/>
      <c r="R1008" s="15"/>
    </row>
    <row r="1009" spans="12:18" x14ac:dyDescent="0.2">
      <c r="L1009" s="15"/>
      <c r="M1009" s="15"/>
      <c r="N1009" s="15"/>
      <c r="O1009" s="15"/>
      <c r="P1009" s="15"/>
      <c r="Q1009" s="15"/>
      <c r="R1009" s="15"/>
    </row>
    <row r="1010" spans="12:18" x14ac:dyDescent="0.2">
      <c r="L1010" s="15"/>
      <c r="M1010" s="15"/>
      <c r="N1010" s="15"/>
      <c r="O1010" s="15"/>
      <c r="P1010" s="15"/>
      <c r="Q1010" s="15"/>
      <c r="R1010" s="15"/>
    </row>
    <row r="1011" spans="12:18" x14ac:dyDescent="0.2">
      <c r="L1011" s="15"/>
      <c r="M1011" s="15"/>
      <c r="N1011" s="15"/>
      <c r="O1011" s="15"/>
      <c r="P1011" s="15"/>
      <c r="Q1011" s="15"/>
      <c r="R1011" s="15"/>
    </row>
    <row r="1012" spans="12:18" x14ac:dyDescent="0.2">
      <c r="L1012" s="15"/>
      <c r="M1012" s="15"/>
      <c r="N1012" s="15"/>
      <c r="O1012" s="15"/>
      <c r="P1012" s="15"/>
      <c r="Q1012" s="15"/>
      <c r="R1012" s="15"/>
    </row>
    <row r="1013" spans="12:18" x14ac:dyDescent="0.2">
      <c r="L1013" s="15"/>
      <c r="M1013" s="15"/>
      <c r="N1013" s="15"/>
      <c r="O1013" s="15"/>
      <c r="P1013" s="15"/>
      <c r="Q1013" s="15"/>
      <c r="R1013" s="15"/>
    </row>
    <row r="1014" spans="12:18" x14ac:dyDescent="0.2">
      <c r="L1014" s="15"/>
      <c r="M1014" s="15"/>
      <c r="N1014" s="15"/>
      <c r="O1014" s="15"/>
      <c r="P1014" s="15"/>
      <c r="Q1014" s="15"/>
      <c r="R1014" s="15"/>
    </row>
    <row r="1015" spans="12:18" x14ac:dyDescent="0.2">
      <c r="L1015" s="15"/>
      <c r="M1015" s="15"/>
      <c r="N1015" s="15"/>
      <c r="O1015" s="15"/>
      <c r="P1015" s="15"/>
      <c r="Q1015" s="15"/>
      <c r="R1015" s="15"/>
    </row>
    <row r="1016" spans="12:18" x14ac:dyDescent="0.2">
      <c r="L1016" s="15"/>
      <c r="M1016" s="15"/>
      <c r="N1016" s="15"/>
      <c r="O1016" s="15"/>
      <c r="P1016" s="15"/>
      <c r="Q1016" s="15"/>
      <c r="R1016" s="15"/>
    </row>
    <row r="1017" spans="12:18" x14ac:dyDescent="0.2">
      <c r="L1017" s="15"/>
      <c r="M1017" s="15"/>
      <c r="N1017" s="15"/>
      <c r="O1017" s="15"/>
      <c r="P1017" s="15"/>
      <c r="Q1017" s="15"/>
      <c r="R1017" s="15"/>
    </row>
    <row r="1018" spans="12:18" x14ac:dyDescent="0.2">
      <c r="L1018" s="15"/>
      <c r="M1018" s="15"/>
      <c r="N1018" s="15"/>
      <c r="O1018" s="15"/>
      <c r="P1018" s="15"/>
      <c r="Q1018" s="15"/>
      <c r="R1018" s="15"/>
    </row>
    <row r="1019" spans="12:18" x14ac:dyDescent="0.2">
      <c r="L1019" s="15"/>
      <c r="M1019" s="15"/>
      <c r="N1019" s="15"/>
      <c r="O1019" s="15"/>
      <c r="P1019" s="15"/>
      <c r="Q1019" s="15"/>
      <c r="R1019" s="15"/>
    </row>
    <row r="1020" spans="12:18" x14ac:dyDescent="0.2">
      <c r="L1020" s="15"/>
      <c r="M1020" s="15"/>
      <c r="N1020" s="15"/>
      <c r="O1020" s="15"/>
      <c r="P1020" s="15"/>
      <c r="Q1020" s="15"/>
      <c r="R1020" s="15"/>
    </row>
    <row r="1021" spans="12:18" x14ac:dyDescent="0.2">
      <c r="L1021" s="15"/>
      <c r="M1021" s="15"/>
      <c r="N1021" s="15"/>
      <c r="O1021" s="15"/>
      <c r="P1021" s="15"/>
      <c r="Q1021" s="15"/>
      <c r="R1021" s="15"/>
    </row>
    <row r="1022" spans="12:18" x14ac:dyDescent="0.2">
      <c r="L1022" s="15"/>
      <c r="M1022" s="15"/>
      <c r="N1022" s="15"/>
      <c r="O1022" s="15"/>
      <c r="P1022" s="15"/>
      <c r="Q1022" s="15"/>
      <c r="R1022" s="15"/>
    </row>
    <row r="1023" spans="12:18" x14ac:dyDescent="0.2">
      <c r="L1023" s="15"/>
      <c r="M1023" s="15"/>
      <c r="N1023" s="15"/>
      <c r="O1023" s="15"/>
      <c r="P1023" s="15"/>
      <c r="Q1023" s="15"/>
      <c r="R1023" s="15"/>
    </row>
    <row r="1024" spans="12:18" x14ac:dyDescent="0.2">
      <c r="L1024" s="15"/>
      <c r="M1024" s="15"/>
      <c r="N1024" s="15"/>
      <c r="O1024" s="15"/>
      <c r="P1024" s="15"/>
      <c r="Q1024" s="15"/>
      <c r="R1024" s="15"/>
    </row>
    <row r="1025" spans="12:18" x14ac:dyDescent="0.2">
      <c r="L1025" s="15"/>
      <c r="M1025" s="15"/>
      <c r="N1025" s="15"/>
      <c r="O1025" s="15"/>
      <c r="P1025" s="15"/>
      <c r="Q1025" s="15"/>
      <c r="R1025" s="15"/>
    </row>
    <row r="1026" spans="12:18" x14ac:dyDescent="0.2">
      <c r="L1026" s="15"/>
      <c r="M1026" s="15"/>
      <c r="N1026" s="15"/>
      <c r="O1026" s="15"/>
      <c r="P1026" s="15"/>
      <c r="Q1026" s="15"/>
      <c r="R1026" s="15"/>
    </row>
    <row r="1027" spans="12:18" x14ac:dyDescent="0.2">
      <c r="L1027" s="15"/>
      <c r="M1027" s="15"/>
      <c r="N1027" s="15"/>
      <c r="O1027" s="15"/>
      <c r="P1027" s="15"/>
      <c r="Q1027" s="15"/>
      <c r="R1027" s="15"/>
    </row>
    <row r="1028" spans="12:18" x14ac:dyDescent="0.2">
      <c r="L1028" s="15"/>
      <c r="M1028" s="15"/>
      <c r="N1028" s="15"/>
      <c r="O1028" s="15"/>
      <c r="P1028" s="15"/>
      <c r="Q1028" s="15"/>
      <c r="R1028" s="15"/>
    </row>
    <row r="1029" spans="12:18" x14ac:dyDescent="0.2">
      <c r="L1029" s="15"/>
      <c r="M1029" s="15"/>
      <c r="N1029" s="15"/>
      <c r="O1029" s="15"/>
      <c r="P1029" s="15"/>
      <c r="Q1029" s="15"/>
      <c r="R1029" s="15"/>
    </row>
    <row r="1030" spans="12:18" x14ac:dyDescent="0.2">
      <c r="L1030" s="15"/>
      <c r="M1030" s="15"/>
      <c r="N1030" s="15"/>
      <c r="O1030" s="15"/>
      <c r="P1030" s="15"/>
      <c r="Q1030" s="15"/>
      <c r="R1030" s="15"/>
    </row>
    <row r="1031" spans="12:18" x14ac:dyDescent="0.2">
      <c r="L1031" s="15"/>
      <c r="M1031" s="15"/>
      <c r="N1031" s="15"/>
      <c r="O1031" s="15"/>
      <c r="P1031" s="15"/>
      <c r="Q1031" s="15"/>
      <c r="R1031" s="15"/>
    </row>
    <row r="1032" spans="12:18" x14ac:dyDescent="0.2">
      <c r="L1032" s="15"/>
      <c r="M1032" s="15"/>
      <c r="N1032" s="15"/>
      <c r="O1032" s="15"/>
      <c r="P1032" s="15"/>
      <c r="Q1032" s="15"/>
      <c r="R1032" s="15"/>
    </row>
    <row r="1033" spans="12:18" x14ac:dyDescent="0.2">
      <c r="L1033" s="15"/>
      <c r="M1033" s="15"/>
      <c r="N1033" s="15"/>
      <c r="O1033" s="15"/>
      <c r="P1033" s="15"/>
      <c r="Q1033" s="15"/>
      <c r="R1033" s="15"/>
    </row>
    <row r="1034" spans="12:18" x14ac:dyDescent="0.2">
      <c r="L1034" s="15"/>
      <c r="M1034" s="15"/>
      <c r="N1034" s="15"/>
      <c r="O1034" s="15"/>
      <c r="P1034" s="15"/>
      <c r="Q1034" s="15"/>
      <c r="R1034" s="15"/>
    </row>
    <row r="1035" spans="12:18" x14ac:dyDescent="0.2">
      <c r="L1035" s="15"/>
      <c r="M1035" s="15"/>
      <c r="N1035" s="15"/>
      <c r="O1035" s="15"/>
      <c r="P1035" s="15"/>
      <c r="Q1035" s="15"/>
      <c r="R1035" s="15"/>
    </row>
    <row r="1036" spans="12:18" x14ac:dyDescent="0.2">
      <c r="L1036" s="15"/>
      <c r="M1036" s="15"/>
      <c r="N1036" s="15"/>
      <c r="O1036" s="15"/>
      <c r="P1036" s="15"/>
      <c r="Q1036" s="15"/>
      <c r="R1036" s="15"/>
    </row>
    <row r="1037" spans="12:18" x14ac:dyDescent="0.2">
      <c r="L1037" s="15"/>
      <c r="M1037" s="15"/>
      <c r="N1037" s="15"/>
      <c r="O1037" s="15"/>
      <c r="P1037" s="15"/>
      <c r="Q1037" s="15"/>
      <c r="R1037" s="15"/>
    </row>
    <row r="1038" spans="12:18" x14ac:dyDescent="0.2">
      <c r="L1038" s="15"/>
      <c r="M1038" s="15"/>
      <c r="N1038" s="15"/>
      <c r="O1038" s="15"/>
      <c r="P1038" s="15"/>
      <c r="Q1038" s="15"/>
      <c r="R1038" s="15"/>
    </row>
    <row r="1039" spans="12:18" x14ac:dyDescent="0.2">
      <c r="L1039" s="15"/>
      <c r="M1039" s="15"/>
      <c r="N1039" s="15"/>
      <c r="O1039" s="15"/>
      <c r="P1039" s="15"/>
      <c r="Q1039" s="15"/>
      <c r="R1039" s="15"/>
    </row>
    <row r="1040" spans="12:18" x14ac:dyDescent="0.2">
      <c r="L1040" s="15"/>
      <c r="M1040" s="15"/>
      <c r="N1040" s="15"/>
      <c r="O1040" s="15"/>
      <c r="P1040" s="15"/>
      <c r="Q1040" s="15"/>
      <c r="R1040" s="15"/>
    </row>
    <row r="1041" spans="12:18" x14ac:dyDescent="0.2">
      <c r="L1041" s="15"/>
      <c r="M1041" s="15"/>
      <c r="N1041" s="15"/>
      <c r="O1041" s="15"/>
      <c r="P1041" s="15"/>
      <c r="Q1041" s="15"/>
      <c r="R1041" s="15"/>
    </row>
    <row r="1042" spans="12:18" x14ac:dyDescent="0.2">
      <c r="L1042" s="15"/>
      <c r="M1042" s="15"/>
      <c r="N1042" s="15"/>
      <c r="O1042" s="15"/>
      <c r="P1042" s="15"/>
      <c r="Q1042" s="15"/>
      <c r="R1042" s="15"/>
    </row>
    <row r="1043" spans="12:18" x14ac:dyDescent="0.2">
      <c r="L1043" s="15"/>
      <c r="M1043" s="15"/>
      <c r="N1043" s="15"/>
      <c r="O1043" s="15"/>
      <c r="P1043" s="15"/>
      <c r="Q1043" s="15"/>
      <c r="R1043" s="15"/>
    </row>
    <row r="1044" spans="12:18" x14ac:dyDescent="0.2">
      <c r="L1044" s="15"/>
      <c r="M1044" s="15"/>
      <c r="N1044" s="15"/>
      <c r="O1044" s="15"/>
      <c r="P1044" s="15"/>
      <c r="Q1044" s="15"/>
      <c r="R1044" s="15"/>
    </row>
    <row r="1045" spans="12:18" x14ac:dyDescent="0.2">
      <c r="L1045" s="15"/>
      <c r="M1045" s="15"/>
      <c r="N1045" s="15"/>
      <c r="O1045" s="15"/>
      <c r="P1045" s="15"/>
      <c r="Q1045" s="15"/>
      <c r="R1045" s="15"/>
    </row>
    <row r="1046" spans="12:18" x14ac:dyDescent="0.2">
      <c r="L1046" s="15"/>
      <c r="M1046" s="15"/>
      <c r="N1046" s="15"/>
      <c r="O1046" s="15"/>
      <c r="P1046" s="15"/>
      <c r="Q1046" s="15"/>
      <c r="R1046" s="15"/>
    </row>
    <row r="1047" spans="12:18" x14ac:dyDescent="0.2">
      <c r="L1047" s="15"/>
      <c r="M1047" s="15"/>
      <c r="N1047" s="15"/>
      <c r="O1047" s="15"/>
      <c r="P1047" s="15"/>
      <c r="Q1047" s="15"/>
      <c r="R1047" s="15"/>
    </row>
    <row r="1048" spans="12:18" x14ac:dyDescent="0.2">
      <c r="L1048" s="15"/>
      <c r="M1048" s="15"/>
      <c r="N1048" s="15"/>
      <c r="O1048" s="15"/>
      <c r="P1048" s="15"/>
      <c r="Q1048" s="15"/>
      <c r="R1048" s="15"/>
    </row>
    <row r="1049" spans="12:18" x14ac:dyDescent="0.2">
      <c r="L1049" s="15"/>
      <c r="M1049" s="15"/>
      <c r="N1049" s="15"/>
      <c r="O1049" s="15"/>
      <c r="P1049" s="15"/>
      <c r="Q1049" s="15"/>
      <c r="R1049" s="15"/>
    </row>
    <row r="1050" spans="12:18" x14ac:dyDescent="0.2">
      <c r="L1050" s="15"/>
      <c r="M1050" s="15"/>
      <c r="N1050" s="15"/>
      <c r="O1050" s="15"/>
      <c r="P1050" s="15"/>
      <c r="Q1050" s="15"/>
      <c r="R1050" s="15"/>
    </row>
    <row r="1051" spans="12:18" x14ac:dyDescent="0.2">
      <c r="L1051" s="15"/>
      <c r="M1051" s="15"/>
      <c r="N1051" s="15"/>
      <c r="O1051" s="15"/>
      <c r="P1051" s="15"/>
      <c r="Q1051" s="15"/>
      <c r="R1051" s="15"/>
    </row>
    <row r="1052" spans="12:18" x14ac:dyDescent="0.2">
      <c r="L1052" s="15"/>
      <c r="M1052" s="15"/>
      <c r="N1052" s="15"/>
      <c r="O1052" s="15"/>
      <c r="P1052" s="15"/>
      <c r="Q1052" s="15"/>
      <c r="R1052" s="15"/>
    </row>
    <row r="1053" spans="12:18" x14ac:dyDescent="0.2">
      <c r="L1053" s="15"/>
      <c r="M1053" s="15"/>
      <c r="N1053" s="15"/>
      <c r="O1053" s="15"/>
      <c r="P1053" s="15"/>
      <c r="Q1053" s="15"/>
      <c r="R1053" s="15"/>
    </row>
    <row r="1054" spans="12:18" x14ac:dyDescent="0.2">
      <c r="L1054" s="15"/>
      <c r="M1054" s="15"/>
      <c r="N1054" s="15"/>
      <c r="O1054" s="15"/>
      <c r="P1054" s="15"/>
      <c r="Q1054" s="15"/>
      <c r="R1054" s="15"/>
    </row>
    <row r="1055" spans="12:18" x14ac:dyDescent="0.2">
      <c r="L1055" s="15"/>
      <c r="M1055" s="15"/>
      <c r="N1055" s="15"/>
      <c r="O1055" s="15"/>
      <c r="P1055" s="15"/>
      <c r="Q1055" s="15"/>
      <c r="R1055" s="15"/>
    </row>
    <row r="1056" spans="12:18" x14ac:dyDescent="0.2">
      <c r="L1056" s="15"/>
      <c r="M1056" s="15"/>
      <c r="N1056" s="15"/>
      <c r="O1056" s="15"/>
      <c r="P1056" s="15"/>
      <c r="Q1056" s="15"/>
      <c r="R1056" s="15"/>
    </row>
    <row r="1057" spans="12:18" x14ac:dyDescent="0.2">
      <c r="L1057" s="15"/>
      <c r="M1057" s="15"/>
      <c r="N1057" s="15"/>
      <c r="O1057" s="15"/>
      <c r="P1057" s="15"/>
      <c r="Q1057" s="15"/>
      <c r="R1057" s="15"/>
    </row>
    <row r="1058" spans="12:18" x14ac:dyDescent="0.2">
      <c r="L1058" s="15"/>
      <c r="M1058" s="15"/>
      <c r="N1058" s="15"/>
      <c r="O1058" s="15"/>
      <c r="P1058" s="15"/>
      <c r="Q1058" s="15"/>
      <c r="R1058" s="15"/>
    </row>
    <row r="1059" spans="12:18" x14ac:dyDescent="0.2">
      <c r="L1059" s="15"/>
      <c r="M1059" s="15"/>
      <c r="N1059" s="15"/>
      <c r="O1059" s="15"/>
      <c r="P1059" s="15"/>
      <c r="Q1059" s="15"/>
      <c r="R1059" s="15"/>
    </row>
    <row r="1060" spans="12:18" x14ac:dyDescent="0.2">
      <c r="L1060" s="15"/>
      <c r="M1060" s="15"/>
      <c r="N1060" s="15"/>
      <c r="O1060" s="15"/>
      <c r="P1060" s="15"/>
      <c r="Q1060" s="15"/>
      <c r="R1060" s="15"/>
    </row>
    <row r="1061" spans="12:18" x14ac:dyDescent="0.2">
      <c r="L1061" s="15"/>
      <c r="M1061" s="15"/>
      <c r="N1061" s="15"/>
      <c r="O1061" s="15"/>
      <c r="P1061" s="15"/>
      <c r="Q1061" s="15"/>
      <c r="R1061" s="15"/>
    </row>
    <row r="1062" spans="12:18" x14ac:dyDescent="0.2">
      <c r="L1062" s="15"/>
      <c r="M1062" s="15"/>
      <c r="N1062" s="15"/>
      <c r="O1062" s="15"/>
      <c r="P1062" s="15"/>
      <c r="Q1062" s="15"/>
      <c r="R1062" s="15"/>
    </row>
    <row r="1063" spans="12:18" x14ac:dyDescent="0.2">
      <c r="L1063" s="15"/>
      <c r="M1063" s="15"/>
      <c r="N1063" s="15"/>
      <c r="O1063" s="15"/>
      <c r="P1063" s="15"/>
      <c r="Q1063" s="15"/>
      <c r="R1063" s="15"/>
    </row>
    <row r="1064" spans="12:18" x14ac:dyDescent="0.2">
      <c r="L1064" s="15"/>
      <c r="M1064" s="15"/>
      <c r="N1064" s="15"/>
      <c r="O1064" s="15"/>
      <c r="P1064" s="15"/>
      <c r="Q1064" s="15"/>
      <c r="R1064" s="15"/>
    </row>
    <row r="1065" spans="12:18" x14ac:dyDescent="0.2">
      <c r="L1065" s="15"/>
      <c r="M1065" s="15"/>
      <c r="N1065" s="15"/>
      <c r="O1065" s="15"/>
      <c r="P1065" s="15"/>
      <c r="Q1065" s="15"/>
      <c r="R1065" s="15"/>
    </row>
    <row r="1066" spans="12:18" x14ac:dyDescent="0.2">
      <c r="L1066" s="15"/>
      <c r="M1066" s="15"/>
      <c r="N1066" s="15"/>
      <c r="O1066" s="15"/>
      <c r="P1066" s="15"/>
      <c r="Q1066" s="15"/>
      <c r="R1066" s="15"/>
    </row>
    <row r="1067" spans="12:18" x14ac:dyDescent="0.2">
      <c r="L1067" s="15"/>
      <c r="M1067" s="15"/>
      <c r="N1067" s="15"/>
      <c r="O1067" s="15"/>
      <c r="P1067" s="15"/>
      <c r="Q1067" s="15"/>
      <c r="R1067" s="15"/>
    </row>
    <row r="1068" spans="12:18" x14ac:dyDescent="0.2">
      <c r="L1068" s="15"/>
      <c r="M1068" s="15"/>
      <c r="N1068" s="15"/>
      <c r="O1068" s="15"/>
      <c r="P1068" s="15"/>
      <c r="Q1068" s="15"/>
      <c r="R1068" s="15"/>
    </row>
    <row r="1069" spans="12:18" x14ac:dyDescent="0.2">
      <c r="L1069" s="15"/>
      <c r="M1069" s="15"/>
      <c r="N1069" s="15"/>
      <c r="O1069" s="15"/>
      <c r="P1069" s="15"/>
      <c r="Q1069" s="15"/>
      <c r="R1069" s="15"/>
    </row>
    <row r="1070" spans="12:18" x14ac:dyDescent="0.2">
      <c r="L1070" s="15"/>
      <c r="M1070" s="15"/>
      <c r="N1070" s="15"/>
      <c r="O1070" s="15"/>
      <c r="P1070" s="15"/>
      <c r="Q1070" s="15"/>
      <c r="R1070" s="15"/>
    </row>
    <row r="1071" spans="12:18" x14ac:dyDescent="0.2">
      <c r="L1071" s="15"/>
      <c r="M1071" s="15"/>
      <c r="N1071" s="15"/>
      <c r="O1071" s="15"/>
      <c r="P1071" s="15"/>
      <c r="Q1071" s="15"/>
      <c r="R1071" s="15"/>
    </row>
    <row r="1072" spans="12:18" x14ac:dyDescent="0.2">
      <c r="L1072" s="15"/>
      <c r="M1072" s="15"/>
      <c r="N1072" s="15"/>
      <c r="O1072" s="15"/>
      <c r="P1072" s="15"/>
      <c r="Q1072" s="15"/>
      <c r="R1072" s="15"/>
    </row>
    <row r="1073" spans="12:18" x14ac:dyDescent="0.2">
      <c r="L1073" s="15"/>
      <c r="M1073" s="15"/>
      <c r="N1073" s="15"/>
      <c r="O1073" s="15"/>
      <c r="P1073" s="15"/>
      <c r="Q1073" s="15"/>
      <c r="R1073" s="15"/>
    </row>
    <row r="1074" spans="12:18" x14ac:dyDescent="0.2">
      <c r="L1074" s="15"/>
      <c r="M1074" s="15"/>
      <c r="N1074" s="15"/>
      <c r="O1074" s="15"/>
      <c r="P1074" s="15"/>
      <c r="Q1074" s="15"/>
      <c r="R1074" s="15"/>
    </row>
    <row r="1075" spans="12:18" x14ac:dyDescent="0.2">
      <c r="L1075" s="15"/>
      <c r="M1075" s="15"/>
      <c r="N1075" s="15"/>
      <c r="O1075" s="15"/>
      <c r="P1075" s="15"/>
      <c r="Q1075" s="15"/>
      <c r="R1075" s="15"/>
    </row>
    <row r="1076" spans="12:18" x14ac:dyDescent="0.2">
      <c r="L1076" s="15"/>
      <c r="M1076" s="15"/>
      <c r="N1076" s="15"/>
      <c r="O1076" s="15"/>
      <c r="P1076" s="15"/>
      <c r="Q1076" s="15"/>
      <c r="R1076" s="15"/>
    </row>
    <row r="1077" spans="12:18" x14ac:dyDescent="0.2">
      <c r="L1077" s="15"/>
      <c r="M1077" s="15"/>
      <c r="N1077" s="15"/>
      <c r="O1077" s="15"/>
      <c r="P1077" s="15"/>
      <c r="Q1077" s="15"/>
      <c r="R1077" s="15"/>
    </row>
    <row r="1078" spans="12:18" x14ac:dyDescent="0.2">
      <c r="L1078" s="15"/>
      <c r="M1078" s="15"/>
      <c r="N1078" s="15"/>
      <c r="O1078" s="15"/>
      <c r="P1078" s="15"/>
      <c r="Q1078" s="15"/>
      <c r="R1078" s="15"/>
    </row>
    <row r="1079" spans="12:18" x14ac:dyDescent="0.2">
      <c r="L1079" s="15"/>
      <c r="M1079" s="15"/>
      <c r="N1079" s="15"/>
      <c r="O1079" s="15"/>
      <c r="P1079" s="15"/>
      <c r="Q1079" s="15"/>
      <c r="R1079" s="15"/>
    </row>
    <row r="1080" spans="12:18" x14ac:dyDescent="0.2">
      <c r="L1080" s="15"/>
      <c r="M1080" s="15"/>
      <c r="N1080" s="15"/>
      <c r="O1080" s="15"/>
      <c r="P1080" s="15"/>
      <c r="Q1080" s="15"/>
      <c r="R1080" s="15"/>
    </row>
    <row r="1081" spans="12:18" x14ac:dyDescent="0.2">
      <c r="L1081" s="15"/>
      <c r="M1081" s="15"/>
      <c r="N1081" s="15"/>
      <c r="O1081" s="15"/>
      <c r="P1081" s="15"/>
      <c r="Q1081" s="15"/>
      <c r="R1081" s="15"/>
    </row>
    <row r="1082" spans="12:18" x14ac:dyDescent="0.2">
      <c r="L1082" s="15"/>
      <c r="M1082" s="15"/>
      <c r="N1082" s="15"/>
      <c r="O1082" s="15"/>
      <c r="P1082" s="15"/>
      <c r="Q1082" s="15"/>
      <c r="R1082" s="15"/>
    </row>
    <row r="1083" spans="12:18" x14ac:dyDescent="0.2">
      <c r="L1083" s="15"/>
      <c r="M1083" s="15"/>
      <c r="N1083" s="15"/>
      <c r="O1083" s="15"/>
      <c r="P1083" s="15"/>
      <c r="Q1083" s="15"/>
      <c r="R1083" s="15"/>
    </row>
    <row r="1084" spans="12:18" x14ac:dyDescent="0.2">
      <c r="L1084" s="15"/>
      <c r="M1084" s="15"/>
      <c r="N1084" s="15"/>
      <c r="O1084" s="15"/>
      <c r="P1084" s="15"/>
      <c r="Q1084" s="15"/>
      <c r="R1084" s="15"/>
    </row>
    <row r="1085" spans="12:18" x14ac:dyDescent="0.2">
      <c r="L1085" s="15"/>
      <c r="M1085" s="15"/>
      <c r="N1085" s="15"/>
      <c r="O1085" s="15"/>
      <c r="P1085" s="15"/>
      <c r="Q1085" s="15"/>
      <c r="R1085" s="15"/>
    </row>
    <row r="1086" spans="12:18" x14ac:dyDescent="0.2">
      <c r="L1086" s="15"/>
      <c r="M1086" s="15"/>
      <c r="N1086" s="15"/>
      <c r="O1086" s="15"/>
      <c r="P1086" s="15"/>
      <c r="Q1086" s="15"/>
      <c r="R1086" s="15"/>
    </row>
    <row r="1087" spans="12:18" x14ac:dyDescent="0.2">
      <c r="L1087" s="15"/>
      <c r="M1087" s="15"/>
      <c r="N1087" s="15"/>
      <c r="O1087" s="15"/>
      <c r="P1087" s="15"/>
      <c r="Q1087" s="15"/>
      <c r="R1087" s="15"/>
    </row>
    <row r="1088" spans="12:18" x14ac:dyDescent="0.2">
      <c r="L1088" s="15"/>
      <c r="M1088" s="15"/>
      <c r="N1088" s="15"/>
      <c r="O1088" s="15"/>
      <c r="P1088" s="15"/>
      <c r="Q1088" s="15"/>
      <c r="R1088" s="15"/>
    </row>
    <row r="1089" spans="12:18" x14ac:dyDescent="0.2">
      <c r="L1089" s="15"/>
      <c r="M1089" s="15"/>
      <c r="N1089" s="15"/>
      <c r="O1089" s="15"/>
      <c r="P1089" s="15"/>
      <c r="Q1089" s="15"/>
      <c r="R1089" s="15"/>
    </row>
    <row r="1090" spans="12:18" x14ac:dyDescent="0.2">
      <c r="L1090" s="15"/>
      <c r="M1090" s="15"/>
      <c r="N1090" s="15"/>
      <c r="O1090" s="15"/>
      <c r="P1090" s="15"/>
      <c r="Q1090" s="15"/>
      <c r="R1090" s="15"/>
    </row>
    <row r="1091" spans="12:18" x14ac:dyDescent="0.2">
      <c r="L1091" s="15"/>
      <c r="M1091" s="15"/>
      <c r="N1091" s="15"/>
      <c r="O1091" s="15"/>
      <c r="P1091" s="15"/>
      <c r="Q1091" s="15"/>
      <c r="R1091" s="15"/>
    </row>
    <row r="1092" spans="12:18" x14ac:dyDescent="0.2">
      <c r="L1092" s="15"/>
      <c r="M1092" s="15"/>
      <c r="N1092" s="15"/>
      <c r="O1092" s="15"/>
      <c r="P1092" s="15"/>
      <c r="Q1092" s="15"/>
      <c r="R1092" s="15"/>
    </row>
    <row r="1093" spans="12:18" x14ac:dyDescent="0.2">
      <c r="L1093" s="15"/>
      <c r="M1093" s="15"/>
      <c r="N1093" s="15"/>
      <c r="O1093" s="15"/>
      <c r="P1093" s="15"/>
      <c r="Q1093" s="15"/>
      <c r="R1093" s="15"/>
    </row>
    <row r="1094" spans="12:18" x14ac:dyDescent="0.2">
      <c r="L1094" s="15"/>
      <c r="M1094" s="15"/>
      <c r="N1094" s="15"/>
      <c r="O1094" s="15"/>
      <c r="P1094" s="15"/>
      <c r="Q1094" s="15"/>
      <c r="R1094" s="15"/>
    </row>
    <row r="1095" spans="12:18" x14ac:dyDescent="0.2">
      <c r="L1095" s="15"/>
      <c r="M1095" s="15"/>
      <c r="N1095" s="15"/>
      <c r="O1095" s="15"/>
      <c r="P1095" s="15"/>
      <c r="Q1095" s="15"/>
      <c r="R1095" s="15"/>
    </row>
    <row r="1096" spans="12:18" x14ac:dyDescent="0.2">
      <c r="L1096" s="15"/>
      <c r="M1096" s="15"/>
      <c r="N1096" s="15"/>
      <c r="O1096" s="15"/>
      <c r="P1096" s="15"/>
      <c r="Q1096" s="15"/>
      <c r="R1096" s="15"/>
    </row>
    <row r="1097" spans="12:18" x14ac:dyDescent="0.2">
      <c r="L1097" s="15"/>
      <c r="M1097" s="15"/>
      <c r="N1097" s="15"/>
      <c r="O1097" s="15"/>
      <c r="P1097" s="15"/>
      <c r="Q1097" s="15"/>
      <c r="R1097" s="15"/>
    </row>
    <row r="1098" spans="12:18" x14ac:dyDescent="0.2">
      <c r="L1098" s="15"/>
      <c r="M1098" s="15"/>
      <c r="N1098" s="15"/>
      <c r="O1098" s="15"/>
      <c r="P1098" s="15"/>
      <c r="Q1098" s="15"/>
      <c r="R1098" s="15"/>
    </row>
    <row r="1099" spans="12:18" x14ac:dyDescent="0.2">
      <c r="L1099" s="15"/>
      <c r="M1099" s="15"/>
      <c r="N1099" s="15"/>
      <c r="O1099" s="15"/>
      <c r="P1099" s="15"/>
      <c r="Q1099" s="15"/>
      <c r="R1099" s="15"/>
    </row>
    <row r="1100" spans="12:18" x14ac:dyDescent="0.2">
      <c r="L1100" s="15"/>
      <c r="M1100" s="15"/>
      <c r="N1100" s="15"/>
      <c r="O1100" s="15"/>
      <c r="P1100" s="15"/>
      <c r="Q1100" s="15"/>
      <c r="R1100" s="15"/>
    </row>
    <row r="1101" spans="12:18" x14ac:dyDescent="0.2">
      <c r="L1101" s="15"/>
      <c r="M1101" s="15"/>
      <c r="N1101" s="15"/>
      <c r="O1101" s="15"/>
      <c r="P1101" s="15"/>
      <c r="Q1101" s="15"/>
      <c r="R1101" s="15"/>
    </row>
    <row r="1102" spans="12:18" x14ac:dyDescent="0.2">
      <c r="L1102" s="15"/>
      <c r="M1102" s="15"/>
      <c r="N1102" s="15"/>
      <c r="O1102" s="15"/>
      <c r="P1102" s="15"/>
      <c r="Q1102" s="15"/>
      <c r="R1102" s="15"/>
    </row>
    <row r="1103" spans="12:18" x14ac:dyDescent="0.2">
      <c r="L1103" s="15"/>
      <c r="M1103" s="15"/>
      <c r="N1103" s="15"/>
      <c r="O1103" s="15"/>
      <c r="P1103" s="15"/>
      <c r="Q1103" s="15"/>
      <c r="R1103" s="15"/>
    </row>
    <row r="1104" spans="12:18" x14ac:dyDescent="0.2">
      <c r="L1104" s="15"/>
      <c r="M1104" s="15"/>
      <c r="N1104" s="15"/>
      <c r="O1104" s="15"/>
      <c r="P1104" s="15"/>
      <c r="Q1104" s="15"/>
      <c r="R1104" s="15"/>
    </row>
    <row r="1105" spans="12:18" x14ac:dyDescent="0.2">
      <c r="L1105" s="15"/>
      <c r="M1105" s="15"/>
      <c r="N1105" s="15"/>
      <c r="O1105" s="15"/>
      <c r="P1105" s="15"/>
      <c r="Q1105" s="15"/>
      <c r="R1105" s="15"/>
    </row>
    <row r="1106" spans="12:18" x14ac:dyDescent="0.2">
      <c r="L1106" s="15"/>
      <c r="M1106" s="15"/>
      <c r="N1106" s="15"/>
      <c r="O1106" s="15"/>
      <c r="P1106" s="15"/>
      <c r="Q1106" s="15"/>
      <c r="R1106" s="15"/>
    </row>
    <row r="1107" spans="12:18" x14ac:dyDescent="0.2">
      <c r="L1107" s="15"/>
      <c r="M1107" s="15"/>
      <c r="N1107" s="15"/>
      <c r="O1107" s="15"/>
      <c r="P1107" s="15"/>
      <c r="Q1107" s="15"/>
      <c r="R1107" s="15"/>
    </row>
    <row r="1108" spans="12:18" x14ac:dyDescent="0.2">
      <c r="L1108" s="15"/>
      <c r="M1108" s="15"/>
      <c r="N1108" s="15"/>
      <c r="O1108" s="15"/>
      <c r="P1108" s="15"/>
      <c r="Q1108" s="15"/>
      <c r="R1108" s="15"/>
    </row>
    <row r="1109" spans="12:18" x14ac:dyDescent="0.2">
      <c r="L1109" s="15"/>
      <c r="M1109" s="15"/>
      <c r="N1109" s="15"/>
      <c r="O1109" s="15"/>
      <c r="P1109" s="15"/>
      <c r="Q1109" s="15"/>
      <c r="R1109" s="15"/>
    </row>
    <row r="1110" spans="12:18" x14ac:dyDescent="0.2">
      <c r="L1110" s="15"/>
      <c r="M1110" s="15"/>
      <c r="N1110" s="15"/>
      <c r="O1110" s="15"/>
      <c r="P1110" s="15"/>
      <c r="Q1110" s="15"/>
      <c r="R1110" s="15"/>
    </row>
    <row r="1111" spans="12:18" x14ac:dyDescent="0.2">
      <c r="L1111" s="15"/>
      <c r="M1111" s="15"/>
      <c r="N1111" s="15"/>
      <c r="O1111" s="15"/>
      <c r="P1111" s="15"/>
      <c r="Q1111" s="15"/>
      <c r="R1111" s="15"/>
    </row>
    <row r="1112" spans="12:18" x14ac:dyDescent="0.2">
      <c r="L1112" s="15"/>
      <c r="M1112" s="15"/>
      <c r="N1112" s="15"/>
      <c r="O1112" s="15"/>
      <c r="P1112" s="15"/>
      <c r="Q1112" s="15"/>
      <c r="R1112" s="15"/>
    </row>
    <row r="1113" spans="12:18" x14ac:dyDescent="0.2">
      <c r="L1113" s="15"/>
      <c r="M1113" s="15"/>
      <c r="N1113" s="15"/>
      <c r="O1113" s="15"/>
      <c r="P1113" s="15"/>
      <c r="Q1113" s="15"/>
      <c r="R1113" s="15"/>
    </row>
    <row r="1114" spans="12:18" x14ac:dyDescent="0.2">
      <c r="L1114" s="15"/>
      <c r="M1114" s="15"/>
      <c r="N1114" s="15"/>
      <c r="O1114" s="15"/>
      <c r="P1114" s="15"/>
      <c r="Q1114" s="15"/>
      <c r="R1114" s="15"/>
    </row>
    <row r="1115" spans="12:18" x14ac:dyDescent="0.2">
      <c r="L1115" s="15"/>
      <c r="M1115" s="15"/>
      <c r="N1115" s="15"/>
      <c r="O1115" s="15"/>
      <c r="P1115" s="15"/>
      <c r="Q1115" s="15"/>
      <c r="R1115" s="15"/>
    </row>
    <row r="1116" spans="12:18" x14ac:dyDescent="0.2">
      <c r="L1116" s="15"/>
      <c r="M1116" s="15"/>
      <c r="N1116" s="15"/>
      <c r="O1116" s="15"/>
      <c r="P1116" s="15"/>
      <c r="Q1116" s="15"/>
      <c r="R1116" s="15"/>
    </row>
    <row r="1117" spans="12:18" x14ac:dyDescent="0.2">
      <c r="L1117" s="15"/>
      <c r="M1117" s="15"/>
      <c r="N1117" s="15"/>
      <c r="O1117" s="15"/>
      <c r="P1117" s="15"/>
      <c r="Q1117" s="15"/>
      <c r="R1117" s="15"/>
    </row>
    <row r="1118" spans="12:18" x14ac:dyDescent="0.2">
      <c r="L1118" s="15"/>
      <c r="M1118" s="15"/>
      <c r="N1118" s="15"/>
      <c r="O1118" s="15"/>
      <c r="P1118" s="15"/>
      <c r="Q1118" s="15"/>
      <c r="R1118" s="15"/>
    </row>
    <row r="1119" spans="12:18" x14ac:dyDescent="0.2">
      <c r="L1119" s="15"/>
      <c r="M1119" s="15"/>
      <c r="N1119" s="15"/>
      <c r="O1119" s="15"/>
      <c r="P1119" s="15"/>
      <c r="Q1119" s="15"/>
      <c r="R1119" s="15"/>
    </row>
    <row r="1120" spans="12:18" x14ac:dyDescent="0.2">
      <c r="L1120" s="15"/>
      <c r="M1120" s="15"/>
      <c r="N1120" s="15"/>
      <c r="O1120" s="15"/>
      <c r="P1120" s="15"/>
      <c r="Q1120" s="15"/>
      <c r="R1120" s="15"/>
    </row>
    <row r="1121" spans="12:18" x14ac:dyDescent="0.2">
      <c r="L1121" s="15"/>
      <c r="M1121" s="15"/>
      <c r="N1121" s="15"/>
      <c r="O1121" s="15"/>
      <c r="P1121" s="15"/>
      <c r="Q1121" s="15"/>
      <c r="R1121" s="15"/>
    </row>
    <row r="1122" spans="12:18" x14ac:dyDescent="0.2">
      <c r="L1122" s="15"/>
      <c r="M1122" s="15"/>
      <c r="N1122" s="15"/>
      <c r="O1122" s="15"/>
      <c r="P1122" s="15"/>
      <c r="Q1122" s="15"/>
      <c r="R1122" s="15"/>
    </row>
    <row r="1123" spans="12:18" x14ac:dyDescent="0.2">
      <c r="L1123" s="15"/>
      <c r="M1123" s="15"/>
      <c r="N1123" s="15"/>
      <c r="O1123" s="15"/>
      <c r="P1123" s="15"/>
      <c r="Q1123" s="15"/>
      <c r="R1123" s="15"/>
    </row>
    <row r="1124" spans="12:18" x14ac:dyDescent="0.2">
      <c r="L1124" s="15"/>
      <c r="M1124" s="15"/>
      <c r="N1124" s="15"/>
      <c r="O1124" s="15"/>
      <c r="P1124" s="15"/>
      <c r="Q1124" s="15"/>
      <c r="R1124" s="15"/>
    </row>
    <row r="1125" spans="12:18" x14ac:dyDescent="0.2">
      <c r="L1125" s="15"/>
      <c r="M1125" s="15"/>
      <c r="N1125" s="15"/>
      <c r="O1125" s="15"/>
      <c r="P1125" s="15"/>
      <c r="Q1125" s="15"/>
      <c r="R1125" s="15"/>
    </row>
    <row r="1126" spans="12:18" x14ac:dyDescent="0.2">
      <c r="L1126" s="15"/>
      <c r="M1126" s="15"/>
      <c r="N1126" s="15"/>
      <c r="O1126" s="15"/>
      <c r="P1126" s="15"/>
      <c r="Q1126" s="15"/>
      <c r="R1126" s="15"/>
    </row>
    <row r="1127" spans="12:18" x14ac:dyDescent="0.2">
      <c r="L1127" s="15"/>
      <c r="M1127" s="15"/>
      <c r="N1127" s="15"/>
      <c r="O1127" s="15"/>
      <c r="P1127" s="15"/>
      <c r="Q1127" s="15"/>
      <c r="R1127" s="15"/>
    </row>
    <row r="1128" spans="12:18" x14ac:dyDescent="0.2">
      <c r="L1128" s="15"/>
      <c r="M1128" s="15"/>
      <c r="N1128" s="15"/>
      <c r="O1128" s="15"/>
      <c r="P1128" s="15"/>
      <c r="Q1128" s="15"/>
      <c r="R1128" s="15"/>
    </row>
    <row r="1129" spans="12:18" x14ac:dyDescent="0.2">
      <c r="L1129" s="15"/>
      <c r="M1129" s="15"/>
      <c r="N1129" s="15"/>
      <c r="O1129" s="15"/>
      <c r="P1129" s="15"/>
      <c r="Q1129" s="15"/>
      <c r="R1129" s="15"/>
    </row>
    <row r="1130" spans="12:18" x14ac:dyDescent="0.2">
      <c r="L1130" s="15"/>
      <c r="M1130" s="15"/>
      <c r="N1130" s="15"/>
      <c r="O1130" s="15"/>
      <c r="P1130" s="15"/>
      <c r="Q1130" s="15"/>
      <c r="R1130" s="15"/>
    </row>
    <row r="1131" spans="12:18" x14ac:dyDescent="0.2">
      <c r="L1131" s="15"/>
      <c r="M1131" s="15"/>
      <c r="N1131" s="15"/>
      <c r="O1131" s="15"/>
      <c r="P1131" s="15"/>
      <c r="Q1131" s="15"/>
      <c r="R1131" s="15"/>
    </row>
    <row r="1132" spans="12:18" x14ac:dyDescent="0.2">
      <c r="L1132" s="15"/>
      <c r="M1132" s="15"/>
      <c r="N1132" s="15"/>
      <c r="O1132" s="15"/>
      <c r="P1132" s="15"/>
      <c r="Q1132" s="15"/>
      <c r="R1132" s="15"/>
    </row>
    <row r="1133" spans="12:18" x14ac:dyDescent="0.2">
      <c r="L1133" s="15"/>
      <c r="M1133" s="15"/>
      <c r="N1133" s="15"/>
      <c r="O1133" s="15"/>
      <c r="P1133" s="15"/>
      <c r="Q1133" s="15"/>
      <c r="R1133" s="15"/>
    </row>
    <row r="1134" spans="12:18" x14ac:dyDescent="0.2">
      <c r="L1134" s="15"/>
      <c r="M1134" s="15"/>
      <c r="N1134" s="15"/>
      <c r="O1134" s="15"/>
      <c r="P1134" s="15"/>
      <c r="Q1134" s="15"/>
      <c r="R1134" s="15"/>
    </row>
    <row r="1135" spans="12:18" x14ac:dyDescent="0.2">
      <c r="L1135" s="15"/>
      <c r="M1135" s="15"/>
      <c r="N1135" s="15"/>
      <c r="O1135" s="15"/>
      <c r="P1135" s="15"/>
      <c r="Q1135" s="15"/>
      <c r="R1135" s="15"/>
    </row>
    <row r="1136" spans="12:18" x14ac:dyDescent="0.2">
      <c r="L1136" s="15"/>
      <c r="M1136" s="15"/>
      <c r="N1136" s="15"/>
      <c r="O1136" s="15"/>
      <c r="P1136" s="15"/>
      <c r="Q1136" s="15"/>
      <c r="R1136" s="15"/>
    </row>
    <row r="1137" spans="12:18" x14ac:dyDescent="0.2">
      <c r="L1137" s="15"/>
      <c r="M1137" s="15"/>
      <c r="N1137" s="15"/>
      <c r="O1137" s="15"/>
      <c r="P1137" s="15"/>
      <c r="Q1137" s="15"/>
      <c r="R1137" s="15"/>
    </row>
    <row r="1138" spans="12:18" x14ac:dyDescent="0.2">
      <c r="L1138" s="15"/>
      <c r="M1138" s="15"/>
      <c r="N1138" s="15"/>
      <c r="O1138" s="15"/>
      <c r="P1138" s="15"/>
      <c r="Q1138" s="15"/>
      <c r="R1138" s="15"/>
    </row>
    <row r="1139" spans="12:18" x14ac:dyDescent="0.2">
      <c r="L1139" s="15"/>
      <c r="M1139" s="15"/>
      <c r="N1139" s="15"/>
      <c r="O1139" s="15"/>
      <c r="P1139" s="15"/>
      <c r="Q1139" s="15"/>
      <c r="R1139" s="15"/>
    </row>
    <row r="1140" spans="12:18" x14ac:dyDescent="0.2">
      <c r="L1140" s="15"/>
      <c r="M1140" s="15"/>
      <c r="N1140" s="15"/>
      <c r="O1140" s="15"/>
      <c r="P1140" s="15"/>
      <c r="Q1140" s="15"/>
      <c r="R1140" s="15"/>
    </row>
    <row r="1141" spans="12:18" x14ac:dyDescent="0.2">
      <c r="L1141" s="15"/>
      <c r="M1141" s="15"/>
      <c r="N1141" s="15"/>
      <c r="O1141" s="15"/>
      <c r="P1141" s="15"/>
      <c r="Q1141" s="15"/>
      <c r="R1141" s="15"/>
    </row>
    <row r="1142" spans="12:18" x14ac:dyDescent="0.2">
      <c r="L1142" s="15"/>
      <c r="M1142" s="15"/>
      <c r="N1142" s="15"/>
      <c r="O1142" s="15"/>
      <c r="P1142" s="15"/>
      <c r="Q1142" s="15"/>
      <c r="R1142" s="15"/>
    </row>
    <row r="1143" spans="12:18" x14ac:dyDescent="0.2">
      <c r="L1143" s="15"/>
      <c r="M1143" s="15"/>
      <c r="N1143" s="15"/>
      <c r="O1143" s="15"/>
      <c r="P1143" s="15"/>
      <c r="Q1143" s="15"/>
      <c r="R1143" s="15"/>
    </row>
    <row r="1144" spans="12:18" x14ac:dyDescent="0.2">
      <c r="L1144" s="15"/>
      <c r="M1144" s="15"/>
      <c r="N1144" s="15"/>
      <c r="O1144" s="15"/>
      <c r="P1144" s="15"/>
      <c r="Q1144" s="15"/>
      <c r="R1144" s="15"/>
    </row>
    <row r="1145" spans="12:18" x14ac:dyDescent="0.2">
      <c r="L1145" s="15"/>
      <c r="M1145" s="15"/>
      <c r="N1145" s="15"/>
      <c r="O1145" s="15"/>
      <c r="P1145" s="15"/>
      <c r="Q1145" s="15"/>
      <c r="R1145" s="15"/>
    </row>
    <row r="1146" spans="12:18" x14ac:dyDescent="0.2">
      <c r="L1146" s="15"/>
      <c r="M1146" s="15"/>
      <c r="N1146" s="15"/>
      <c r="O1146" s="15"/>
      <c r="P1146" s="15"/>
      <c r="Q1146" s="15"/>
      <c r="R1146" s="15"/>
    </row>
    <row r="1147" spans="12:18" x14ac:dyDescent="0.2">
      <c r="L1147" s="15"/>
      <c r="M1147" s="15"/>
      <c r="N1147" s="15"/>
      <c r="O1147" s="15"/>
      <c r="P1147" s="15"/>
      <c r="Q1147" s="15"/>
      <c r="R1147" s="15"/>
    </row>
    <row r="1148" spans="12:18" x14ac:dyDescent="0.2">
      <c r="L1148" s="15"/>
      <c r="M1148" s="15"/>
      <c r="N1148" s="15"/>
      <c r="O1148" s="15"/>
      <c r="P1148" s="15"/>
      <c r="Q1148" s="15"/>
      <c r="R1148" s="15"/>
    </row>
    <row r="1149" spans="12:18" x14ac:dyDescent="0.2">
      <c r="L1149" s="15"/>
      <c r="M1149" s="15"/>
      <c r="N1149" s="15"/>
      <c r="O1149" s="15"/>
      <c r="P1149" s="15"/>
      <c r="Q1149" s="15"/>
      <c r="R1149" s="15"/>
    </row>
    <row r="1150" spans="12:18" x14ac:dyDescent="0.2">
      <c r="L1150" s="15"/>
      <c r="M1150" s="15"/>
      <c r="N1150" s="15"/>
      <c r="O1150" s="15"/>
      <c r="P1150" s="15"/>
      <c r="Q1150" s="15"/>
      <c r="R1150" s="15"/>
    </row>
    <row r="1151" spans="12:18" x14ac:dyDescent="0.2">
      <c r="L1151" s="15"/>
      <c r="M1151" s="15"/>
      <c r="N1151" s="15"/>
      <c r="O1151" s="15"/>
      <c r="P1151" s="15"/>
      <c r="Q1151" s="15"/>
      <c r="R1151" s="15"/>
    </row>
    <row r="1152" spans="12:18" x14ac:dyDescent="0.2">
      <c r="L1152" s="15"/>
      <c r="M1152" s="15"/>
      <c r="N1152" s="15"/>
      <c r="O1152" s="15"/>
      <c r="P1152" s="15"/>
      <c r="Q1152" s="15"/>
      <c r="R1152" s="15"/>
    </row>
    <row r="1153" spans="12:18" x14ac:dyDescent="0.2">
      <c r="L1153" s="15"/>
      <c r="M1153" s="15"/>
      <c r="N1153" s="15"/>
      <c r="O1153" s="15"/>
      <c r="P1153" s="15"/>
      <c r="Q1153" s="15"/>
      <c r="R1153" s="15"/>
    </row>
    <row r="1154" spans="12:18" x14ac:dyDescent="0.2">
      <c r="L1154" s="15"/>
      <c r="M1154" s="15"/>
      <c r="N1154" s="15"/>
      <c r="O1154" s="15"/>
      <c r="P1154" s="15"/>
      <c r="Q1154" s="15"/>
      <c r="R1154" s="15"/>
    </row>
    <row r="1155" spans="12:18" x14ac:dyDescent="0.2">
      <c r="L1155" s="15"/>
      <c r="M1155" s="15"/>
      <c r="N1155" s="15"/>
      <c r="O1155" s="15"/>
      <c r="P1155" s="15"/>
      <c r="Q1155" s="15"/>
      <c r="R1155" s="15"/>
    </row>
    <row r="1156" spans="12:18" x14ac:dyDescent="0.2">
      <c r="L1156" s="15"/>
      <c r="M1156" s="15"/>
      <c r="N1156" s="15"/>
      <c r="O1156" s="15"/>
      <c r="P1156" s="15"/>
      <c r="Q1156" s="15"/>
      <c r="R1156" s="15"/>
    </row>
    <row r="1157" spans="12:18" x14ac:dyDescent="0.2">
      <c r="L1157" s="15"/>
      <c r="M1157" s="15"/>
      <c r="N1157" s="15"/>
      <c r="O1157" s="15"/>
      <c r="P1157" s="15"/>
      <c r="Q1157" s="15"/>
      <c r="R1157" s="15"/>
    </row>
    <row r="1158" spans="12:18" x14ac:dyDescent="0.2">
      <c r="L1158" s="15"/>
      <c r="M1158" s="15"/>
      <c r="N1158" s="15"/>
      <c r="O1158" s="15"/>
      <c r="P1158" s="15"/>
      <c r="Q1158" s="15"/>
      <c r="R1158" s="15"/>
    </row>
    <row r="1159" spans="12:18" x14ac:dyDescent="0.2">
      <c r="L1159" s="15"/>
      <c r="M1159" s="15"/>
      <c r="N1159" s="15"/>
      <c r="O1159" s="15"/>
      <c r="P1159" s="15"/>
      <c r="Q1159" s="15"/>
      <c r="R1159" s="15"/>
    </row>
    <row r="1160" spans="12:18" x14ac:dyDescent="0.2">
      <c r="L1160" s="15"/>
      <c r="M1160" s="15"/>
      <c r="N1160" s="15"/>
      <c r="O1160" s="15"/>
      <c r="P1160" s="15"/>
      <c r="Q1160" s="15"/>
      <c r="R1160" s="15"/>
    </row>
    <row r="1161" spans="12:18" x14ac:dyDescent="0.2">
      <c r="L1161" s="15"/>
      <c r="M1161" s="15"/>
      <c r="N1161" s="15"/>
      <c r="O1161" s="15"/>
      <c r="P1161" s="15"/>
      <c r="Q1161" s="15"/>
      <c r="R1161" s="15"/>
    </row>
    <row r="1162" spans="12:18" x14ac:dyDescent="0.2">
      <c r="L1162" s="15"/>
      <c r="M1162" s="15"/>
      <c r="N1162" s="15"/>
      <c r="O1162" s="15"/>
      <c r="P1162" s="15"/>
      <c r="Q1162" s="15"/>
      <c r="R1162" s="15"/>
    </row>
    <row r="1163" spans="12:18" x14ac:dyDescent="0.2">
      <c r="L1163" s="15"/>
      <c r="M1163" s="15"/>
      <c r="N1163" s="15"/>
      <c r="O1163" s="15"/>
      <c r="P1163" s="15"/>
      <c r="Q1163" s="15"/>
      <c r="R1163" s="15"/>
    </row>
    <row r="1164" spans="12:18" x14ac:dyDescent="0.2">
      <c r="L1164" s="15"/>
      <c r="M1164" s="15"/>
      <c r="N1164" s="15"/>
      <c r="O1164" s="15"/>
      <c r="P1164" s="15"/>
      <c r="Q1164" s="15"/>
      <c r="R1164" s="15"/>
    </row>
    <row r="1165" spans="12:18" x14ac:dyDescent="0.2">
      <c r="L1165" s="15"/>
      <c r="M1165" s="15"/>
      <c r="N1165" s="15"/>
      <c r="O1165" s="15"/>
      <c r="P1165" s="15"/>
      <c r="Q1165" s="15"/>
      <c r="R1165" s="15"/>
    </row>
    <row r="1166" spans="12:18" x14ac:dyDescent="0.2">
      <c r="L1166" s="15"/>
      <c r="M1166" s="15"/>
      <c r="N1166" s="15"/>
      <c r="O1166" s="15"/>
      <c r="P1166" s="15"/>
      <c r="Q1166" s="15"/>
      <c r="R1166" s="15"/>
    </row>
    <row r="1167" spans="12:18" x14ac:dyDescent="0.2">
      <c r="L1167" s="15"/>
      <c r="M1167" s="15"/>
      <c r="N1167" s="15"/>
      <c r="O1167" s="15"/>
      <c r="P1167" s="15"/>
      <c r="Q1167" s="15"/>
      <c r="R1167" s="15"/>
    </row>
    <row r="1168" spans="12:18" x14ac:dyDescent="0.2">
      <c r="L1168" s="15"/>
      <c r="M1168" s="15"/>
      <c r="N1168" s="15"/>
      <c r="O1168" s="15"/>
      <c r="P1168" s="15"/>
      <c r="Q1168" s="15"/>
      <c r="R1168" s="15"/>
    </row>
    <row r="1169" spans="12:18" x14ac:dyDescent="0.2">
      <c r="L1169" s="15"/>
      <c r="M1169" s="15"/>
      <c r="N1169" s="15"/>
      <c r="O1169" s="15"/>
      <c r="P1169" s="15"/>
      <c r="Q1169" s="15"/>
      <c r="R1169" s="15"/>
    </row>
    <row r="1170" spans="12:18" x14ac:dyDescent="0.2">
      <c r="L1170" s="15"/>
      <c r="M1170" s="15"/>
      <c r="N1170" s="15"/>
      <c r="O1170" s="15"/>
      <c r="P1170" s="15"/>
      <c r="Q1170" s="15"/>
      <c r="R1170" s="15"/>
    </row>
    <row r="1171" spans="12:18" x14ac:dyDescent="0.2">
      <c r="L1171" s="15"/>
      <c r="M1171" s="15"/>
      <c r="N1171" s="15"/>
      <c r="O1171" s="15"/>
      <c r="P1171" s="15"/>
      <c r="Q1171" s="15"/>
      <c r="R1171" s="15"/>
    </row>
    <row r="1172" spans="12:18" x14ac:dyDescent="0.2">
      <c r="L1172" s="15"/>
      <c r="M1172" s="15"/>
      <c r="N1172" s="15"/>
      <c r="O1172" s="15"/>
      <c r="P1172" s="15"/>
      <c r="Q1172" s="15"/>
      <c r="R1172" s="15"/>
    </row>
    <row r="1173" spans="12:18" x14ac:dyDescent="0.2">
      <c r="L1173" s="15"/>
      <c r="M1173" s="15"/>
      <c r="N1173" s="15"/>
      <c r="O1173" s="15"/>
      <c r="P1173" s="15"/>
      <c r="Q1173" s="15"/>
      <c r="R1173" s="15"/>
    </row>
    <row r="1174" spans="12:18" x14ac:dyDescent="0.2">
      <c r="L1174" s="15"/>
      <c r="M1174" s="15"/>
      <c r="N1174" s="15"/>
      <c r="O1174" s="15"/>
      <c r="P1174" s="15"/>
      <c r="Q1174" s="15"/>
      <c r="R1174" s="15"/>
    </row>
    <row r="1175" spans="12:18" x14ac:dyDescent="0.2">
      <c r="L1175" s="15"/>
      <c r="M1175" s="15"/>
      <c r="N1175" s="15"/>
      <c r="O1175" s="15"/>
      <c r="P1175" s="15"/>
      <c r="Q1175" s="15"/>
      <c r="R1175" s="15"/>
    </row>
    <row r="1176" spans="12:18" x14ac:dyDescent="0.2">
      <c r="L1176" s="15"/>
      <c r="M1176" s="15"/>
      <c r="N1176" s="15"/>
      <c r="O1176" s="15"/>
      <c r="P1176" s="15"/>
      <c r="Q1176" s="15"/>
      <c r="R1176" s="15"/>
    </row>
    <row r="1177" spans="12:18" x14ac:dyDescent="0.2">
      <c r="L1177" s="15"/>
      <c r="M1177" s="15"/>
      <c r="N1177" s="15"/>
      <c r="O1177" s="15"/>
      <c r="P1177" s="15"/>
      <c r="Q1177" s="15"/>
      <c r="R1177" s="15"/>
    </row>
    <row r="1178" spans="12:18" x14ac:dyDescent="0.2">
      <c r="L1178" s="15"/>
      <c r="M1178" s="15"/>
      <c r="N1178" s="15"/>
      <c r="O1178" s="15"/>
      <c r="P1178" s="15"/>
      <c r="Q1178" s="15"/>
      <c r="R1178" s="15"/>
    </row>
    <row r="1179" spans="12:18" x14ac:dyDescent="0.2">
      <c r="L1179" s="15"/>
      <c r="M1179" s="15"/>
      <c r="N1179" s="15"/>
      <c r="O1179" s="15"/>
      <c r="P1179" s="15"/>
      <c r="Q1179" s="15"/>
      <c r="R1179" s="15"/>
    </row>
    <row r="1180" spans="12:18" x14ac:dyDescent="0.2">
      <c r="L1180" s="15"/>
      <c r="M1180" s="15"/>
      <c r="N1180" s="15"/>
      <c r="O1180" s="15"/>
      <c r="P1180" s="15"/>
      <c r="Q1180" s="15"/>
      <c r="R1180" s="15"/>
    </row>
    <row r="1181" spans="12:18" x14ac:dyDescent="0.2">
      <c r="L1181" s="15"/>
      <c r="M1181" s="15"/>
      <c r="N1181" s="15"/>
      <c r="O1181" s="15"/>
      <c r="P1181" s="15"/>
      <c r="Q1181" s="15"/>
      <c r="R1181" s="15"/>
    </row>
    <row r="1182" spans="12:18" x14ac:dyDescent="0.2">
      <c r="L1182" s="15"/>
      <c r="M1182" s="15"/>
      <c r="N1182" s="15"/>
      <c r="O1182" s="15"/>
      <c r="P1182" s="15"/>
      <c r="Q1182" s="15"/>
      <c r="R1182" s="15"/>
    </row>
    <row r="1183" spans="12:18" x14ac:dyDescent="0.2">
      <c r="L1183" s="15"/>
      <c r="M1183" s="15"/>
      <c r="N1183" s="15"/>
      <c r="O1183" s="15"/>
      <c r="P1183" s="15"/>
      <c r="Q1183" s="15"/>
      <c r="R1183" s="15"/>
    </row>
    <row r="1184" spans="12:18" x14ac:dyDescent="0.2">
      <c r="L1184" s="15"/>
      <c r="M1184" s="15"/>
      <c r="N1184" s="15"/>
      <c r="O1184" s="15"/>
      <c r="P1184" s="15"/>
      <c r="Q1184" s="15"/>
      <c r="R1184" s="15"/>
    </row>
    <row r="1185" spans="12:18" x14ac:dyDescent="0.2">
      <c r="L1185" s="15"/>
      <c r="M1185" s="15"/>
      <c r="N1185" s="15"/>
      <c r="O1185" s="15"/>
      <c r="P1185" s="15"/>
      <c r="Q1185" s="15"/>
      <c r="R1185" s="15"/>
    </row>
    <row r="1186" spans="12:18" x14ac:dyDescent="0.2">
      <c r="L1186" s="15"/>
      <c r="M1186" s="15"/>
      <c r="N1186" s="15"/>
      <c r="O1186" s="15"/>
      <c r="P1186" s="15"/>
      <c r="Q1186" s="15"/>
      <c r="R1186" s="15"/>
    </row>
    <row r="1187" spans="12:18" x14ac:dyDescent="0.2">
      <c r="L1187" s="15"/>
      <c r="M1187" s="15"/>
      <c r="N1187" s="15"/>
      <c r="O1187" s="15"/>
      <c r="P1187" s="15"/>
      <c r="Q1187" s="15"/>
      <c r="R1187" s="15"/>
    </row>
    <row r="1188" spans="12:18" x14ac:dyDescent="0.2">
      <c r="L1188" s="15"/>
      <c r="M1188" s="15"/>
      <c r="N1188" s="15"/>
      <c r="O1188" s="15"/>
      <c r="P1188" s="15"/>
      <c r="Q1188" s="15"/>
      <c r="R1188" s="15"/>
    </row>
    <row r="1189" spans="12:18" x14ac:dyDescent="0.2">
      <c r="L1189" s="15"/>
      <c r="M1189" s="15"/>
      <c r="N1189" s="15"/>
      <c r="O1189" s="15"/>
      <c r="P1189" s="15"/>
      <c r="Q1189" s="15"/>
      <c r="R1189" s="15"/>
    </row>
    <row r="1190" spans="12:18" x14ac:dyDescent="0.2">
      <c r="L1190" s="15"/>
      <c r="M1190" s="15"/>
      <c r="N1190" s="15"/>
      <c r="O1190" s="15"/>
      <c r="P1190" s="15"/>
      <c r="Q1190" s="15"/>
      <c r="R1190" s="15"/>
    </row>
    <row r="1191" spans="12:18" x14ac:dyDescent="0.2">
      <c r="L1191" s="15"/>
      <c r="M1191" s="15"/>
      <c r="N1191" s="15"/>
      <c r="O1191" s="15"/>
      <c r="P1191" s="15"/>
      <c r="Q1191" s="15"/>
      <c r="R1191" s="15"/>
    </row>
    <row r="1192" spans="12:18" x14ac:dyDescent="0.2">
      <c r="L1192" s="15"/>
      <c r="M1192" s="15"/>
      <c r="N1192" s="15"/>
      <c r="O1192" s="15"/>
      <c r="P1192" s="15"/>
      <c r="Q1192" s="15"/>
      <c r="R1192" s="15"/>
    </row>
    <row r="1193" spans="12:18" x14ac:dyDescent="0.2">
      <c r="L1193" s="15"/>
      <c r="M1193" s="15"/>
      <c r="N1193" s="15"/>
      <c r="O1193" s="15"/>
      <c r="P1193" s="15"/>
      <c r="Q1193" s="15"/>
      <c r="R1193" s="15"/>
    </row>
    <row r="1194" spans="12:18" x14ac:dyDescent="0.2">
      <c r="L1194" s="15"/>
      <c r="M1194" s="15"/>
      <c r="N1194" s="15"/>
      <c r="O1194" s="15"/>
      <c r="P1194" s="15"/>
      <c r="Q1194" s="15"/>
      <c r="R1194" s="15"/>
    </row>
    <row r="1195" spans="12:18" x14ac:dyDescent="0.2">
      <c r="L1195" s="15"/>
      <c r="M1195" s="15"/>
      <c r="N1195" s="15"/>
      <c r="O1195" s="15"/>
      <c r="P1195" s="15"/>
      <c r="Q1195" s="15"/>
      <c r="R1195" s="15"/>
    </row>
    <row r="1196" spans="12:18" x14ac:dyDescent="0.2">
      <c r="L1196" s="15"/>
      <c r="M1196" s="15"/>
      <c r="N1196" s="15"/>
      <c r="O1196" s="15"/>
      <c r="P1196" s="15"/>
      <c r="Q1196" s="15"/>
      <c r="R1196" s="15"/>
    </row>
    <row r="1197" spans="12:18" x14ac:dyDescent="0.2">
      <c r="L1197" s="15"/>
      <c r="M1197" s="15"/>
      <c r="N1197" s="15"/>
      <c r="O1197" s="15"/>
      <c r="P1197" s="15"/>
      <c r="Q1197" s="15"/>
      <c r="R1197" s="15"/>
    </row>
    <row r="1198" spans="12:18" x14ac:dyDescent="0.2">
      <c r="L1198" s="15"/>
      <c r="M1198" s="15"/>
      <c r="N1198" s="15"/>
      <c r="O1198" s="15"/>
      <c r="P1198" s="15"/>
      <c r="Q1198" s="15"/>
      <c r="R1198" s="15"/>
    </row>
    <row r="1199" spans="12:18" x14ac:dyDescent="0.2">
      <c r="L1199" s="15"/>
      <c r="M1199" s="15"/>
      <c r="N1199" s="15"/>
      <c r="O1199" s="15"/>
      <c r="P1199" s="15"/>
      <c r="Q1199" s="15"/>
      <c r="R1199" s="15"/>
    </row>
    <row r="1200" spans="12:18" x14ac:dyDescent="0.2">
      <c r="L1200" s="15"/>
      <c r="M1200" s="15"/>
      <c r="N1200" s="15"/>
      <c r="O1200" s="15"/>
      <c r="P1200" s="15"/>
      <c r="Q1200" s="15"/>
      <c r="R1200" s="15"/>
    </row>
    <row r="1201" spans="12:18" x14ac:dyDescent="0.2">
      <c r="L1201" s="15"/>
      <c r="M1201" s="15"/>
      <c r="N1201" s="15"/>
      <c r="O1201" s="15"/>
      <c r="P1201" s="15"/>
      <c r="Q1201" s="15"/>
      <c r="R1201" s="15"/>
    </row>
    <row r="1202" spans="12:18" x14ac:dyDescent="0.2">
      <c r="L1202" s="15"/>
      <c r="M1202" s="15"/>
      <c r="N1202" s="15"/>
      <c r="O1202" s="15"/>
      <c r="P1202" s="15"/>
      <c r="Q1202" s="15"/>
      <c r="R1202" s="15"/>
    </row>
    <row r="1203" spans="12:18" x14ac:dyDescent="0.2">
      <c r="L1203" s="15"/>
      <c r="M1203" s="15"/>
      <c r="N1203" s="15"/>
      <c r="O1203" s="15"/>
      <c r="P1203" s="15"/>
      <c r="Q1203" s="15"/>
      <c r="R1203" s="15"/>
    </row>
    <row r="1204" spans="12:18" x14ac:dyDescent="0.2">
      <c r="L1204" s="15"/>
      <c r="M1204" s="15"/>
      <c r="N1204" s="15"/>
      <c r="O1204" s="15"/>
      <c r="P1204" s="15"/>
      <c r="Q1204" s="15"/>
      <c r="R1204" s="15"/>
    </row>
    <row r="1205" spans="12:18" x14ac:dyDescent="0.2">
      <c r="L1205" s="15"/>
      <c r="M1205" s="15"/>
      <c r="N1205" s="15"/>
      <c r="O1205" s="15"/>
      <c r="P1205" s="15"/>
      <c r="Q1205" s="15"/>
      <c r="R1205" s="15"/>
    </row>
    <row r="1206" spans="12:18" x14ac:dyDescent="0.2">
      <c r="L1206" s="15"/>
      <c r="M1206" s="15"/>
      <c r="N1206" s="15"/>
      <c r="O1206" s="15"/>
      <c r="P1206" s="15"/>
      <c r="Q1206" s="15"/>
      <c r="R1206" s="15"/>
    </row>
    <row r="1207" spans="12:18" x14ac:dyDescent="0.2">
      <c r="L1207" s="15"/>
      <c r="M1207" s="15"/>
      <c r="N1207" s="15"/>
      <c r="O1207" s="15"/>
      <c r="P1207" s="15"/>
      <c r="Q1207" s="15"/>
      <c r="R1207" s="15"/>
    </row>
    <row r="1208" spans="12:18" x14ac:dyDescent="0.2">
      <c r="L1208" s="15"/>
      <c r="M1208" s="15"/>
      <c r="N1208" s="15"/>
      <c r="O1208" s="15"/>
      <c r="P1208" s="15"/>
      <c r="Q1208" s="15"/>
      <c r="R1208" s="15"/>
    </row>
    <row r="1209" spans="12:18" x14ac:dyDescent="0.2">
      <c r="L1209" s="15"/>
      <c r="M1209" s="15"/>
      <c r="N1209" s="15"/>
      <c r="O1209" s="15"/>
      <c r="P1209" s="15"/>
      <c r="Q1209" s="15"/>
      <c r="R1209" s="15"/>
    </row>
    <row r="1210" spans="12:18" x14ac:dyDescent="0.2">
      <c r="L1210" s="15"/>
      <c r="M1210" s="15"/>
      <c r="N1210" s="15"/>
      <c r="O1210" s="15"/>
      <c r="P1210" s="15"/>
      <c r="Q1210" s="15"/>
      <c r="R1210" s="15"/>
    </row>
    <row r="1211" spans="12:18" x14ac:dyDescent="0.2">
      <c r="L1211" s="15"/>
      <c r="M1211" s="15"/>
      <c r="N1211" s="15"/>
      <c r="O1211" s="15"/>
      <c r="P1211" s="15"/>
      <c r="Q1211" s="15"/>
      <c r="R1211" s="15"/>
    </row>
    <row r="1212" spans="12:18" x14ac:dyDescent="0.2">
      <c r="L1212" s="15"/>
      <c r="M1212" s="15"/>
      <c r="N1212" s="15"/>
      <c r="O1212" s="15"/>
      <c r="P1212" s="15"/>
      <c r="Q1212" s="15"/>
      <c r="R1212" s="15"/>
    </row>
    <row r="1213" spans="12:18" x14ac:dyDescent="0.2">
      <c r="L1213" s="15"/>
      <c r="M1213" s="15"/>
      <c r="N1213" s="15"/>
      <c r="O1213" s="15"/>
      <c r="P1213" s="15"/>
      <c r="Q1213" s="15"/>
      <c r="R1213" s="15"/>
    </row>
    <row r="1214" spans="12:18" x14ac:dyDescent="0.2">
      <c r="L1214" s="15"/>
      <c r="M1214" s="15"/>
      <c r="N1214" s="15"/>
      <c r="O1214" s="15"/>
      <c r="P1214" s="15"/>
      <c r="Q1214" s="15"/>
      <c r="R1214" s="15"/>
    </row>
    <row r="1215" spans="12:18" x14ac:dyDescent="0.2">
      <c r="L1215" s="15"/>
      <c r="M1215" s="15"/>
      <c r="N1215" s="15"/>
      <c r="O1215" s="15"/>
      <c r="P1215" s="15"/>
      <c r="Q1215" s="15"/>
      <c r="R1215" s="15"/>
    </row>
    <row r="1216" spans="12:18" x14ac:dyDescent="0.2">
      <c r="L1216" s="15"/>
      <c r="M1216" s="15"/>
      <c r="N1216" s="15"/>
      <c r="O1216" s="15"/>
      <c r="P1216" s="15"/>
      <c r="Q1216" s="15"/>
      <c r="R1216" s="15"/>
    </row>
    <row r="1217" spans="12:18" x14ac:dyDescent="0.2">
      <c r="L1217" s="15"/>
      <c r="M1217" s="15"/>
      <c r="N1217" s="15"/>
      <c r="O1217" s="15"/>
      <c r="P1217" s="15"/>
      <c r="Q1217" s="15"/>
      <c r="R1217" s="15"/>
    </row>
    <row r="1218" spans="12:18" x14ac:dyDescent="0.2">
      <c r="L1218" s="15"/>
      <c r="M1218" s="15"/>
      <c r="N1218" s="15"/>
      <c r="O1218" s="15"/>
      <c r="P1218" s="15"/>
      <c r="Q1218" s="15"/>
      <c r="R1218" s="15"/>
    </row>
    <row r="1219" spans="12:18" x14ac:dyDescent="0.2">
      <c r="L1219" s="15"/>
      <c r="M1219" s="15"/>
      <c r="N1219" s="15"/>
      <c r="O1219" s="15"/>
      <c r="P1219" s="15"/>
      <c r="Q1219" s="15"/>
      <c r="R1219" s="15"/>
    </row>
    <row r="1220" spans="12:18" x14ac:dyDescent="0.2">
      <c r="L1220" s="15"/>
      <c r="M1220" s="15"/>
      <c r="N1220" s="15"/>
      <c r="O1220" s="15"/>
      <c r="P1220" s="15"/>
      <c r="Q1220" s="15"/>
      <c r="R1220" s="15"/>
    </row>
    <row r="1221" spans="12:18" x14ac:dyDescent="0.2">
      <c r="L1221" s="15"/>
      <c r="M1221" s="15"/>
      <c r="N1221" s="15"/>
      <c r="O1221" s="15"/>
      <c r="P1221" s="15"/>
      <c r="Q1221" s="15"/>
      <c r="R1221" s="15"/>
    </row>
    <row r="1222" spans="12:18" x14ac:dyDescent="0.2">
      <c r="L1222" s="15"/>
      <c r="M1222" s="15"/>
      <c r="N1222" s="15"/>
      <c r="O1222" s="15"/>
      <c r="P1222" s="15"/>
      <c r="Q1222" s="15"/>
      <c r="R1222" s="15"/>
    </row>
    <row r="1223" spans="12:18" x14ac:dyDescent="0.2">
      <c r="L1223" s="15"/>
      <c r="M1223" s="15"/>
      <c r="N1223" s="15"/>
      <c r="O1223" s="15"/>
      <c r="P1223" s="15"/>
      <c r="Q1223" s="15"/>
      <c r="R1223" s="15"/>
    </row>
    <row r="1224" spans="12:18" x14ac:dyDescent="0.2">
      <c r="L1224" s="15"/>
      <c r="M1224" s="15"/>
      <c r="N1224" s="15"/>
      <c r="O1224" s="15"/>
      <c r="P1224" s="15"/>
      <c r="Q1224" s="15"/>
      <c r="R1224" s="15"/>
    </row>
    <row r="1225" spans="12:18" x14ac:dyDescent="0.2">
      <c r="L1225" s="15"/>
      <c r="M1225" s="15"/>
      <c r="N1225" s="15"/>
      <c r="O1225" s="15"/>
      <c r="P1225" s="15"/>
      <c r="Q1225" s="15"/>
      <c r="R1225" s="15"/>
    </row>
    <row r="1226" spans="12:18" x14ac:dyDescent="0.2">
      <c r="L1226" s="15"/>
      <c r="M1226" s="15"/>
      <c r="N1226" s="15"/>
      <c r="O1226" s="15"/>
      <c r="P1226" s="15"/>
      <c r="Q1226" s="15"/>
      <c r="R1226" s="15"/>
    </row>
    <row r="1227" spans="12:18" x14ac:dyDescent="0.2">
      <c r="L1227" s="15"/>
      <c r="M1227" s="15"/>
      <c r="N1227" s="15"/>
      <c r="O1227" s="15"/>
      <c r="P1227" s="15"/>
      <c r="Q1227" s="15"/>
      <c r="R1227" s="15"/>
    </row>
    <row r="1228" spans="12:18" x14ac:dyDescent="0.2">
      <c r="L1228" s="15"/>
      <c r="M1228" s="15"/>
      <c r="N1228" s="15"/>
      <c r="O1228" s="15"/>
      <c r="P1228" s="15"/>
      <c r="Q1228" s="15"/>
      <c r="R1228" s="15"/>
    </row>
    <row r="1229" spans="12:18" x14ac:dyDescent="0.2">
      <c r="L1229" s="15"/>
      <c r="M1229" s="15"/>
      <c r="N1229" s="15"/>
      <c r="O1229" s="15"/>
      <c r="P1229" s="15"/>
      <c r="Q1229" s="15"/>
      <c r="R1229" s="15"/>
    </row>
    <row r="1230" spans="12:18" x14ac:dyDescent="0.2">
      <c r="L1230" s="15"/>
      <c r="M1230" s="15"/>
      <c r="N1230" s="15"/>
      <c r="O1230" s="15"/>
      <c r="P1230" s="15"/>
      <c r="Q1230" s="15"/>
      <c r="R1230" s="15"/>
    </row>
    <row r="1231" spans="12:18" x14ac:dyDescent="0.2">
      <c r="L1231" s="15"/>
      <c r="M1231" s="15"/>
      <c r="N1231" s="15"/>
      <c r="O1231" s="15"/>
      <c r="P1231" s="15"/>
      <c r="Q1231" s="15"/>
      <c r="R1231" s="15"/>
    </row>
    <row r="1232" spans="12:18" x14ac:dyDescent="0.2">
      <c r="L1232" s="15"/>
      <c r="M1232" s="15"/>
      <c r="N1232" s="15"/>
      <c r="O1232" s="15"/>
      <c r="P1232" s="15"/>
      <c r="Q1232" s="15"/>
      <c r="R1232" s="15"/>
    </row>
    <row r="1233" spans="12:18" x14ac:dyDescent="0.2">
      <c r="L1233" s="15"/>
      <c r="M1233" s="15"/>
      <c r="N1233" s="15"/>
      <c r="O1233" s="15"/>
      <c r="P1233" s="15"/>
      <c r="Q1233" s="15"/>
      <c r="R1233" s="15"/>
    </row>
    <row r="1234" spans="12:18" x14ac:dyDescent="0.2">
      <c r="L1234" s="15"/>
      <c r="M1234" s="15"/>
      <c r="N1234" s="15"/>
      <c r="O1234" s="15"/>
      <c r="P1234" s="15"/>
      <c r="Q1234" s="15"/>
      <c r="R1234" s="15"/>
    </row>
    <row r="1235" spans="12:18" x14ac:dyDescent="0.2">
      <c r="L1235" s="15"/>
      <c r="M1235" s="15"/>
      <c r="N1235" s="15"/>
      <c r="O1235" s="15"/>
      <c r="P1235" s="15"/>
      <c r="Q1235" s="15"/>
      <c r="R1235" s="15"/>
    </row>
    <row r="1236" spans="12:18" x14ac:dyDescent="0.2">
      <c r="L1236" s="15"/>
      <c r="M1236" s="15"/>
      <c r="N1236" s="15"/>
      <c r="O1236" s="15"/>
      <c r="P1236" s="15"/>
      <c r="Q1236" s="15"/>
      <c r="R1236" s="15"/>
    </row>
    <row r="1237" spans="12:18" x14ac:dyDescent="0.2">
      <c r="L1237" s="15"/>
      <c r="M1237" s="15"/>
      <c r="N1237" s="15"/>
      <c r="O1237" s="15"/>
      <c r="P1237" s="15"/>
      <c r="Q1237" s="15"/>
      <c r="R1237" s="15"/>
    </row>
    <row r="1238" spans="12:18" x14ac:dyDescent="0.2">
      <c r="L1238" s="15"/>
      <c r="M1238" s="15"/>
      <c r="N1238" s="15"/>
      <c r="O1238" s="15"/>
      <c r="P1238" s="15"/>
      <c r="Q1238" s="15"/>
      <c r="R1238" s="15"/>
    </row>
    <row r="1239" spans="12:18" x14ac:dyDescent="0.2">
      <c r="L1239" s="15"/>
      <c r="M1239" s="15"/>
      <c r="N1239" s="15"/>
      <c r="O1239" s="15"/>
      <c r="P1239" s="15"/>
      <c r="Q1239" s="15"/>
      <c r="R1239" s="15"/>
    </row>
    <row r="1240" spans="12:18" x14ac:dyDescent="0.2">
      <c r="L1240" s="15"/>
      <c r="M1240" s="15"/>
      <c r="N1240" s="15"/>
      <c r="O1240" s="15"/>
      <c r="P1240" s="15"/>
      <c r="Q1240" s="15"/>
      <c r="R1240" s="15"/>
    </row>
    <row r="1241" spans="12:18" x14ac:dyDescent="0.2">
      <c r="L1241" s="15"/>
      <c r="M1241" s="15"/>
      <c r="N1241" s="15"/>
      <c r="O1241" s="15"/>
      <c r="P1241" s="15"/>
      <c r="Q1241" s="15"/>
      <c r="R1241" s="15"/>
    </row>
    <row r="1242" spans="12:18" x14ac:dyDescent="0.2">
      <c r="L1242" s="15"/>
      <c r="M1242" s="15"/>
      <c r="N1242" s="15"/>
      <c r="O1242" s="15"/>
      <c r="P1242" s="15"/>
      <c r="Q1242" s="15"/>
      <c r="R1242" s="15"/>
    </row>
    <row r="1243" spans="12:18" x14ac:dyDescent="0.2">
      <c r="L1243" s="15"/>
      <c r="M1243" s="15"/>
      <c r="N1243" s="15"/>
      <c r="O1243" s="15"/>
      <c r="P1243" s="15"/>
      <c r="Q1243" s="15"/>
      <c r="R1243" s="15"/>
    </row>
    <row r="1244" spans="12:18" x14ac:dyDescent="0.2">
      <c r="L1244" s="15"/>
      <c r="M1244" s="15"/>
      <c r="N1244" s="15"/>
      <c r="O1244" s="15"/>
      <c r="P1244" s="15"/>
      <c r="Q1244" s="15"/>
      <c r="R1244" s="15"/>
    </row>
    <row r="1245" spans="12:18" x14ac:dyDescent="0.2">
      <c r="L1245" s="15"/>
      <c r="M1245" s="15"/>
      <c r="N1245" s="15"/>
      <c r="O1245" s="15"/>
      <c r="P1245" s="15"/>
      <c r="Q1245" s="15"/>
      <c r="R1245" s="15"/>
    </row>
    <row r="1246" spans="12:18" x14ac:dyDescent="0.2">
      <c r="L1246" s="15"/>
      <c r="M1246" s="15"/>
      <c r="N1246" s="15"/>
      <c r="O1246" s="15"/>
      <c r="P1246" s="15"/>
      <c r="Q1246" s="15"/>
      <c r="R1246" s="15"/>
    </row>
    <row r="1247" spans="12:18" x14ac:dyDescent="0.2">
      <c r="L1247" s="15"/>
      <c r="M1247" s="15"/>
      <c r="N1247" s="15"/>
      <c r="O1247" s="15"/>
      <c r="P1247" s="15"/>
      <c r="Q1247" s="15"/>
      <c r="R1247" s="15"/>
    </row>
    <row r="1248" spans="12:18" x14ac:dyDescent="0.2">
      <c r="L1248" s="15"/>
      <c r="M1248" s="15"/>
      <c r="N1248" s="15"/>
      <c r="O1248" s="15"/>
      <c r="P1248" s="15"/>
      <c r="Q1248" s="15"/>
      <c r="R1248" s="15"/>
    </row>
    <row r="1249" spans="12:18" x14ac:dyDescent="0.2">
      <c r="L1249" s="15"/>
      <c r="M1249" s="15"/>
      <c r="N1249" s="15"/>
      <c r="O1249" s="15"/>
      <c r="P1249" s="15"/>
      <c r="Q1249" s="15"/>
      <c r="R1249" s="15"/>
    </row>
    <row r="1250" spans="12:18" x14ac:dyDescent="0.2">
      <c r="L1250" s="15"/>
      <c r="M1250" s="15"/>
      <c r="N1250" s="15"/>
      <c r="O1250" s="15"/>
      <c r="P1250" s="15"/>
      <c r="Q1250" s="15"/>
      <c r="R1250" s="15"/>
    </row>
    <row r="1251" spans="12:18" x14ac:dyDescent="0.2">
      <c r="L1251" s="15"/>
      <c r="M1251" s="15"/>
      <c r="N1251" s="15"/>
      <c r="O1251" s="15"/>
      <c r="P1251" s="15"/>
      <c r="Q1251" s="15"/>
      <c r="R1251" s="15"/>
    </row>
    <row r="1252" spans="12:18" x14ac:dyDescent="0.2">
      <c r="L1252" s="15"/>
      <c r="M1252" s="15"/>
      <c r="N1252" s="15"/>
      <c r="O1252" s="15"/>
      <c r="P1252" s="15"/>
      <c r="Q1252" s="15"/>
      <c r="R1252" s="15"/>
    </row>
    <row r="1253" spans="12:18" x14ac:dyDescent="0.2">
      <c r="L1253" s="15"/>
      <c r="M1253" s="15"/>
      <c r="N1253" s="15"/>
      <c r="O1253" s="15"/>
      <c r="P1253" s="15"/>
      <c r="Q1253" s="15"/>
      <c r="R1253" s="15"/>
    </row>
    <row r="1254" spans="12:18" x14ac:dyDescent="0.2">
      <c r="L1254" s="15"/>
      <c r="M1254" s="15"/>
      <c r="N1254" s="15"/>
      <c r="O1254" s="15"/>
      <c r="P1254" s="15"/>
      <c r="Q1254" s="15"/>
      <c r="R1254" s="15"/>
    </row>
    <row r="1255" spans="12:18" x14ac:dyDescent="0.2">
      <c r="L1255" s="15"/>
      <c r="M1255" s="15"/>
      <c r="N1255" s="15"/>
      <c r="O1255" s="15"/>
      <c r="P1255" s="15"/>
      <c r="Q1255" s="15"/>
      <c r="R1255" s="15"/>
    </row>
    <row r="1256" spans="12:18" x14ac:dyDescent="0.2">
      <c r="L1256" s="15"/>
      <c r="M1256" s="15"/>
      <c r="N1256" s="15"/>
      <c r="O1256" s="15"/>
      <c r="P1256" s="15"/>
      <c r="Q1256" s="15"/>
      <c r="R1256" s="15"/>
    </row>
    <row r="1257" spans="12:18" x14ac:dyDescent="0.2">
      <c r="L1257" s="15"/>
      <c r="M1257" s="15"/>
      <c r="N1257" s="15"/>
      <c r="O1257" s="15"/>
      <c r="P1257" s="15"/>
      <c r="Q1257" s="15"/>
      <c r="R1257" s="15"/>
    </row>
    <row r="1258" spans="12:18" x14ac:dyDescent="0.2">
      <c r="L1258" s="15"/>
      <c r="M1258" s="15"/>
      <c r="N1258" s="15"/>
      <c r="O1258" s="15"/>
      <c r="P1258" s="15"/>
      <c r="Q1258" s="15"/>
      <c r="R1258" s="15"/>
    </row>
    <row r="1259" spans="12:18" x14ac:dyDescent="0.2">
      <c r="L1259" s="15"/>
      <c r="M1259" s="15"/>
      <c r="N1259" s="15"/>
      <c r="O1259" s="15"/>
      <c r="P1259" s="15"/>
      <c r="Q1259" s="15"/>
      <c r="R1259" s="15"/>
    </row>
    <row r="1260" spans="12:18" x14ac:dyDescent="0.2">
      <c r="L1260" s="15"/>
      <c r="M1260" s="15"/>
      <c r="N1260" s="15"/>
      <c r="O1260" s="15"/>
      <c r="P1260" s="15"/>
      <c r="Q1260" s="15"/>
      <c r="R1260" s="15"/>
    </row>
    <row r="1261" spans="12:18" x14ac:dyDescent="0.2">
      <c r="L1261" s="15"/>
      <c r="M1261" s="15"/>
      <c r="N1261" s="15"/>
      <c r="O1261" s="15"/>
      <c r="P1261" s="15"/>
      <c r="Q1261" s="15"/>
      <c r="R1261" s="15"/>
    </row>
    <row r="1262" spans="12:18" x14ac:dyDescent="0.2">
      <c r="L1262" s="15"/>
      <c r="M1262" s="15"/>
      <c r="N1262" s="15"/>
      <c r="O1262" s="15"/>
      <c r="P1262" s="15"/>
      <c r="Q1262" s="15"/>
      <c r="R1262" s="15"/>
    </row>
    <row r="1263" spans="12:18" x14ac:dyDescent="0.2">
      <c r="L1263" s="15"/>
      <c r="M1263" s="15"/>
      <c r="N1263" s="15"/>
      <c r="O1263" s="15"/>
      <c r="P1263" s="15"/>
      <c r="Q1263" s="15"/>
      <c r="R1263" s="15"/>
    </row>
    <row r="1264" spans="12:18" x14ac:dyDescent="0.2">
      <c r="L1264" s="15"/>
      <c r="M1264" s="15"/>
      <c r="N1264" s="15"/>
      <c r="O1264" s="15"/>
      <c r="P1264" s="15"/>
      <c r="Q1264" s="15"/>
      <c r="R1264" s="15"/>
    </row>
    <row r="1265" spans="12:18" x14ac:dyDescent="0.2">
      <c r="L1265" s="15"/>
      <c r="M1265" s="15"/>
      <c r="N1265" s="15"/>
      <c r="O1265" s="15"/>
      <c r="P1265" s="15"/>
      <c r="Q1265" s="15"/>
      <c r="R1265" s="15"/>
    </row>
    <row r="1266" spans="12:18" x14ac:dyDescent="0.2">
      <c r="L1266" s="15"/>
      <c r="M1266" s="15"/>
      <c r="N1266" s="15"/>
      <c r="O1266" s="15"/>
      <c r="P1266" s="15"/>
      <c r="Q1266" s="15"/>
      <c r="R1266" s="15"/>
    </row>
    <row r="1267" spans="12:18" x14ac:dyDescent="0.2">
      <c r="L1267" s="15"/>
      <c r="M1267" s="15"/>
      <c r="N1267" s="15"/>
      <c r="O1267" s="15"/>
      <c r="P1267" s="15"/>
      <c r="Q1267" s="15"/>
      <c r="R1267" s="15"/>
    </row>
    <row r="1268" spans="12:18" x14ac:dyDescent="0.2">
      <c r="L1268" s="15"/>
      <c r="M1268" s="15"/>
      <c r="N1268" s="15"/>
      <c r="O1268" s="15"/>
      <c r="P1268" s="15"/>
      <c r="Q1268" s="15"/>
      <c r="R1268" s="15"/>
    </row>
    <row r="1269" spans="12:18" x14ac:dyDescent="0.2">
      <c r="L1269" s="15"/>
      <c r="M1269" s="15"/>
      <c r="N1269" s="15"/>
      <c r="O1269" s="15"/>
      <c r="P1269" s="15"/>
      <c r="Q1269" s="15"/>
      <c r="R1269" s="15"/>
    </row>
    <row r="1270" spans="12:18" x14ac:dyDescent="0.2">
      <c r="L1270" s="15"/>
      <c r="M1270" s="15"/>
      <c r="N1270" s="15"/>
      <c r="O1270" s="15"/>
      <c r="P1270" s="15"/>
      <c r="Q1270" s="15"/>
      <c r="R1270" s="15"/>
    </row>
    <row r="1271" spans="12:18" x14ac:dyDescent="0.2">
      <c r="L1271" s="15"/>
      <c r="M1271" s="15"/>
      <c r="N1271" s="15"/>
      <c r="O1271" s="15"/>
      <c r="P1271" s="15"/>
      <c r="Q1271" s="15"/>
      <c r="R1271" s="15"/>
    </row>
    <row r="1272" spans="12:18" x14ac:dyDescent="0.2">
      <c r="L1272" s="15"/>
      <c r="M1272" s="15"/>
      <c r="N1272" s="15"/>
      <c r="O1272" s="15"/>
      <c r="P1272" s="15"/>
      <c r="Q1272" s="15"/>
      <c r="R1272" s="15"/>
    </row>
    <row r="1273" spans="12:18" x14ac:dyDescent="0.2">
      <c r="L1273" s="15"/>
      <c r="M1273" s="15"/>
      <c r="N1273" s="15"/>
      <c r="O1273" s="15"/>
      <c r="P1273" s="15"/>
      <c r="Q1273" s="15"/>
      <c r="R1273" s="15"/>
    </row>
    <row r="1274" spans="12:18" x14ac:dyDescent="0.2">
      <c r="L1274" s="15"/>
      <c r="M1274" s="15"/>
      <c r="N1274" s="15"/>
      <c r="O1274" s="15"/>
      <c r="P1274" s="15"/>
      <c r="Q1274" s="15"/>
      <c r="R1274" s="15"/>
    </row>
    <row r="1275" spans="12:18" x14ac:dyDescent="0.2">
      <c r="L1275" s="15"/>
      <c r="M1275" s="15"/>
      <c r="N1275" s="15"/>
      <c r="O1275" s="15"/>
      <c r="P1275" s="15"/>
      <c r="Q1275" s="15"/>
      <c r="R1275" s="15"/>
    </row>
    <row r="1276" spans="12:18" x14ac:dyDescent="0.2">
      <c r="L1276" s="15"/>
      <c r="M1276" s="15"/>
      <c r="N1276" s="15"/>
      <c r="O1276" s="15"/>
      <c r="P1276" s="15"/>
      <c r="Q1276" s="15"/>
      <c r="R1276" s="15"/>
    </row>
    <row r="1277" spans="12:18" x14ac:dyDescent="0.2">
      <c r="L1277" s="15"/>
      <c r="M1277" s="15"/>
      <c r="N1277" s="15"/>
      <c r="O1277" s="15"/>
      <c r="P1277" s="15"/>
      <c r="Q1277" s="15"/>
      <c r="R1277" s="15"/>
    </row>
    <row r="1278" spans="12:18" x14ac:dyDescent="0.2">
      <c r="L1278" s="15"/>
      <c r="M1278" s="15"/>
      <c r="N1278" s="15"/>
      <c r="O1278" s="15"/>
      <c r="P1278" s="15"/>
      <c r="Q1278" s="15"/>
      <c r="R1278" s="15"/>
    </row>
    <row r="1279" spans="12:18" x14ac:dyDescent="0.2">
      <c r="L1279" s="15"/>
      <c r="M1279" s="15"/>
      <c r="N1279" s="15"/>
      <c r="O1279" s="15"/>
      <c r="P1279" s="15"/>
      <c r="Q1279" s="15"/>
      <c r="R1279" s="15"/>
    </row>
    <row r="1280" spans="12:18" x14ac:dyDescent="0.2">
      <c r="L1280" s="15"/>
      <c r="M1280" s="15"/>
      <c r="N1280" s="15"/>
      <c r="O1280" s="15"/>
      <c r="P1280" s="15"/>
      <c r="Q1280" s="15"/>
      <c r="R1280" s="15"/>
    </row>
    <row r="1281" spans="12:18" x14ac:dyDescent="0.2">
      <c r="L1281" s="15"/>
      <c r="M1281" s="15"/>
      <c r="N1281" s="15"/>
      <c r="O1281" s="15"/>
      <c r="P1281" s="15"/>
      <c r="Q1281" s="15"/>
      <c r="R1281" s="15"/>
    </row>
    <row r="1282" spans="12:18" x14ac:dyDescent="0.2">
      <c r="L1282" s="15"/>
      <c r="M1282" s="15"/>
      <c r="N1282" s="15"/>
      <c r="O1282" s="15"/>
      <c r="P1282" s="15"/>
      <c r="Q1282" s="15"/>
      <c r="R1282" s="15"/>
    </row>
    <row r="1283" spans="12:18" x14ac:dyDescent="0.2">
      <c r="L1283" s="15"/>
      <c r="M1283" s="15"/>
      <c r="N1283" s="15"/>
      <c r="O1283" s="15"/>
      <c r="P1283" s="15"/>
      <c r="Q1283" s="15"/>
      <c r="R1283" s="15"/>
    </row>
    <row r="1284" spans="12:18" x14ac:dyDescent="0.2">
      <c r="L1284" s="15"/>
      <c r="M1284" s="15"/>
      <c r="N1284" s="15"/>
      <c r="O1284" s="15"/>
      <c r="P1284" s="15"/>
      <c r="Q1284" s="15"/>
      <c r="R1284" s="15"/>
    </row>
    <row r="1285" spans="12:18" x14ac:dyDescent="0.2">
      <c r="L1285" s="15"/>
      <c r="M1285" s="15"/>
      <c r="N1285" s="15"/>
      <c r="O1285" s="15"/>
      <c r="P1285" s="15"/>
      <c r="Q1285" s="15"/>
      <c r="R1285" s="15"/>
    </row>
    <row r="1286" spans="12:18" x14ac:dyDescent="0.2">
      <c r="L1286" s="15"/>
      <c r="M1286" s="15"/>
      <c r="N1286" s="15"/>
      <c r="O1286" s="15"/>
      <c r="P1286" s="15"/>
      <c r="Q1286" s="15"/>
      <c r="R1286" s="15"/>
    </row>
    <row r="1287" spans="12:18" x14ac:dyDescent="0.2">
      <c r="L1287" s="15"/>
      <c r="M1287" s="15"/>
      <c r="N1287" s="15"/>
      <c r="O1287" s="15"/>
      <c r="P1287" s="15"/>
      <c r="Q1287" s="15"/>
      <c r="R1287" s="15"/>
    </row>
    <row r="1288" spans="12:18" x14ac:dyDescent="0.2">
      <c r="L1288" s="15"/>
      <c r="M1288" s="15"/>
      <c r="N1288" s="15"/>
      <c r="O1288" s="15"/>
      <c r="P1288" s="15"/>
      <c r="Q1288" s="15"/>
      <c r="R1288" s="15"/>
    </row>
    <row r="1289" spans="12:18" x14ac:dyDescent="0.2">
      <c r="L1289" s="15"/>
      <c r="M1289" s="15"/>
      <c r="N1289" s="15"/>
      <c r="O1289" s="15"/>
      <c r="P1289" s="15"/>
      <c r="Q1289" s="15"/>
      <c r="R1289" s="15"/>
    </row>
    <row r="1290" spans="12:18" x14ac:dyDescent="0.2">
      <c r="L1290" s="15"/>
      <c r="M1290" s="15"/>
      <c r="N1290" s="15"/>
      <c r="O1290" s="15"/>
      <c r="P1290" s="15"/>
      <c r="Q1290" s="15"/>
      <c r="R1290" s="15"/>
    </row>
    <row r="1291" spans="12:18" x14ac:dyDescent="0.2">
      <c r="L1291" s="15"/>
      <c r="M1291" s="15"/>
      <c r="N1291" s="15"/>
      <c r="O1291" s="15"/>
      <c r="P1291" s="15"/>
      <c r="Q1291" s="15"/>
      <c r="R1291" s="15"/>
    </row>
    <row r="1292" spans="12:18" x14ac:dyDescent="0.2">
      <c r="L1292" s="15"/>
      <c r="M1292" s="15"/>
      <c r="N1292" s="15"/>
      <c r="O1292" s="15"/>
      <c r="P1292" s="15"/>
      <c r="Q1292" s="15"/>
      <c r="R1292" s="15"/>
    </row>
    <row r="1293" spans="12:18" x14ac:dyDescent="0.2">
      <c r="L1293" s="15"/>
      <c r="M1293" s="15"/>
      <c r="N1293" s="15"/>
      <c r="O1293" s="15"/>
      <c r="P1293" s="15"/>
      <c r="Q1293" s="15"/>
      <c r="R1293" s="15"/>
    </row>
    <row r="1294" spans="12:18" x14ac:dyDescent="0.2">
      <c r="L1294" s="15"/>
      <c r="M1294" s="15"/>
      <c r="N1294" s="15"/>
      <c r="O1294" s="15"/>
      <c r="P1294" s="15"/>
      <c r="Q1294" s="15"/>
      <c r="R1294" s="15"/>
    </row>
    <row r="1295" spans="12:18" x14ac:dyDescent="0.2">
      <c r="L1295" s="15"/>
      <c r="M1295" s="15"/>
      <c r="N1295" s="15"/>
      <c r="O1295" s="15"/>
      <c r="P1295" s="15"/>
      <c r="Q1295" s="15"/>
      <c r="R1295" s="15"/>
    </row>
    <row r="1296" spans="12:18" x14ac:dyDescent="0.2">
      <c r="L1296" s="15"/>
      <c r="M1296" s="15"/>
      <c r="N1296" s="15"/>
      <c r="O1296" s="15"/>
      <c r="P1296" s="15"/>
      <c r="Q1296" s="15"/>
      <c r="R1296" s="15"/>
    </row>
    <row r="1297" spans="12:18" x14ac:dyDescent="0.2">
      <c r="L1297" s="15"/>
      <c r="M1297" s="15"/>
      <c r="N1297" s="15"/>
      <c r="O1297" s="15"/>
      <c r="P1297" s="15"/>
      <c r="Q1297" s="15"/>
      <c r="R1297" s="15"/>
    </row>
    <row r="1298" spans="12:18" x14ac:dyDescent="0.2">
      <c r="L1298" s="15"/>
      <c r="M1298" s="15"/>
      <c r="N1298" s="15"/>
      <c r="O1298" s="15"/>
      <c r="P1298" s="15"/>
      <c r="Q1298" s="15"/>
      <c r="R1298" s="15"/>
    </row>
    <row r="1299" spans="12:18" x14ac:dyDescent="0.2">
      <c r="L1299" s="15"/>
      <c r="M1299" s="15"/>
      <c r="N1299" s="15"/>
      <c r="O1299" s="15"/>
      <c r="P1299" s="15"/>
      <c r="Q1299" s="15"/>
      <c r="R1299" s="15"/>
    </row>
    <row r="1300" spans="12:18" x14ac:dyDescent="0.2">
      <c r="L1300" s="15"/>
      <c r="M1300" s="15"/>
      <c r="N1300" s="15"/>
      <c r="O1300" s="15"/>
      <c r="P1300" s="15"/>
      <c r="Q1300" s="15"/>
      <c r="R1300" s="15"/>
    </row>
    <row r="1301" spans="12:18" x14ac:dyDescent="0.2">
      <c r="L1301" s="15"/>
      <c r="M1301" s="15"/>
      <c r="N1301" s="15"/>
      <c r="O1301" s="15"/>
      <c r="P1301" s="15"/>
      <c r="Q1301" s="15"/>
      <c r="R1301" s="15"/>
    </row>
    <row r="1302" spans="12:18" x14ac:dyDescent="0.2">
      <c r="L1302" s="15"/>
      <c r="M1302" s="15"/>
      <c r="N1302" s="15"/>
      <c r="O1302" s="15"/>
      <c r="P1302" s="15"/>
      <c r="Q1302" s="15"/>
      <c r="R1302" s="15"/>
    </row>
    <row r="1303" spans="12:18" x14ac:dyDescent="0.2">
      <c r="L1303" s="15"/>
      <c r="M1303" s="15"/>
      <c r="N1303" s="15"/>
      <c r="O1303" s="15"/>
      <c r="P1303" s="15"/>
      <c r="Q1303" s="15"/>
      <c r="R1303" s="15"/>
    </row>
    <row r="1304" spans="12:18" x14ac:dyDescent="0.2">
      <c r="L1304" s="15"/>
      <c r="M1304" s="15"/>
      <c r="N1304" s="15"/>
      <c r="O1304" s="15"/>
      <c r="P1304" s="15"/>
      <c r="Q1304" s="15"/>
      <c r="R1304" s="15"/>
    </row>
    <row r="1305" spans="12:18" x14ac:dyDescent="0.2">
      <c r="L1305" s="15"/>
      <c r="M1305" s="15"/>
      <c r="N1305" s="15"/>
      <c r="O1305" s="15"/>
      <c r="P1305" s="15"/>
      <c r="Q1305" s="15"/>
      <c r="R1305" s="15"/>
    </row>
    <row r="1306" spans="12:18" x14ac:dyDescent="0.2">
      <c r="L1306" s="15"/>
      <c r="M1306" s="15"/>
      <c r="N1306" s="15"/>
      <c r="O1306" s="15"/>
      <c r="P1306" s="15"/>
      <c r="Q1306" s="15"/>
      <c r="R1306" s="15"/>
    </row>
    <row r="1307" spans="12:18" x14ac:dyDescent="0.2">
      <c r="L1307" s="15"/>
      <c r="M1307" s="15"/>
      <c r="N1307" s="15"/>
      <c r="O1307" s="15"/>
      <c r="P1307" s="15"/>
      <c r="Q1307" s="15"/>
      <c r="R1307" s="15"/>
    </row>
    <row r="1308" spans="12:18" x14ac:dyDescent="0.2">
      <c r="L1308" s="15"/>
      <c r="M1308" s="15"/>
      <c r="N1308" s="15"/>
      <c r="O1308" s="15"/>
      <c r="P1308" s="15"/>
      <c r="Q1308" s="15"/>
      <c r="R1308" s="15"/>
    </row>
    <row r="1309" spans="12:18" x14ac:dyDescent="0.2">
      <c r="L1309" s="15"/>
      <c r="M1309" s="15"/>
      <c r="N1309" s="15"/>
      <c r="O1309" s="15"/>
      <c r="P1309" s="15"/>
      <c r="Q1309" s="15"/>
      <c r="R1309" s="15"/>
    </row>
    <row r="1310" spans="12:18" x14ac:dyDescent="0.2">
      <c r="L1310" s="15"/>
      <c r="M1310" s="15"/>
      <c r="N1310" s="15"/>
      <c r="O1310" s="15"/>
      <c r="P1310" s="15"/>
      <c r="Q1310" s="15"/>
      <c r="R1310" s="15"/>
    </row>
    <row r="1311" spans="12:18" x14ac:dyDescent="0.2">
      <c r="L1311" s="15"/>
      <c r="M1311" s="15"/>
      <c r="N1311" s="15"/>
      <c r="O1311" s="15"/>
      <c r="P1311" s="15"/>
      <c r="Q1311" s="15"/>
      <c r="R1311" s="15"/>
    </row>
    <row r="1312" spans="12:18" x14ac:dyDescent="0.2">
      <c r="L1312" s="15"/>
      <c r="M1312" s="15"/>
      <c r="N1312" s="15"/>
      <c r="O1312" s="15"/>
      <c r="P1312" s="15"/>
      <c r="Q1312" s="15"/>
      <c r="R1312" s="15"/>
    </row>
    <row r="1313" spans="12:18" x14ac:dyDescent="0.2">
      <c r="L1313" s="15"/>
      <c r="M1313" s="15"/>
      <c r="N1313" s="15"/>
      <c r="O1313" s="15"/>
      <c r="P1313" s="15"/>
      <c r="Q1313" s="15"/>
      <c r="R1313" s="15"/>
    </row>
    <row r="1314" spans="12:18" x14ac:dyDescent="0.2">
      <c r="L1314" s="15"/>
      <c r="M1314" s="15"/>
      <c r="N1314" s="15"/>
      <c r="O1314" s="15"/>
      <c r="P1314" s="15"/>
      <c r="Q1314" s="15"/>
      <c r="R1314" s="15"/>
    </row>
    <row r="1315" spans="12:18" x14ac:dyDescent="0.2">
      <c r="L1315" s="15"/>
      <c r="M1315" s="15"/>
      <c r="N1315" s="15"/>
      <c r="O1315" s="15"/>
      <c r="P1315" s="15"/>
      <c r="Q1315" s="15"/>
      <c r="R1315" s="15"/>
    </row>
    <row r="1316" spans="12:18" x14ac:dyDescent="0.2">
      <c r="L1316" s="15"/>
      <c r="M1316" s="15"/>
      <c r="N1316" s="15"/>
      <c r="O1316" s="15"/>
      <c r="P1316" s="15"/>
      <c r="Q1316" s="15"/>
      <c r="R1316" s="15"/>
    </row>
    <row r="1317" spans="12:18" x14ac:dyDescent="0.2">
      <c r="L1317" s="15"/>
      <c r="M1317" s="15"/>
      <c r="N1317" s="15"/>
      <c r="O1317" s="15"/>
      <c r="P1317" s="15"/>
      <c r="Q1317" s="15"/>
      <c r="R1317" s="15"/>
    </row>
    <row r="1318" spans="12:18" x14ac:dyDescent="0.2">
      <c r="L1318" s="15"/>
      <c r="M1318" s="15"/>
      <c r="N1318" s="15"/>
      <c r="O1318" s="15"/>
      <c r="P1318" s="15"/>
      <c r="Q1318" s="15"/>
      <c r="R1318" s="15"/>
    </row>
    <row r="1319" spans="12:18" x14ac:dyDescent="0.2">
      <c r="L1319" s="15"/>
      <c r="M1319" s="15"/>
      <c r="N1319" s="15"/>
      <c r="O1319" s="15"/>
      <c r="P1319" s="15"/>
      <c r="Q1319" s="15"/>
      <c r="R1319" s="15"/>
    </row>
    <row r="1320" spans="12:18" x14ac:dyDescent="0.2">
      <c r="L1320" s="15"/>
      <c r="M1320" s="15"/>
      <c r="N1320" s="15"/>
      <c r="O1320" s="15"/>
      <c r="P1320" s="15"/>
      <c r="Q1320" s="15"/>
      <c r="R1320" s="15"/>
    </row>
    <row r="1321" spans="12:18" x14ac:dyDescent="0.2">
      <c r="L1321" s="15"/>
      <c r="M1321" s="15"/>
      <c r="N1321" s="15"/>
      <c r="O1321" s="15"/>
      <c r="P1321" s="15"/>
      <c r="Q1321" s="15"/>
      <c r="R1321" s="15"/>
    </row>
    <row r="1322" spans="12:18" x14ac:dyDescent="0.2">
      <c r="L1322" s="15"/>
      <c r="M1322" s="15"/>
      <c r="N1322" s="15"/>
      <c r="O1322" s="15"/>
      <c r="P1322" s="15"/>
      <c r="Q1322" s="15"/>
      <c r="R1322" s="15"/>
    </row>
    <row r="1323" spans="12:18" x14ac:dyDescent="0.2">
      <c r="L1323" s="15"/>
      <c r="M1323" s="15"/>
      <c r="N1323" s="15"/>
      <c r="O1323" s="15"/>
      <c r="P1323" s="15"/>
      <c r="Q1323" s="15"/>
      <c r="R1323" s="15"/>
    </row>
    <row r="1324" spans="12:18" x14ac:dyDescent="0.2">
      <c r="L1324" s="15"/>
      <c r="M1324" s="15"/>
      <c r="N1324" s="15"/>
      <c r="O1324" s="15"/>
      <c r="P1324" s="15"/>
      <c r="Q1324" s="15"/>
      <c r="R1324" s="15"/>
    </row>
    <row r="1325" spans="12:18" x14ac:dyDescent="0.2">
      <c r="L1325" s="15"/>
      <c r="M1325" s="15"/>
      <c r="N1325" s="15"/>
      <c r="O1325" s="15"/>
      <c r="P1325" s="15"/>
      <c r="Q1325" s="15"/>
      <c r="R1325" s="15"/>
    </row>
    <row r="1326" spans="12:18" x14ac:dyDescent="0.2">
      <c r="L1326" s="15"/>
      <c r="M1326" s="15"/>
      <c r="N1326" s="15"/>
      <c r="O1326" s="15"/>
      <c r="P1326" s="15"/>
      <c r="Q1326" s="15"/>
      <c r="R1326" s="15"/>
    </row>
    <row r="1327" spans="12:18" x14ac:dyDescent="0.2">
      <c r="L1327" s="15"/>
      <c r="M1327" s="15"/>
      <c r="N1327" s="15"/>
      <c r="O1327" s="15"/>
      <c r="P1327" s="15"/>
      <c r="Q1327" s="15"/>
      <c r="R1327" s="15"/>
    </row>
    <row r="1328" spans="12:18" x14ac:dyDescent="0.2">
      <c r="L1328" s="15"/>
      <c r="M1328" s="15"/>
      <c r="N1328" s="15"/>
      <c r="O1328" s="15"/>
      <c r="P1328" s="15"/>
      <c r="Q1328" s="15"/>
      <c r="R1328" s="15"/>
    </row>
    <row r="1329" spans="12:18" x14ac:dyDescent="0.2">
      <c r="L1329" s="15"/>
      <c r="M1329" s="15"/>
      <c r="N1329" s="15"/>
      <c r="O1329" s="15"/>
      <c r="P1329" s="15"/>
      <c r="Q1329" s="15"/>
      <c r="R1329" s="15"/>
    </row>
    <row r="1330" spans="12:18" x14ac:dyDescent="0.2">
      <c r="L1330" s="15"/>
      <c r="M1330" s="15"/>
      <c r="N1330" s="15"/>
      <c r="O1330" s="15"/>
      <c r="P1330" s="15"/>
      <c r="Q1330" s="15"/>
      <c r="R1330" s="15"/>
    </row>
    <row r="1331" spans="12:18" x14ac:dyDescent="0.2">
      <c r="L1331" s="15"/>
      <c r="M1331" s="15"/>
      <c r="N1331" s="15"/>
      <c r="O1331" s="15"/>
      <c r="P1331" s="15"/>
      <c r="Q1331" s="15"/>
      <c r="R1331" s="15"/>
    </row>
    <row r="1332" spans="12:18" x14ac:dyDescent="0.2">
      <c r="L1332" s="15"/>
      <c r="M1332" s="15"/>
      <c r="N1332" s="15"/>
      <c r="O1332" s="15"/>
      <c r="P1332" s="15"/>
      <c r="Q1332" s="15"/>
      <c r="R1332" s="15"/>
    </row>
    <row r="1333" spans="12:18" x14ac:dyDescent="0.2">
      <c r="L1333" s="15"/>
      <c r="M1333" s="15"/>
      <c r="N1333" s="15"/>
      <c r="O1333" s="15"/>
      <c r="P1333" s="15"/>
      <c r="Q1333" s="15"/>
      <c r="R1333" s="15"/>
    </row>
    <row r="1334" spans="12:18" x14ac:dyDescent="0.2">
      <c r="L1334" s="15"/>
      <c r="M1334" s="15"/>
      <c r="N1334" s="15"/>
      <c r="O1334" s="15"/>
      <c r="P1334" s="15"/>
      <c r="Q1334" s="15"/>
      <c r="R1334" s="15"/>
    </row>
    <row r="1335" spans="12:18" x14ac:dyDescent="0.2">
      <c r="L1335" s="15"/>
      <c r="M1335" s="15"/>
      <c r="N1335" s="15"/>
      <c r="O1335" s="15"/>
      <c r="P1335" s="15"/>
      <c r="Q1335" s="15"/>
      <c r="R1335" s="15"/>
    </row>
    <row r="1336" spans="12:18" x14ac:dyDescent="0.2">
      <c r="L1336" s="15"/>
      <c r="M1336" s="15"/>
      <c r="N1336" s="15"/>
      <c r="O1336" s="15"/>
      <c r="P1336" s="15"/>
      <c r="Q1336" s="15"/>
      <c r="R1336" s="15"/>
    </row>
    <row r="1337" spans="12:18" x14ac:dyDescent="0.2">
      <c r="L1337" s="15"/>
      <c r="M1337" s="15"/>
      <c r="N1337" s="15"/>
      <c r="O1337" s="15"/>
      <c r="P1337" s="15"/>
      <c r="Q1337" s="15"/>
      <c r="R1337" s="15"/>
    </row>
    <row r="1338" spans="12:18" x14ac:dyDescent="0.2">
      <c r="L1338" s="15"/>
      <c r="M1338" s="15"/>
      <c r="N1338" s="15"/>
      <c r="O1338" s="15"/>
      <c r="P1338" s="15"/>
      <c r="Q1338" s="15"/>
      <c r="R1338" s="15"/>
    </row>
    <row r="1339" spans="12:18" x14ac:dyDescent="0.2">
      <c r="L1339" s="15"/>
      <c r="M1339" s="15"/>
      <c r="N1339" s="15"/>
      <c r="O1339" s="15"/>
      <c r="P1339" s="15"/>
      <c r="Q1339" s="15"/>
      <c r="R1339" s="15"/>
    </row>
    <row r="1340" spans="12:18" x14ac:dyDescent="0.2">
      <c r="L1340" s="15"/>
      <c r="M1340" s="15"/>
      <c r="N1340" s="15"/>
      <c r="O1340" s="15"/>
      <c r="P1340" s="15"/>
      <c r="Q1340" s="15"/>
      <c r="R1340" s="15"/>
    </row>
    <row r="1341" spans="12:18" x14ac:dyDescent="0.2">
      <c r="L1341" s="15"/>
      <c r="M1341" s="15"/>
      <c r="N1341" s="15"/>
      <c r="O1341" s="15"/>
      <c r="P1341" s="15"/>
      <c r="Q1341" s="15"/>
      <c r="R1341" s="15"/>
    </row>
    <row r="1342" spans="12:18" x14ac:dyDescent="0.2">
      <c r="L1342" s="15"/>
      <c r="M1342" s="15"/>
      <c r="N1342" s="15"/>
      <c r="O1342" s="15"/>
      <c r="P1342" s="15"/>
      <c r="Q1342" s="15"/>
      <c r="R1342" s="15"/>
    </row>
    <row r="1343" spans="12:18" x14ac:dyDescent="0.2">
      <c r="L1343" s="15"/>
      <c r="M1343" s="15"/>
      <c r="N1343" s="15"/>
      <c r="O1343" s="15"/>
      <c r="P1343" s="15"/>
      <c r="Q1343" s="15"/>
      <c r="R1343" s="15"/>
    </row>
    <row r="1344" spans="12:18" x14ac:dyDescent="0.2">
      <c r="L1344" s="15"/>
      <c r="M1344" s="15"/>
      <c r="N1344" s="15"/>
      <c r="O1344" s="15"/>
      <c r="P1344" s="15"/>
      <c r="Q1344" s="15"/>
      <c r="R1344" s="15"/>
    </row>
    <row r="1345" spans="12:18" x14ac:dyDescent="0.2">
      <c r="L1345" s="15"/>
      <c r="M1345" s="15"/>
      <c r="N1345" s="15"/>
      <c r="O1345" s="15"/>
      <c r="P1345" s="15"/>
      <c r="Q1345" s="15"/>
      <c r="R1345" s="15"/>
    </row>
    <row r="1346" spans="12:18" x14ac:dyDescent="0.2">
      <c r="L1346" s="15"/>
      <c r="M1346" s="15"/>
      <c r="N1346" s="15"/>
      <c r="O1346" s="15"/>
      <c r="P1346" s="15"/>
      <c r="Q1346" s="15"/>
      <c r="R1346" s="15"/>
    </row>
    <row r="1347" spans="12:18" x14ac:dyDescent="0.2">
      <c r="L1347" s="15"/>
      <c r="M1347" s="15"/>
      <c r="N1347" s="15"/>
      <c r="O1347" s="15"/>
      <c r="P1347" s="15"/>
      <c r="Q1347" s="15"/>
      <c r="R1347" s="15"/>
    </row>
    <row r="1348" spans="12:18" x14ac:dyDescent="0.2">
      <c r="L1348" s="15"/>
      <c r="M1348" s="15"/>
      <c r="N1348" s="15"/>
      <c r="O1348" s="15"/>
      <c r="P1348" s="15"/>
      <c r="Q1348" s="15"/>
      <c r="R1348" s="15"/>
    </row>
    <row r="1349" spans="12:18" x14ac:dyDescent="0.2">
      <c r="L1349" s="15"/>
      <c r="M1349" s="15"/>
      <c r="N1349" s="15"/>
      <c r="O1349" s="15"/>
      <c r="P1349" s="15"/>
      <c r="Q1349" s="15"/>
      <c r="R1349" s="15"/>
    </row>
    <row r="1350" spans="12:18" x14ac:dyDescent="0.2">
      <c r="L1350" s="15"/>
      <c r="M1350" s="15"/>
      <c r="N1350" s="15"/>
      <c r="O1350" s="15"/>
      <c r="P1350" s="15"/>
      <c r="Q1350" s="15"/>
      <c r="R1350" s="15"/>
    </row>
    <row r="1351" spans="12:18" x14ac:dyDescent="0.2">
      <c r="L1351" s="15"/>
      <c r="M1351" s="15"/>
      <c r="N1351" s="15"/>
      <c r="O1351" s="15"/>
      <c r="P1351" s="15"/>
      <c r="Q1351" s="15"/>
      <c r="R1351" s="15"/>
    </row>
    <row r="1352" spans="12:18" x14ac:dyDescent="0.2">
      <c r="L1352" s="15"/>
      <c r="M1352" s="15"/>
      <c r="N1352" s="15"/>
      <c r="O1352" s="15"/>
      <c r="P1352" s="15"/>
      <c r="Q1352" s="15"/>
      <c r="R1352" s="15"/>
    </row>
    <row r="1353" spans="12:18" x14ac:dyDescent="0.2">
      <c r="L1353" s="15"/>
      <c r="M1353" s="15"/>
      <c r="N1353" s="15"/>
      <c r="O1353" s="15"/>
      <c r="P1353" s="15"/>
      <c r="Q1353" s="15"/>
      <c r="R1353" s="15"/>
    </row>
    <row r="1354" spans="12:18" x14ac:dyDescent="0.2">
      <c r="L1354" s="15"/>
      <c r="M1354" s="15"/>
      <c r="N1354" s="15"/>
      <c r="O1354" s="15"/>
      <c r="P1354" s="15"/>
      <c r="Q1354" s="15"/>
      <c r="R1354" s="15"/>
    </row>
    <row r="1355" spans="12:18" x14ac:dyDescent="0.2">
      <c r="L1355" s="15"/>
      <c r="M1355" s="15"/>
      <c r="N1355" s="15"/>
      <c r="O1355" s="15"/>
      <c r="P1355" s="15"/>
      <c r="Q1355" s="15"/>
      <c r="R1355" s="15"/>
    </row>
    <row r="1356" spans="12:18" x14ac:dyDescent="0.2">
      <c r="L1356" s="15"/>
      <c r="M1356" s="15"/>
      <c r="N1356" s="15"/>
      <c r="O1356" s="15"/>
      <c r="P1356" s="15"/>
      <c r="Q1356" s="15"/>
      <c r="R1356" s="15"/>
    </row>
    <row r="1357" spans="12:18" x14ac:dyDescent="0.2">
      <c r="L1357" s="15"/>
      <c r="M1357" s="15"/>
      <c r="N1357" s="15"/>
      <c r="O1357" s="15"/>
      <c r="P1357" s="15"/>
      <c r="Q1357" s="15"/>
      <c r="R1357" s="15"/>
    </row>
    <row r="1358" spans="12:18" x14ac:dyDescent="0.2">
      <c r="L1358" s="15"/>
      <c r="M1358" s="15"/>
      <c r="N1358" s="15"/>
      <c r="O1358" s="15"/>
      <c r="P1358" s="15"/>
      <c r="Q1358" s="15"/>
      <c r="R1358" s="15"/>
    </row>
    <row r="1359" spans="12:18" x14ac:dyDescent="0.2">
      <c r="L1359" s="15"/>
      <c r="M1359" s="15"/>
      <c r="N1359" s="15"/>
      <c r="O1359" s="15"/>
      <c r="P1359" s="15"/>
      <c r="Q1359" s="15"/>
      <c r="R1359" s="15"/>
    </row>
    <row r="1360" spans="12:18" x14ac:dyDescent="0.2">
      <c r="L1360" s="15"/>
      <c r="M1360" s="15"/>
      <c r="N1360" s="15"/>
      <c r="O1360" s="15"/>
      <c r="P1360" s="15"/>
      <c r="Q1360" s="15"/>
      <c r="R1360" s="15"/>
    </row>
    <row r="1361" spans="12:18" x14ac:dyDescent="0.2">
      <c r="L1361" s="15"/>
      <c r="M1361" s="15"/>
      <c r="N1361" s="15"/>
      <c r="O1361" s="15"/>
      <c r="P1361" s="15"/>
      <c r="Q1361" s="15"/>
      <c r="R1361" s="15"/>
    </row>
    <row r="1362" spans="12:18" x14ac:dyDescent="0.2">
      <c r="L1362" s="15"/>
      <c r="M1362" s="15"/>
      <c r="N1362" s="15"/>
      <c r="O1362" s="15"/>
      <c r="P1362" s="15"/>
      <c r="Q1362" s="15"/>
      <c r="R1362" s="15"/>
    </row>
    <row r="1363" spans="12:18" x14ac:dyDescent="0.2">
      <c r="L1363" s="15"/>
      <c r="M1363" s="15"/>
      <c r="N1363" s="15"/>
      <c r="O1363" s="15"/>
      <c r="P1363" s="15"/>
      <c r="Q1363" s="15"/>
      <c r="R1363" s="15"/>
    </row>
    <row r="1364" spans="12:18" x14ac:dyDescent="0.2">
      <c r="L1364" s="15"/>
      <c r="M1364" s="15"/>
      <c r="N1364" s="15"/>
      <c r="O1364" s="15"/>
      <c r="P1364" s="15"/>
      <c r="Q1364" s="15"/>
      <c r="R1364" s="15"/>
    </row>
    <row r="1365" spans="12:18" x14ac:dyDescent="0.2">
      <c r="L1365" s="15"/>
      <c r="M1365" s="15"/>
      <c r="N1365" s="15"/>
      <c r="O1365" s="15"/>
      <c r="P1365" s="15"/>
      <c r="Q1365" s="15"/>
      <c r="R1365" s="15"/>
    </row>
    <row r="1366" spans="12:18" x14ac:dyDescent="0.2">
      <c r="L1366" s="15"/>
      <c r="M1366" s="15"/>
      <c r="N1366" s="15"/>
      <c r="O1366" s="15"/>
      <c r="P1366" s="15"/>
      <c r="Q1366" s="15"/>
      <c r="R1366" s="15"/>
    </row>
    <row r="1367" spans="12:18" x14ac:dyDescent="0.2">
      <c r="L1367" s="15"/>
      <c r="M1367" s="15"/>
      <c r="N1367" s="15"/>
      <c r="O1367" s="15"/>
      <c r="P1367" s="15"/>
      <c r="Q1367" s="15"/>
      <c r="R1367" s="15"/>
    </row>
    <row r="1368" spans="12:18" x14ac:dyDescent="0.2">
      <c r="L1368" s="15"/>
      <c r="M1368" s="15"/>
      <c r="N1368" s="15"/>
      <c r="O1368" s="15"/>
      <c r="P1368" s="15"/>
      <c r="Q1368" s="15"/>
      <c r="R1368" s="15"/>
    </row>
    <row r="1369" spans="12:18" x14ac:dyDescent="0.2">
      <c r="L1369" s="15"/>
      <c r="M1369" s="15"/>
      <c r="N1369" s="15"/>
      <c r="O1369" s="15"/>
      <c r="P1369" s="15"/>
      <c r="Q1369" s="15"/>
      <c r="R1369" s="15"/>
    </row>
    <row r="1370" spans="12:18" x14ac:dyDescent="0.2">
      <c r="L1370" s="15"/>
      <c r="M1370" s="15"/>
      <c r="N1370" s="15"/>
      <c r="O1370" s="15"/>
      <c r="P1370" s="15"/>
      <c r="Q1370" s="15"/>
      <c r="R1370" s="15"/>
    </row>
    <row r="1371" spans="12:18" x14ac:dyDescent="0.2">
      <c r="L1371" s="15"/>
      <c r="M1371" s="15"/>
      <c r="N1371" s="15"/>
      <c r="O1371" s="15"/>
      <c r="P1371" s="15"/>
      <c r="Q1371" s="15"/>
      <c r="R1371" s="15"/>
    </row>
    <row r="1372" spans="12:18" x14ac:dyDescent="0.2">
      <c r="L1372" s="15"/>
      <c r="M1372" s="15"/>
      <c r="N1372" s="15"/>
      <c r="O1372" s="15"/>
      <c r="P1372" s="15"/>
      <c r="Q1372" s="15"/>
      <c r="R1372" s="15"/>
    </row>
    <row r="1373" spans="12:18" x14ac:dyDescent="0.2">
      <c r="L1373" s="15"/>
      <c r="M1373" s="15"/>
      <c r="N1373" s="15"/>
      <c r="O1373" s="15"/>
      <c r="P1373" s="15"/>
      <c r="Q1373" s="15"/>
      <c r="R1373" s="15"/>
    </row>
    <row r="1374" spans="12:18" x14ac:dyDescent="0.2">
      <c r="L1374" s="15"/>
      <c r="M1374" s="15"/>
      <c r="N1374" s="15"/>
      <c r="O1374" s="15"/>
      <c r="P1374" s="15"/>
      <c r="Q1374" s="15"/>
      <c r="R1374" s="15"/>
    </row>
    <row r="1375" spans="12:18" x14ac:dyDescent="0.2">
      <c r="L1375" s="15"/>
      <c r="M1375" s="15"/>
      <c r="N1375" s="15"/>
      <c r="O1375" s="15"/>
      <c r="P1375" s="15"/>
      <c r="Q1375" s="15"/>
      <c r="R1375" s="15"/>
    </row>
    <row r="1376" spans="12:18" x14ac:dyDescent="0.2">
      <c r="L1376" s="15"/>
      <c r="M1376" s="15"/>
      <c r="N1376" s="15"/>
      <c r="O1376" s="15"/>
      <c r="P1376" s="15"/>
      <c r="Q1376" s="15"/>
      <c r="R1376" s="15"/>
    </row>
    <row r="1377" spans="12:18" x14ac:dyDescent="0.2">
      <c r="L1377" s="15"/>
      <c r="M1377" s="15"/>
      <c r="N1377" s="15"/>
      <c r="O1377" s="15"/>
      <c r="P1377" s="15"/>
      <c r="Q1377" s="15"/>
      <c r="R1377" s="15"/>
    </row>
    <row r="1378" spans="12:18" x14ac:dyDescent="0.2">
      <c r="L1378" s="15"/>
      <c r="M1378" s="15"/>
      <c r="N1378" s="15"/>
      <c r="O1378" s="15"/>
      <c r="P1378" s="15"/>
      <c r="Q1378" s="15"/>
      <c r="R1378" s="15"/>
    </row>
    <row r="1379" spans="12:18" x14ac:dyDescent="0.2">
      <c r="L1379" s="15"/>
      <c r="M1379" s="15"/>
      <c r="N1379" s="15"/>
      <c r="O1379" s="15"/>
      <c r="P1379" s="15"/>
      <c r="Q1379" s="15"/>
      <c r="R1379" s="15"/>
    </row>
    <row r="1380" spans="12:18" x14ac:dyDescent="0.2">
      <c r="L1380" s="15"/>
      <c r="M1380" s="15"/>
      <c r="N1380" s="15"/>
      <c r="O1380" s="15"/>
      <c r="P1380" s="15"/>
      <c r="Q1380" s="15"/>
      <c r="R1380" s="15"/>
    </row>
    <row r="1381" spans="12:18" x14ac:dyDescent="0.2">
      <c r="L1381" s="15"/>
      <c r="M1381" s="15"/>
      <c r="N1381" s="15"/>
      <c r="O1381" s="15"/>
      <c r="P1381" s="15"/>
      <c r="Q1381" s="15"/>
      <c r="R1381" s="15"/>
    </row>
    <row r="1382" spans="12:18" x14ac:dyDescent="0.2">
      <c r="L1382" s="15"/>
      <c r="M1382" s="15"/>
      <c r="N1382" s="15"/>
      <c r="O1382" s="15"/>
      <c r="P1382" s="15"/>
      <c r="Q1382" s="15"/>
      <c r="R1382" s="15"/>
    </row>
    <row r="1383" spans="12:18" x14ac:dyDescent="0.2">
      <c r="L1383" s="15"/>
      <c r="M1383" s="15"/>
      <c r="N1383" s="15"/>
      <c r="O1383" s="15"/>
      <c r="P1383" s="15"/>
      <c r="Q1383" s="15"/>
      <c r="R1383" s="15"/>
    </row>
    <row r="1384" spans="12:18" x14ac:dyDescent="0.2">
      <c r="L1384" s="15"/>
      <c r="M1384" s="15"/>
      <c r="N1384" s="15"/>
      <c r="O1384" s="15"/>
      <c r="P1384" s="15"/>
      <c r="Q1384" s="15"/>
      <c r="R1384" s="15"/>
    </row>
    <row r="1385" spans="12:18" x14ac:dyDescent="0.2">
      <c r="L1385" s="15"/>
      <c r="M1385" s="15"/>
      <c r="N1385" s="15"/>
      <c r="O1385" s="15"/>
      <c r="P1385" s="15"/>
      <c r="Q1385" s="15"/>
      <c r="R1385" s="15"/>
    </row>
    <row r="1386" spans="12:18" x14ac:dyDescent="0.2">
      <c r="L1386" s="15"/>
      <c r="M1386" s="15"/>
      <c r="N1386" s="15"/>
      <c r="O1386" s="15"/>
      <c r="P1386" s="15"/>
      <c r="Q1386" s="15"/>
      <c r="R1386" s="15"/>
    </row>
    <row r="1387" spans="12:18" x14ac:dyDescent="0.2">
      <c r="L1387" s="15"/>
      <c r="M1387" s="15"/>
      <c r="N1387" s="15"/>
      <c r="O1387" s="15"/>
      <c r="P1387" s="15"/>
      <c r="Q1387" s="15"/>
      <c r="R1387" s="15"/>
    </row>
    <row r="1388" spans="12:18" x14ac:dyDescent="0.2">
      <c r="L1388" s="15"/>
      <c r="M1388" s="15"/>
      <c r="N1388" s="15"/>
      <c r="O1388" s="15"/>
      <c r="P1388" s="15"/>
      <c r="Q1388" s="15"/>
      <c r="R1388" s="15"/>
    </row>
    <row r="1389" spans="12:18" x14ac:dyDescent="0.2">
      <c r="L1389" s="15"/>
      <c r="M1389" s="15"/>
      <c r="N1389" s="15"/>
      <c r="O1389" s="15"/>
      <c r="P1389" s="15"/>
      <c r="Q1389" s="15"/>
      <c r="R1389" s="15"/>
    </row>
    <row r="1390" spans="12:18" x14ac:dyDescent="0.2">
      <c r="L1390" s="15"/>
      <c r="M1390" s="15"/>
      <c r="N1390" s="15"/>
      <c r="O1390" s="15"/>
      <c r="P1390" s="15"/>
      <c r="Q1390" s="15"/>
      <c r="R1390" s="15"/>
    </row>
    <row r="1391" spans="12:18" x14ac:dyDescent="0.2">
      <c r="L1391" s="15"/>
      <c r="M1391" s="15"/>
      <c r="N1391" s="15"/>
      <c r="O1391" s="15"/>
      <c r="P1391" s="15"/>
      <c r="Q1391" s="15"/>
      <c r="R1391" s="15"/>
    </row>
    <row r="1392" spans="12:18" x14ac:dyDescent="0.2">
      <c r="L1392" s="15"/>
      <c r="M1392" s="15"/>
      <c r="N1392" s="15"/>
      <c r="O1392" s="15"/>
      <c r="P1392" s="15"/>
      <c r="Q1392" s="15"/>
      <c r="R1392" s="15"/>
    </row>
    <row r="1393" spans="12:18" x14ac:dyDescent="0.2">
      <c r="L1393" s="15"/>
      <c r="M1393" s="15"/>
      <c r="N1393" s="15"/>
      <c r="O1393" s="15"/>
      <c r="P1393" s="15"/>
      <c r="Q1393" s="15"/>
      <c r="R1393" s="15"/>
    </row>
    <row r="1394" spans="12:18" x14ac:dyDescent="0.2">
      <c r="L1394" s="15"/>
      <c r="M1394" s="15"/>
      <c r="N1394" s="15"/>
      <c r="O1394" s="15"/>
      <c r="P1394" s="15"/>
      <c r="Q1394" s="15"/>
      <c r="R1394" s="15"/>
    </row>
    <row r="1395" spans="12:18" x14ac:dyDescent="0.2">
      <c r="L1395" s="15"/>
      <c r="M1395" s="15"/>
      <c r="N1395" s="15"/>
      <c r="O1395" s="15"/>
      <c r="P1395" s="15"/>
      <c r="Q1395" s="15"/>
      <c r="R1395" s="15"/>
    </row>
    <row r="1396" spans="12:18" x14ac:dyDescent="0.2">
      <c r="L1396" s="15"/>
      <c r="M1396" s="15"/>
      <c r="N1396" s="15"/>
      <c r="O1396" s="15"/>
      <c r="P1396" s="15"/>
      <c r="Q1396" s="15"/>
      <c r="R1396" s="15"/>
    </row>
    <row r="1397" spans="12:18" x14ac:dyDescent="0.2">
      <c r="L1397" s="15"/>
      <c r="M1397" s="15"/>
      <c r="N1397" s="15"/>
      <c r="O1397" s="15"/>
      <c r="P1397" s="15"/>
      <c r="Q1397" s="15"/>
      <c r="R1397" s="15"/>
    </row>
    <row r="1398" spans="12:18" x14ac:dyDescent="0.2">
      <c r="L1398" s="15"/>
      <c r="M1398" s="15"/>
      <c r="N1398" s="15"/>
      <c r="O1398" s="15"/>
      <c r="P1398" s="15"/>
      <c r="Q1398" s="15"/>
      <c r="R1398" s="15"/>
    </row>
    <row r="1399" spans="12:18" x14ac:dyDescent="0.2">
      <c r="L1399" s="15"/>
      <c r="M1399" s="15"/>
      <c r="N1399" s="15"/>
      <c r="O1399" s="15"/>
      <c r="P1399" s="15"/>
      <c r="Q1399" s="15"/>
      <c r="R1399" s="15"/>
    </row>
    <row r="1400" spans="12:18" x14ac:dyDescent="0.2">
      <c r="L1400" s="15"/>
      <c r="M1400" s="15"/>
      <c r="N1400" s="15"/>
      <c r="O1400" s="15"/>
      <c r="P1400" s="15"/>
      <c r="Q1400" s="15"/>
      <c r="R1400" s="15"/>
    </row>
    <row r="1401" spans="12:18" x14ac:dyDescent="0.2">
      <c r="L1401" s="15"/>
      <c r="M1401" s="15"/>
      <c r="N1401" s="15"/>
      <c r="O1401" s="15"/>
      <c r="P1401" s="15"/>
      <c r="Q1401" s="15"/>
      <c r="R1401" s="15"/>
    </row>
    <row r="1402" spans="12:18" x14ac:dyDescent="0.2">
      <c r="L1402" s="15"/>
      <c r="M1402" s="15"/>
      <c r="N1402" s="15"/>
      <c r="O1402" s="15"/>
      <c r="P1402" s="15"/>
      <c r="Q1402" s="15"/>
      <c r="R1402" s="15"/>
    </row>
    <row r="1403" spans="12:18" x14ac:dyDescent="0.2">
      <c r="L1403" s="15"/>
      <c r="M1403" s="15"/>
      <c r="N1403" s="15"/>
      <c r="O1403" s="15"/>
      <c r="P1403" s="15"/>
      <c r="Q1403" s="15"/>
      <c r="R1403" s="15"/>
    </row>
    <row r="1404" spans="12:18" x14ac:dyDescent="0.2">
      <c r="L1404" s="15"/>
      <c r="M1404" s="15"/>
      <c r="N1404" s="15"/>
      <c r="O1404" s="15"/>
      <c r="P1404" s="15"/>
      <c r="Q1404" s="15"/>
      <c r="R1404" s="15"/>
    </row>
    <row r="1405" spans="12:18" x14ac:dyDescent="0.2">
      <c r="L1405" s="15"/>
      <c r="M1405" s="15"/>
      <c r="N1405" s="15"/>
      <c r="O1405" s="15"/>
      <c r="P1405" s="15"/>
      <c r="Q1405" s="15"/>
      <c r="R1405" s="15"/>
    </row>
    <row r="1406" spans="12:18" x14ac:dyDescent="0.2">
      <c r="L1406" s="15"/>
      <c r="M1406" s="15"/>
      <c r="N1406" s="15"/>
      <c r="O1406" s="15"/>
      <c r="P1406" s="15"/>
      <c r="Q1406" s="15"/>
      <c r="R1406" s="15"/>
    </row>
    <row r="1407" spans="12:18" x14ac:dyDescent="0.2">
      <c r="L1407" s="15"/>
      <c r="M1407" s="15"/>
      <c r="N1407" s="15"/>
      <c r="O1407" s="15"/>
      <c r="P1407" s="15"/>
      <c r="Q1407" s="15"/>
      <c r="R1407" s="15"/>
    </row>
    <row r="1408" spans="12:18" x14ac:dyDescent="0.2">
      <c r="L1408" s="15"/>
      <c r="M1408" s="15"/>
      <c r="N1408" s="15"/>
      <c r="O1408" s="15"/>
      <c r="P1408" s="15"/>
      <c r="Q1408" s="15"/>
      <c r="R1408" s="15"/>
    </row>
    <row r="1409" spans="12:18" x14ac:dyDescent="0.2">
      <c r="L1409" s="15"/>
      <c r="M1409" s="15"/>
      <c r="N1409" s="15"/>
      <c r="O1409" s="15"/>
      <c r="P1409" s="15"/>
      <c r="Q1409" s="15"/>
      <c r="R1409" s="15"/>
    </row>
    <row r="1410" spans="12:18" x14ac:dyDescent="0.2">
      <c r="L1410" s="15"/>
      <c r="M1410" s="15"/>
      <c r="N1410" s="15"/>
      <c r="O1410" s="15"/>
      <c r="P1410" s="15"/>
      <c r="Q1410" s="15"/>
      <c r="R1410" s="15"/>
    </row>
    <row r="1411" spans="12:18" x14ac:dyDescent="0.2">
      <c r="L1411" s="15"/>
      <c r="M1411" s="15"/>
      <c r="N1411" s="15"/>
      <c r="O1411" s="15"/>
      <c r="P1411" s="15"/>
      <c r="Q1411" s="15"/>
      <c r="R1411" s="15"/>
    </row>
    <row r="1412" spans="12:18" x14ac:dyDescent="0.2">
      <c r="L1412" s="15"/>
      <c r="M1412" s="15"/>
      <c r="N1412" s="15"/>
      <c r="O1412" s="15"/>
      <c r="P1412" s="15"/>
      <c r="Q1412" s="15"/>
      <c r="R1412" s="15"/>
    </row>
    <row r="1413" spans="12:18" x14ac:dyDescent="0.2">
      <c r="L1413" s="15"/>
      <c r="M1413" s="15"/>
      <c r="N1413" s="15"/>
      <c r="O1413" s="15"/>
      <c r="P1413" s="15"/>
      <c r="Q1413" s="15"/>
      <c r="R1413" s="15"/>
    </row>
    <row r="1414" spans="12:18" x14ac:dyDescent="0.2">
      <c r="L1414" s="15"/>
      <c r="M1414" s="15"/>
      <c r="N1414" s="15"/>
      <c r="O1414" s="15"/>
      <c r="P1414" s="15"/>
      <c r="Q1414" s="15"/>
      <c r="R1414" s="15"/>
    </row>
    <row r="1415" spans="12:18" x14ac:dyDescent="0.2">
      <c r="L1415" s="15"/>
      <c r="M1415" s="15"/>
      <c r="N1415" s="15"/>
      <c r="O1415" s="15"/>
      <c r="P1415" s="15"/>
      <c r="Q1415" s="15"/>
      <c r="R1415" s="15"/>
    </row>
    <row r="1416" spans="12:18" x14ac:dyDescent="0.2">
      <c r="L1416" s="15"/>
      <c r="M1416" s="15"/>
      <c r="N1416" s="15"/>
      <c r="O1416" s="15"/>
      <c r="P1416" s="15"/>
      <c r="Q1416" s="15"/>
      <c r="R1416" s="15"/>
    </row>
    <row r="1417" spans="12:18" x14ac:dyDescent="0.2">
      <c r="L1417" s="15"/>
      <c r="M1417" s="15"/>
      <c r="N1417" s="15"/>
      <c r="O1417" s="15"/>
      <c r="P1417" s="15"/>
      <c r="Q1417" s="15"/>
      <c r="R1417" s="15"/>
    </row>
    <row r="1418" spans="12:18" x14ac:dyDescent="0.2">
      <c r="L1418" s="15"/>
      <c r="M1418" s="15"/>
      <c r="N1418" s="15"/>
      <c r="O1418" s="15"/>
      <c r="P1418" s="15"/>
      <c r="Q1418" s="15"/>
      <c r="R1418" s="15"/>
    </row>
    <row r="1419" spans="12:18" x14ac:dyDescent="0.2">
      <c r="L1419" s="15"/>
      <c r="M1419" s="15"/>
      <c r="N1419" s="15"/>
      <c r="O1419" s="15"/>
      <c r="P1419" s="15"/>
      <c r="Q1419" s="15"/>
      <c r="R1419" s="15"/>
    </row>
    <row r="1420" spans="12:18" x14ac:dyDescent="0.2">
      <c r="L1420" s="15"/>
      <c r="M1420" s="15"/>
      <c r="N1420" s="15"/>
      <c r="O1420" s="15"/>
      <c r="P1420" s="15"/>
      <c r="Q1420" s="15"/>
      <c r="R1420" s="15"/>
    </row>
    <row r="1421" spans="12:18" x14ac:dyDescent="0.2">
      <c r="L1421" s="15"/>
      <c r="M1421" s="15"/>
      <c r="N1421" s="15"/>
      <c r="O1421" s="15"/>
      <c r="P1421" s="15"/>
      <c r="Q1421" s="15"/>
      <c r="R1421" s="15"/>
    </row>
    <row r="1422" spans="12:18" x14ac:dyDescent="0.2">
      <c r="L1422" s="15"/>
      <c r="M1422" s="15"/>
      <c r="N1422" s="15"/>
      <c r="O1422" s="15"/>
      <c r="P1422" s="15"/>
      <c r="Q1422" s="15"/>
      <c r="R1422" s="15"/>
    </row>
    <row r="1423" spans="12:18" x14ac:dyDescent="0.2">
      <c r="L1423" s="15"/>
      <c r="M1423" s="15"/>
      <c r="N1423" s="15"/>
      <c r="O1423" s="15"/>
      <c r="P1423" s="15"/>
      <c r="Q1423" s="15"/>
      <c r="R1423" s="15"/>
    </row>
    <row r="1424" spans="12:18" x14ac:dyDescent="0.2">
      <c r="L1424" s="15"/>
      <c r="M1424" s="15"/>
      <c r="N1424" s="15"/>
      <c r="O1424" s="15"/>
      <c r="P1424" s="15"/>
      <c r="Q1424" s="15"/>
      <c r="R1424" s="15"/>
    </row>
    <row r="1425" spans="12:18" x14ac:dyDescent="0.2">
      <c r="L1425" s="15"/>
      <c r="M1425" s="15"/>
      <c r="N1425" s="15"/>
      <c r="O1425" s="15"/>
      <c r="P1425" s="15"/>
      <c r="Q1425" s="15"/>
      <c r="R1425" s="15"/>
    </row>
    <row r="1426" spans="12:18" x14ac:dyDescent="0.2">
      <c r="L1426" s="15"/>
      <c r="M1426" s="15"/>
      <c r="N1426" s="15"/>
      <c r="O1426" s="15"/>
      <c r="P1426" s="15"/>
      <c r="Q1426" s="15"/>
      <c r="R1426" s="15"/>
    </row>
    <row r="1427" spans="12:18" x14ac:dyDescent="0.2">
      <c r="L1427" s="15"/>
      <c r="M1427" s="15"/>
      <c r="N1427" s="15"/>
      <c r="O1427" s="15"/>
      <c r="P1427" s="15"/>
      <c r="Q1427" s="15"/>
      <c r="R1427" s="15"/>
    </row>
    <row r="1428" spans="12:18" x14ac:dyDescent="0.2">
      <c r="L1428" s="15"/>
      <c r="M1428" s="15"/>
      <c r="N1428" s="15"/>
      <c r="O1428" s="15"/>
      <c r="P1428" s="15"/>
      <c r="Q1428" s="15"/>
      <c r="R1428" s="15"/>
    </row>
    <row r="1429" spans="12:18" x14ac:dyDescent="0.2">
      <c r="L1429" s="15"/>
      <c r="M1429" s="15"/>
      <c r="N1429" s="15"/>
      <c r="O1429" s="15"/>
      <c r="P1429" s="15"/>
      <c r="Q1429" s="15"/>
      <c r="R1429" s="15"/>
    </row>
    <row r="1430" spans="12:18" x14ac:dyDescent="0.2">
      <c r="L1430" s="15"/>
      <c r="M1430" s="15"/>
      <c r="N1430" s="15"/>
      <c r="O1430" s="15"/>
      <c r="P1430" s="15"/>
      <c r="Q1430" s="15"/>
      <c r="R1430" s="15"/>
    </row>
    <row r="1431" spans="12:18" x14ac:dyDescent="0.2">
      <c r="L1431" s="15"/>
      <c r="M1431" s="15"/>
      <c r="N1431" s="15"/>
      <c r="O1431" s="15"/>
      <c r="P1431" s="15"/>
      <c r="Q1431" s="15"/>
      <c r="R1431" s="15"/>
    </row>
    <row r="1432" spans="12:18" x14ac:dyDescent="0.2">
      <c r="L1432" s="15"/>
      <c r="M1432" s="15"/>
      <c r="N1432" s="15"/>
      <c r="O1432" s="15"/>
      <c r="P1432" s="15"/>
      <c r="Q1432" s="15"/>
      <c r="R1432" s="15"/>
    </row>
    <row r="1433" spans="12:18" x14ac:dyDescent="0.2">
      <c r="L1433" s="15"/>
      <c r="M1433" s="15"/>
      <c r="N1433" s="15"/>
      <c r="O1433" s="15"/>
      <c r="P1433" s="15"/>
      <c r="Q1433" s="15"/>
      <c r="R1433" s="15"/>
    </row>
    <row r="1434" spans="12:18" x14ac:dyDescent="0.2">
      <c r="L1434" s="15"/>
      <c r="M1434" s="15"/>
      <c r="N1434" s="15"/>
      <c r="O1434" s="15"/>
      <c r="P1434" s="15"/>
      <c r="Q1434" s="15"/>
      <c r="R1434" s="15"/>
    </row>
    <row r="1435" spans="12:18" x14ac:dyDescent="0.2">
      <c r="L1435" s="15"/>
      <c r="M1435" s="15"/>
      <c r="N1435" s="15"/>
      <c r="O1435" s="15"/>
      <c r="P1435" s="15"/>
      <c r="Q1435" s="15"/>
      <c r="R1435" s="15"/>
    </row>
    <row r="1436" spans="12:18" x14ac:dyDescent="0.2">
      <c r="L1436" s="15"/>
      <c r="M1436" s="15"/>
      <c r="N1436" s="15"/>
      <c r="O1436" s="15"/>
      <c r="P1436" s="15"/>
      <c r="Q1436" s="15"/>
      <c r="R1436" s="15"/>
    </row>
    <row r="1437" spans="12:18" x14ac:dyDescent="0.2">
      <c r="L1437" s="15"/>
      <c r="M1437" s="15"/>
      <c r="N1437" s="15"/>
      <c r="O1437" s="15"/>
      <c r="P1437" s="15"/>
      <c r="Q1437" s="15"/>
      <c r="R1437" s="15"/>
    </row>
    <row r="1438" spans="12:18" x14ac:dyDescent="0.2">
      <c r="L1438" s="15"/>
      <c r="M1438" s="15"/>
      <c r="N1438" s="15"/>
      <c r="O1438" s="15"/>
      <c r="P1438" s="15"/>
      <c r="Q1438" s="15"/>
      <c r="R1438" s="15"/>
    </row>
    <row r="1439" spans="12:18" x14ac:dyDescent="0.2">
      <c r="L1439" s="15"/>
      <c r="M1439" s="15"/>
      <c r="N1439" s="15"/>
      <c r="O1439" s="15"/>
      <c r="P1439" s="15"/>
      <c r="Q1439" s="15"/>
      <c r="R1439" s="15"/>
    </row>
    <row r="1440" spans="12:18" x14ac:dyDescent="0.2">
      <c r="L1440" s="15"/>
      <c r="M1440" s="15"/>
      <c r="N1440" s="15"/>
      <c r="O1440" s="15"/>
      <c r="P1440" s="15"/>
      <c r="Q1440" s="15"/>
      <c r="R1440" s="15"/>
    </row>
    <row r="1441" spans="12:18" x14ac:dyDescent="0.2">
      <c r="L1441" s="15"/>
      <c r="M1441" s="15"/>
      <c r="N1441" s="15"/>
      <c r="O1441" s="15"/>
      <c r="P1441" s="15"/>
      <c r="Q1441" s="15"/>
      <c r="R1441" s="15"/>
    </row>
    <row r="1442" spans="12:18" x14ac:dyDescent="0.2">
      <c r="L1442" s="15"/>
      <c r="M1442" s="15"/>
      <c r="N1442" s="15"/>
      <c r="O1442" s="15"/>
      <c r="P1442" s="15"/>
      <c r="Q1442" s="15"/>
      <c r="R1442" s="15"/>
    </row>
    <row r="1443" spans="12:18" x14ac:dyDescent="0.2">
      <c r="L1443" s="15"/>
      <c r="M1443" s="15"/>
      <c r="N1443" s="15"/>
      <c r="O1443" s="15"/>
      <c r="P1443" s="15"/>
      <c r="Q1443" s="15"/>
      <c r="R1443" s="15"/>
    </row>
    <row r="1444" spans="12:18" x14ac:dyDescent="0.2">
      <c r="L1444" s="15"/>
      <c r="M1444" s="15"/>
      <c r="N1444" s="15"/>
      <c r="O1444" s="15"/>
      <c r="P1444" s="15"/>
      <c r="Q1444" s="15"/>
      <c r="R1444" s="15"/>
    </row>
    <row r="1445" spans="12:18" x14ac:dyDescent="0.2">
      <c r="L1445" s="15"/>
      <c r="M1445" s="15"/>
      <c r="N1445" s="15"/>
      <c r="O1445" s="15"/>
      <c r="P1445" s="15"/>
      <c r="Q1445" s="15"/>
      <c r="R1445" s="15"/>
    </row>
    <row r="1446" spans="12:18" x14ac:dyDescent="0.2">
      <c r="L1446" s="15"/>
      <c r="M1446" s="15"/>
      <c r="N1446" s="15"/>
      <c r="O1446" s="15"/>
      <c r="P1446" s="15"/>
      <c r="Q1446" s="15"/>
      <c r="R1446" s="15"/>
    </row>
    <row r="1447" spans="12:18" x14ac:dyDescent="0.2">
      <c r="L1447" s="15"/>
      <c r="M1447" s="15"/>
      <c r="N1447" s="15"/>
      <c r="O1447" s="15"/>
      <c r="P1447" s="15"/>
      <c r="Q1447" s="15"/>
      <c r="R1447" s="15"/>
    </row>
    <row r="1448" spans="12:18" x14ac:dyDescent="0.2">
      <c r="L1448" s="15"/>
      <c r="M1448" s="15"/>
      <c r="N1448" s="15"/>
      <c r="O1448" s="15"/>
      <c r="P1448" s="15"/>
      <c r="Q1448" s="15"/>
      <c r="R1448" s="15"/>
    </row>
    <row r="1449" spans="12:18" x14ac:dyDescent="0.2">
      <c r="L1449" s="15"/>
      <c r="M1449" s="15"/>
      <c r="N1449" s="15"/>
      <c r="O1449" s="15"/>
      <c r="P1449" s="15"/>
      <c r="Q1449" s="15"/>
      <c r="R1449" s="15"/>
    </row>
    <row r="1450" spans="12:18" x14ac:dyDescent="0.2">
      <c r="L1450" s="15"/>
      <c r="M1450" s="15"/>
      <c r="N1450" s="15"/>
      <c r="O1450" s="15"/>
      <c r="P1450" s="15"/>
      <c r="Q1450" s="15"/>
      <c r="R1450" s="15"/>
    </row>
    <row r="1451" spans="12:18" x14ac:dyDescent="0.2">
      <c r="L1451" s="15"/>
      <c r="M1451" s="15"/>
      <c r="N1451" s="15"/>
      <c r="O1451" s="15"/>
      <c r="P1451" s="15"/>
      <c r="Q1451" s="15"/>
      <c r="R1451" s="15"/>
    </row>
    <row r="1452" spans="12:18" x14ac:dyDescent="0.2">
      <c r="L1452" s="15"/>
      <c r="M1452" s="15"/>
      <c r="N1452" s="15"/>
      <c r="O1452" s="15"/>
      <c r="P1452" s="15"/>
      <c r="Q1452" s="15"/>
      <c r="R1452" s="15"/>
    </row>
    <row r="1453" spans="12:18" x14ac:dyDescent="0.2">
      <c r="L1453" s="15"/>
      <c r="M1453" s="15"/>
      <c r="N1453" s="15"/>
      <c r="O1453" s="15"/>
      <c r="P1453" s="15"/>
      <c r="Q1453" s="15"/>
      <c r="R1453" s="15"/>
    </row>
    <row r="1454" spans="12:18" x14ac:dyDescent="0.2">
      <c r="L1454" s="15"/>
      <c r="M1454" s="15"/>
      <c r="N1454" s="15"/>
      <c r="O1454" s="15"/>
      <c r="P1454" s="15"/>
      <c r="Q1454" s="15"/>
      <c r="R1454" s="15"/>
    </row>
    <row r="1455" spans="12:18" x14ac:dyDescent="0.2">
      <c r="L1455" s="15"/>
      <c r="M1455" s="15"/>
      <c r="N1455" s="15"/>
      <c r="O1455" s="15"/>
      <c r="P1455" s="15"/>
      <c r="Q1455" s="15"/>
      <c r="R1455" s="15"/>
    </row>
    <row r="1456" spans="12:18" x14ac:dyDescent="0.2">
      <c r="L1456" s="15"/>
      <c r="M1456" s="15"/>
      <c r="N1456" s="15"/>
      <c r="O1456" s="15"/>
      <c r="P1456" s="15"/>
      <c r="Q1456" s="15"/>
      <c r="R1456" s="15"/>
    </row>
    <row r="1457" spans="12:18" x14ac:dyDescent="0.2">
      <c r="L1457" s="15"/>
      <c r="M1457" s="15"/>
      <c r="N1457" s="15"/>
      <c r="O1457" s="15"/>
      <c r="P1457" s="15"/>
      <c r="Q1457" s="15"/>
      <c r="R1457" s="15"/>
    </row>
    <row r="1458" spans="12:18" x14ac:dyDescent="0.2">
      <c r="L1458" s="15"/>
      <c r="M1458" s="15"/>
      <c r="N1458" s="15"/>
      <c r="O1458" s="15"/>
      <c r="P1458" s="15"/>
      <c r="Q1458" s="15"/>
      <c r="R1458" s="15"/>
    </row>
    <row r="1459" spans="12:18" x14ac:dyDescent="0.2">
      <c r="L1459" s="15"/>
      <c r="M1459" s="15"/>
      <c r="N1459" s="15"/>
      <c r="O1459" s="15"/>
      <c r="P1459" s="15"/>
      <c r="Q1459" s="15"/>
      <c r="R1459" s="15"/>
    </row>
    <row r="1460" spans="12:18" x14ac:dyDescent="0.2">
      <c r="L1460" s="15"/>
      <c r="M1460" s="15"/>
      <c r="N1460" s="15"/>
      <c r="O1460" s="15"/>
      <c r="P1460" s="15"/>
      <c r="Q1460" s="15"/>
      <c r="R1460" s="15"/>
    </row>
    <row r="1461" spans="12:18" x14ac:dyDescent="0.2">
      <c r="L1461" s="15"/>
      <c r="M1461" s="15"/>
      <c r="N1461" s="15"/>
      <c r="O1461" s="15"/>
      <c r="P1461" s="15"/>
      <c r="Q1461" s="15"/>
      <c r="R1461" s="15"/>
    </row>
    <row r="1462" spans="12:18" x14ac:dyDescent="0.2">
      <c r="L1462" s="15"/>
      <c r="M1462" s="15"/>
      <c r="N1462" s="15"/>
      <c r="O1462" s="15"/>
      <c r="P1462" s="15"/>
      <c r="Q1462" s="15"/>
      <c r="R1462" s="15"/>
    </row>
    <row r="1463" spans="12:18" x14ac:dyDescent="0.2">
      <c r="L1463" s="15"/>
      <c r="M1463" s="15"/>
      <c r="N1463" s="15"/>
      <c r="O1463" s="15"/>
      <c r="P1463" s="15"/>
      <c r="Q1463" s="15"/>
      <c r="R1463" s="15"/>
    </row>
    <row r="1464" spans="12:18" x14ac:dyDescent="0.2">
      <c r="L1464" s="15"/>
      <c r="M1464" s="15"/>
      <c r="N1464" s="15"/>
      <c r="O1464" s="15"/>
      <c r="P1464" s="15"/>
      <c r="Q1464" s="15"/>
      <c r="R1464" s="15"/>
    </row>
    <row r="1465" spans="12:18" x14ac:dyDescent="0.2">
      <c r="L1465" s="15"/>
      <c r="M1465" s="15"/>
      <c r="N1465" s="15"/>
      <c r="O1465" s="15"/>
      <c r="P1465" s="15"/>
      <c r="Q1465" s="15"/>
      <c r="R1465" s="15"/>
    </row>
    <row r="1466" spans="12:18" x14ac:dyDescent="0.2">
      <c r="L1466" s="15"/>
      <c r="M1466" s="15"/>
      <c r="N1466" s="15"/>
      <c r="O1466" s="15"/>
      <c r="P1466" s="15"/>
      <c r="Q1466" s="15"/>
      <c r="R1466" s="15"/>
    </row>
    <row r="1467" spans="12:18" x14ac:dyDescent="0.2">
      <c r="L1467" s="15"/>
      <c r="M1467" s="15"/>
      <c r="N1467" s="15"/>
      <c r="O1467" s="15"/>
      <c r="P1467" s="15"/>
      <c r="Q1467" s="15"/>
      <c r="R1467" s="15"/>
    </row>
    <row r="1468" spans="12:18" x14ac:dyDescent="0.2">
      <c r="L1468" s="15"/>
      <c r="M1468" s="15"/>
      <c r="N1468" s="15"/>
      <c r="O1468" s="15"/>
      <c r="P1468" s="15"/>
      <c r="Q1468" s="15"/>
      <c r="R1468" s="15"/>
    </row>
    <row r="1469" spans="12:18" x14ac:dyDescent="0.2">
      <c r="L1469" s="15"/>
      <c r="M1469" s="15"/>
      <c r="N1469" s="15"/>
      <c r="O1469" s="15"/>
      <c r="P1469" s="15"/>
      <c r="Q1469" s="15"/>
      <c r="R1469" s="15"/>
    </row>
    <row r="1470" spans="12:18" x14ac:dyDescent="0.2">
      <c r="L1470" s="15"/>
      <c r="M1470" s="15"/>
      <c r="N1470" s="15"/>
      <c r="O1470" s="15"/>
      <c r="P1470" s="15"/>
      <c r="Q1470" s="15"/>
      <c r="R1470" s="15"/>
    </row>
    <row r="1471" spans="12:18" x14ac:dyDescent="0.2">
      <c r="L1471" s="15"/>
      <c r="M1471" s="15"/>
      <c r="N1471" s="15"/>
      <c r="O1471" s="15"/>
      <c r="P1471" s="15"/>
      <c r="Q1471" s="15"/>
      <c r="R1471" s="15"/>
    </row>
    <row r="1472" spans="12:18" x14ac:dyDescent="0.2">
      <c r="L1472" s="15"/>
      <c r="M1472" s="15"/>
      <c r="N1472" s="15"/>
      <c r="O1472" s="15"/>
      <c r="P1472" s="15"/>
      <c r="Q1472" s="15"/>
      <c r="R1472" s="15"/>
    </row>
    <row r="1473" spans="12:18" x14ac:dyDescent="0.2">
      <c r="L1473" s="15"/>
      <c r="M1473" s="15"/>
      <c r="N1473" s="15"/>
      <c r="O1473" s="15"/>
      <c r="P1473" s="15"/>
      <c r="Q1473" s="15"/>
      <c r="R1473" s="15"/>
    </row>
    <row r="1474" spans="12:18" x14ac:dyDescent="0.2">
      <c r="L1474" s="15"/>
      <c r="M1474" s="15"/>
      <c r="N1474" s="15"/>
      <c r="O1474" s="15"/>
      <c r="P1474" s="15"/>
      <c r="Q1474" s="15"/>
      <c r="R1474" s="15"/>
    </row>
    <row r="1475" spans="12:18" x14ac:dyDescent="0.2">
      <c r="L1475" s="15"/>
      <c r="M1475" s="15"/>
      <c r="N1475" s="15"/>
      <c r="O1475" s="15"/>
      <c r="P1475" s="15"/>
      <c r="Q1475" s="15"/>
      <c r="R1475" s="15"/>
    </row>
    <row r="1476" spans="12:18" x14ac:dyDescent="0.2">
      <c r="L1476" s="15"/>
      <c r="M1476" s="15"/>
      <c r="N1476" s="15"/>
      <c r="O1476" s="15"/>
      <c r="P1476" s="15"/>
      <c r="Q1476" s="15"/>
      <c r="R1476" s="15"/>
    </row>
    <row r="1477" spans="12:18" x14ac:dyDescent="0.2">
      <c r="L1477" s="15"/>
      <c r="M1477" s="15"/>
      <c r="N1477" s="15"/>
      <c r="O1477" s="15"/>
      <c r="P1477" s="15"/>
      <c r="Q1477" s="15"/>
      <c r="R1477" s="15"/>
    </row>
    <row r="1478" spans="12:18" x14ac:dyDescent="0.2">
      <c r="L1478" s="15"/>
      <c r="M1478" s="15"/>
      <c r="N1478" s="15"/>
      <c r="O1478" s="15"/>
      <c r="P1478" s="15"/>
      <c r="Q1478" s="15"/>
      <c r="R1478" s="15"/>
    </row>
    <row r="1479" spans="12:18" x14ac:dyDescent="0.2">
      <c r="L1479" s="15"/>
      <c r="M1479" s="15"/>
      <c r="N1479" s="15"/>
      <c r="O1479" s="15"/>
      <c r="P1479" s="15"/>
      <c r="Q1479" s="15"/>
      <c r="R1479" s="15"/>
    </row>
    <row r="1480" spans="12:18" x14ac:dyDescent="0.2">
      <c r="L1480" s="15"/>
      <c r="M1480" s="15"/>
      <c r="N1480" s="15"/>
      <c r="O1480" s="15"/>
      <c r="P1480" s="15"/>
      <c r="Q1480" s="15"/>
      <c r="R1480" s="15"/>
    </row>
    <row r="1481" spans="12:18" x14ac:dyDescent="0.2">
      <c r="L1481" s="15"/>
      <c r="M1481" s="15"/>
      <c r="N1481" s="15"/>
      <c r="O1481" s="15"/>
      <c r="P1481" s="15"/>
      <c r="Q1481" s="15"/>
      <c r="R1481" s="15"/>
    </row>
    <row r="1482" spans="12:18" x14ac:dyDescent="0.2">
      <c r="L1482" s="15"/>
      <c r="M1482" s="15"/>
      <c r="N1482" s="15"/>
      <c r="O1482" s="15"/>
      <c r="P1482" s="15"/>
      <c r="Q1482" s="15"/>
      <c r="R1482" s="15"/>
    </row>
    <row r="1483" spans="12:18" x14ac:dyDescent="0.2">
      <c r="L1483" s="15"/>
      <c r="M1483" s="15"/>
      <c r="N1483" s="15"/>
      <c r="O1483" s="15"/>
      <c r="P1483" s="15"/>
      <c r="Q1483" s="15"/>
      <c r="R1483" s="15"/>
    </row>
    <row r="1484" spans="12:18" x14ac:dyDescent="0.2">
      <c r="L1484" s="15"/>
      <c r="M1484" s="15"/>
      <c r="N1484" s="15"/>
      <c r="O1484" s="15"/>
      <c r="P1484" s="15"/>
      <c r="Q1484" s="15"/>
      <c r="R1484" s="15"/>
    </row>
    <row r="1485" spans="12:18" x14ac:dyDescent="0.2">
      <c r="L1485" s="15"/>
      <c r="M1485" s="15"/>
      <c r="N1485" s="15"/>
      <c r="O1485" s="15"/>
      <c r="P1485" s="15"/>
      <c r="Q1485" s="15"/>
      <c r="R1485" s="15"/>
    </row>
    <row r="1486" spans="12:18" x14ac:dyDescent="0.2">
      <c r="L1486" s="15"/>
      <c r="M1486" s="15"/>
      <c r="N1486" s="15"/>
      <c r="O1486" s="15"/>
      <c r="P1486" s="15"/>
      <c r="Q1486" s="15"/>
      <c r="R1486" s="15"/>
    </row>
    <row r="1487" spans="12:18" x14ac:dyDescent="0.2">
      <c r="L1487" s="15"/>
      <c r="M1487" s="15"/>
      <c r="N1487" s="15"/>
      <c r="O1487" s="15"/>
      <c r="P1487" s="15"/>
      <c r="Q1487" s="15"/>
      <c r="R1487" s="15"/>
    </row>
    <row r="1488" spans="12:18" x14ac:dyDescent="0.2">
      <c r="L1488" s="15"/>
      <c r="M1488" s="15"/>
      <c r="N1488" s="15"/>
      <c r="O1488" s="15"/>
      <c r="P1488" s="15"/>
      <c r="Q1488" s="15"/>
      <c r="R1488" s="15"/>
    </row>
    <row r="1489" spans="12:18" x14ac:dyDescent="0.2">
      <c r="L1489" s="15"/>
      <c r="M1489" s="15"/>
      <c r="N1489" s="15"/>
      <c r="O1489" s="15"/>
      <c r="P1489" s="15"/>
      <c r="Q1489" s="15"/>
      <c r="R1489" s="15"/>
    </row>
    <row r="1490" spans="12:18" x14ac:dyDescent="0.2">
      <c r="L1490" s="15"/>
      <c r="M1490" s="15"/>
      <c r="N1490" s="15"/>
      <c r="O1490" s="15"/>
      <c r="P1490" s="15"/>
      <c r="Q1490" s="15"/>
      <c r="R1490" s="15"/>
    </row>
    <row r="1491" spans="12:18" x14ac:dyDescent="0.2">
      <c r="L1491" s="15"/>
      <c r="M1491" s="15"/>
      <c r="N1491" s="15"/>
      <c r="O1491" s="15"/>
      <c r="P1491" s="15"/>
      <c r="Q1491" s="15"/>
      <c r="R1491" s="15"/>
    </row>
    <row r="1492" spans="12:18" x14ac:dyDescent="0.2">
      <c r="L1492" s="15"/>
      <c r="M1492" s="15"/>
      <c r="N1492" s="15"/>
      <c r="O1492" s="15"/>
      <c r="P1492" s="15"/>
      <c r="Q1492" s="15"/>
      <c r="R1492" s="15"/>
    </row>
    <row r="1493" spans="12:18" x14ac:dyDescent="0.2">
      <c r="L1493" s="15"/>
      <c r="M1493" s="15"/>
      <c r="N1493" s="15"/>
      <c r="O1493" s="15"/>
      <c r="P1493" s="15"/>
      <c r="Q1493" s="15"/>
      <c r="R1493" s="15"/>
    </row>
    <row r="1494" spans="12:18" x14ac:dyDescent="0.2">
      <c r="L1494" s="15"/>
      <c r="M1494" s="15"/>
      <c r="N1494" s="15"/>
      <c r="O1494" s="15"/>
      <c r="P1494" s="15"/>
      <c r="Q1494" s="15"/>
      <c r="R1494" s="15"/>
    </row>
    <row r="1495" spans="12:18" x14ac:dyDescent="0.2">
      <c r="L1495" s="15"/>
      <c r="M1495" s="15"/>
      <c r="N1495" s="15"/>
      <c r="O1495" s="15"/>
      <c r="P1495" s="15"/>
      <c r="Q1495" s="15"/>
      <c r="R1495" s="15"/>
    </row>
    <row r="1496" spans="12:18" x14ac:dyDescent="0.2">
      <c r="L1496" s="15"/>
      <c r="M1496" s="15"/>
      <c r="N1496" s="15"/>
      <c r="O1496" s="15"/>
      <c r="P1496" s="15"/>
      <c r="Q1496" s="15"/>
      <c r="R1496" s="15"/>
    </row>
    <row r="1497" spans="12:18" x14ac:dyDescent="0.2">
      <c r="L1497" s="15"/>
      <c r="M1497" s="15"/>
      <c r="N1497" s="15"/>
      <c r="O1497" s="15"/>
      <c r="P1497" s="15"/>
      <c r="Q1497" s="15"/>
      <c r="R1497" s="15"/>
    </row>
    <row r="1498" spans="12:18" x14ac:dyDescent="0.2">
      <c r="L1498" s="15"/>
      <c r="M1498" s="15"/>
      <c r="N1498" s="15"/>
      <c r="O1498" s="15"/>
      <c r="P1498" s="15"/>
      <c r="Q1498" s="15"/>
      <c r="R1498" s="15"/>
    </row>
    <row r="1499" spans="12:18" x14ac:dyDescent="0.2">
      <c r="L1499" s="15"/>
      <c r="M1499" s="15"/>
      <c r="N1499" s="15"/>
      <c r="O1499" s="15"/>
      <c r="P1499" s="15"/>
      <c r="Q1499" s="15"/>
      <c r="R1499" s="15"/>
    </row>
    <row r="1500" spans="12:18" x14ac:dyDescent="0.2">
      <c r="L1500" s="15"/>
      <c r="M1500" s="15"/>
      <c r="N1500" s="15"/>
      <c r="O1500" s="15"/>
      <c r="P1500" s="15"/>
      <c r="Q1500" s="15"/>
      <c r="R1500" s="15"/>
    </row>
    <row r="1501" spans="12:18" x14ac:dyDescent="0.2">
      <c r="L1501" s="15"/>
      <c r="M1501" s="15"/>
      <c r="N1501" s="15"/>
      <c r="O1501" s="15"/>
      <c r="P1501" s="15"/>
      <c r="Q1501" s="15"/>
      <c r="R1501" s="15"/>
    </row>
    <row r="1502" spans="12:18" x14ac:dyDescent="0.2">
      <c r="L1502" s="15"/>
      <c r="M1502" s="15"/>
      <c r="N1502" s="15"/>
      <c r="O1502" s="15"/>
      <c r="P1502" s="15"/>
      <c r="Q1502" s="15"/>
      <c r="R1502" s="15"/>
    </row>
    <row r="1503" spans="12:18" x14ac:dyDescent="0.2">
      <c r="L1503" s="15"/>
      <c r="M1503" s="15"/>
      <c r="N1503" s="15"/>
      <c r="O1503" s="15"/>
      <c r="P1503" s="15"/>
      <c r="Q1503" s="15"/>
      <c r="R1503" s="15"/>
    </row>
    <row r="1504" spans="12:18" x14ac:dyDescent="0.2">
      <c r="L1504" s="15"/>
      <c r="M1504" s="15"/>
      <c r="N1504" s="15"/>
      <c r="O1504" s="15"/>
      <c r="P1504" s="15"/>
      <c r="Q1504" s="15"/>
      <c r="R1504" s="15"/>
    </row>
    <row r="1505" spans="12:18" x14ac:dyDescent="0.2">
      <c r="L1505" s="15"/>
      <c r="M1505" s="15"/>
      <c r="N1505" s="15"/>
      <c r="O1505" s="15"/>
      <c r="P1505" s="15"/>
      <c r="Q1505" s="15"/>
      <c r="R1505" s="15"/>
    </row>
    <row r="1506" spans="12:18" x14ac:dyDescent="0.2">
      <c r="L1506" s="15"/>
      <c r="M1506" s="15"/>
      <c r="N1506" s="15"/>
      <c r="O1506" s="15"/>
      <c r="P1506" s="15"/>
      <c r="Q1506" s="15"/>
      <c r="R1506" s="15"/>
    </row>
    <row r="1507" spans="12:18" x14ac:dyDescent="0.2">
      <c r="L1507" s="15"/>
      <c r="M1507" s="15"/>
      <c r="N1507" s="15"/>
      <c r="O1507" s="15"/>
      <c r="P1507" s="15"/>
      <c r="Q1507" s="15"/>
      <c r="R1507" s="15"/>
    </row>
    <row r="1508" spans="12:18" x14ac:dyDescent="0.2">
      <c r="L1508" s="15"/>
      <c r="M1508" s="15"/>
      <c r="N1508" s="15"/>
      <c r="O1508" s="15"/>
      <c r="P1508" s="15"/>
      <c r="Q1508" s="15"/>
      <c r="R1508" s="15"/>
    </row>
    <row r="1509" spans="12:18" x14ac:dyDescent="0.2">
      <c r="L1509" s="15"/>
      <c r="M1509" s="15"/>
      <c r="N1509" s="15"/>
      <c r="O1509" s="15"/>
      <c r="P1509" s="15"/>
      <c r="Q1509" s="15"/>
      <c r="R1509" s="15"/>
    </row>
    <row r="1510" spans="12:18" x14ac:dyDescent="0.2">
      <c r="L1510" s="15"/>
      <c r="M1510" s="15"/>
      <c r="N1510" s="15"/>
      <c r="O1510" s="15"/>
      <c r="P1510" s="15"/>
      <c r="Q1510" s="15"/>
      <c r="R1510" s="15"/>
    </row>
    <row r="1511" spans="12:18" x14ac:dyDescent="0.2">
      <c r="L1511" s="15"/>
      <c r="M1511" s="15"/>
      <c r="N1511" s="15"/>
      <c r="O1511" s="15"/>
      <c r="P1511" s="15"/>
      <c r="Q1511" s="15"/>
      <c r="R1511" s="15"/>
    </row>
    <row r="1512" spans="12:18" x14ac:dyDescent="0.2">
      <c r="L1512" s="15"/>
      <c r="M1512" s="15"/>
      <c r="N1512" s="15"/>
      <c r="O1512" s="15"/>
      <c r="P1512" s="15"/>
      <c r="Q1512" s="15"/>
      <c r="R1512" s="15"/>
    </row>
    <row r="1513" spans="12:18" x14ac:dyDescent="0.2">
      <c r="L1513" s="15"/>
      <c r="M1513" s="15"/>
      <c r="N1513" s="15"/>
      <c r="O1513" s="15"/>
      <c r="P1513" s="15"/>
      <c r="Q1513" s="15"/>
      <c r="R1513" s="15"/>
    </row>
    <row r="1514" spans="12:18" x14ac:dyDescent="0.2">
      <c r="L1514" s="15"/>
      <c r="M1514" s="15"/>
      <c r="N1514" s="15"/>
      <c r="O1514" s="15"/>
      <c r="P1514" s="15"/>
      <c r="Q1514" s="15"/>
      <c r="R1514" s="15"/>
    </row>
    <row r="1515" spans="12:18" x14ac:dyDescent="0.2">
      <c r="L1515" s="15"/>
      <c r="M1515" s="15"/>
      <c r="N1515" s="15"/>
      <c r="O1515" s="15"/>
      <c r="P1515" s="15"/>
      <c r="Q1515" s="15"/>
      <c r="R1515" s="15"/>
    </row>
    <row r="1516" spans="12:18" x14ac:dyDescent="0.2">
      <c r="L1516" s="15"/>
      <c r="M1516" s="15"/>
      <c r="N1516" s="15"/>
      <c r="O1516" s="15"/>
      <c r="P1516" s="15"/>
      <c r="Q1516" s="15"/>
      <c r="R1516" s="15"/>
    </row>
    <row r="1517" spans="12:18" x14ac:dyDescent="0.2">
      <c r="L1517" s="15"/>
      <c r="M1517" s="15"/>
      <c r="N1517" s="15"/>
      <c r="O1517" s="15"/>
      <c r="P1517" s="15"/>
      <c r="Q1517" s="15"/>
      <c r="R1517" s="15"/>
    </row>
    <row r="1518" spans="12:18" x14ac:dyDescent="0.2">
      <c r="L1518" s="15"/>
      <c r="M1518" s="15"/>
      <c r="N1518" s="15"/>
      <c r="O1518" s="15"/>
      <c r="P1518" s="15"/>
      <c r="Q1518" s="15"/>
      <c r="R1518" s="15"/>
    </row>
    <row r="1519" spans="12:18" x14ac:dyDescent="0.2">
      <c r="L1519" s="15"/>
      <c r="M1519" s="15"/>
      <c r="N1519" s="15"/>
      <c r="O1519" s="15"/>
      <c r="P1519" s="15"/>
      <c r="Q1519" s="15"/>
      <c r="R1519" s="15"/>
    </row>
    <row r="1520" spans="12:18" x14ac:dyDescent="0.2">
      <c r="L1520" s="15"/>
      <c r="M1520" s="15"/>
      <c r="N1520" s="15"/>
      <c r="O1520" s="15"/>
      <c r="P1520" s="15"/>
      <c r="Q1520" s="15"/>
      <c r="R1520" s="15"/>
    </row>
    <row r="1521" spans="12:18" x14ac:dyDescent="0.2">
      <c r="L1521" s="15"/>
      <c r="M1521" s="15"/>
      <c r="N1521" s="15"/>
      <c r="O1521" s="15"/>
      <c r="P1521" s="15"/>
      <c r="Q1521" s="15"/>
      <c r="R1521" s="15"/>
    </row>
    <row r="1522" spans="12:18" x14ac:dyDescent="0.2">
      <c r="L1522" s="15"/>
      <c r="M1522" s="15"/>
      <c r="N1522" s="15"/>
      <c r="O1522" s="15"/>
      <c r="P1522" s="15"/>
      <c r="Q1522" s="15"/>
      <c r="R1522" s="15"/>
    </row>
    <row r="1523" spans="12:18" x14ac:dyDescent="0.2">
      <c r="L1523" s="15"/>
      <c r="M1523" s="15"/>
      <c r="N1523" s="15"/>
      <c r="O1523" s="15"/>
      <c r="P1523" s="15"/>
      <c r="Q1523" s="15"/>
      <c r="R1523" s="15"/>
    </row>
    <row r="1524" spans="12:18" x14ac:dyDescent="0.2">
      <c r="L1524" s="15"/>
      <c r="M1524" s="15"/>
      <c r="N1524" s="15"/>
      <c r="O1524" s="15"/>
      <c r="P1524" s="15"/>
      <c r="Q1524" s="15"/>
      <c r="R1524" s="15"/>
    </row>
    <row r="1525" spans="12:18" x14ac:dyDescent="0.2">
      <c r="L1525" s="15"/>
      <c r="M1525" s="15"/>
      <c r="N1525" s="15"/>
      <c r="O1525" s="15"/>
      <c r="P1525" s="15"/>
      <c r="Q1525" s="15"/>
      <c r="R1525" s="15"/>
    </row>
    <row r="1526" spans="12:18" x14ac:dyDescent="0.2">
      <c r="L1526" s="15"/>
      <c r="M1526" s="15"/>
      <c r="N1526" s="15"/>
      <c r="O1526" s="15"/>
      <c r="P1526" s="15"/>
      <c r="Q1526" s="15"/>
      <c r="R1526" s="15"/>
    </row>
    <row r="1527" spans="12:18" x14ac:dyDescent="0.2">
      <c r="L1527" s="15"/>
      <c r="M1527" s="15"/>
      <c r="N1527" s="15"/>
      <c r="O1527" s="15"/>
      <c r="P1527" s="15"/>
      <c r="Q1527" s="15"/>
      <c r="R1527" s="15"/>
    </row>
    <row r="1528" spans="12:18" x14ac:dyDescent="0.2">
      <c r="L1528" s="15"/>
      <c r="M1528" s="15"/>
      <c r="N1528" s="15"/>
      <c r="O1528" s="15"/>
      <c r="P1528" s="15"/>
      <c r="Q1528" s="15"/>
      <c r="R1528" s="15"/>
    </row>
    <row r="1529" spans="12:18" x14ac:dyDescent="0.2">
      <c r="L1529" s="15"/>
      <c r="M1529" s="15"/>
      <c r="N1529" s="15"/>
      <c r="O1529" s="15"/>
      <c r="P1529" s="15"/>
      <c r="Q1529" s="15"/>
      <c r="R1529" s="15"/>
    </row>
    <row r="1530" spans="12:18" x14ac:dyDescent="0.2">
      <c r="L1530" s="15"/>
      <c r="M1530" s="15"/>
      <c r="N1530" s="15"/>
      <c r="O1530" s="15"/>
      <c r="P1530" s="15"/>
      <c r="Q1530" s="15"/>
      <c r="R1530" s="15"/>
    </row>
    <row r="1531" spans="12:18" x14ac:dyDescent="0.2">
      <c r="L1531" s="15"/>
      <c r="M1531" s="15"/>
      <c r="N1531" s="15"/>
      <c r="O1531" s="15"/>
      <c r="P1531" s="15"/>
      <c r="Q1531" s="15"/>
      <c r="R1531" s="15"/>
    </row>
    <row r="1532" spans="12:18" x14ac:dyDescent="0.2">
      <c r="L1532" s="15"/>
      <c r="M1532" s="15"/>
      <c r="N1532" s="15"/>
      <c r="O1532" s="15"/>
      <c r="P1532" s="15"/>
      <c r="Q1532" s="15"/>
      <c r="R1532" s="15"/>
    </row>
    <row r="1533" spans="12:18" x14ac:dyDescent="0.2">
      <c r="L1533" s="15"/>
      <c r="M1533" s="15"/>
      <c r="N1533" s="15"/>
      <c r="O1533" s="15"/>
      <c r="P1533" s="15"/>
      <c r="Q1533" s="15"/>
      <c r="R1533" s="15"/>
    </row>
    <row r="1534" spans="12:18" x14ac:dyDescent="0.2">
      <c r="L1534" s="15"/>
      <c r="M1534" s="15"/>
      <c r="N1534" s="15"/>
      <c r="O1534" s="15"/>
      <c r="P1534" s="15"/>
      <c r="Q1534" s="15"/>
      <c r="R1534" s="15"/>
    </row>
    <row r="1535" spans="12:18" x14ac:dyDescent="0.2">
      <c r="L1535" s="15"/>
      <c r="M1535" s="15"/>
      <c r="N1535" s="15"/>
      <c r="O1535" s="15"/>
      <c r="P1535" s="15"/>
      <c r="Q1535" s="15"/>
      <c r="R1535" s="15"/>
    </row>
    <row r="1536" spans="12:18" x14ac:dyDescent="0.2">
      <c r="L1536" s="15"/>
      <c r="M1536" s="15"/>
      <c r="N1536" s="15"/>
      <c r="O1536" s="15"/>
      <c r="P1536" s="15"/>
      <c r="Q1536" s="15"/>
      <c r="R1536" s="15"/>
    </row>
    <row r="1537" spans="12:18" x14ac:dyDescent="0.2">
      <c r="L1537" s="15"/>
      <c r="M1537" s="15"/>
      <c r="N1537" s="15"/>
      <c r="O1537" s="15"/>
      <c r="P1537" s="15"/>
      <c r="Q1537" s="15"/>
      <c r="R1537" s="15"/>
    </row>
    <row r="1538" spans="12:18" x14ac:dyDescent="0.2">
      <c r="L1538" s="15"/>
      <c r="M1538" s="15"/>
      <c r="N1538" s="15"/>
      <c r="O1538" s="15"/>
      <c r="P1538" s="15"/>
      <c r="Q1538" s="15"/>
      <c r="R1538" s="15"/>
    </row>
    <row r="1539" spans="12:18" x14ac:dyDescent="0.2">
      <c r="L1539" s="15"/>
      <c r="M1539" s="15"/>
      <c r="N1539" s="15"/>
      <c r="O1539" s="15"/>
      <c r="P1539" s="15"/>
      <c r="Q1539" s="15"/>
      <c r="R1539" s="15"/>
    </row>
    <row r="1540" spans="12:18" x14ac:dyDescent="0.2">
      <c r="L1540" s="15"/>
      <c r="M1540" s="15"/>
      <c r="N1540" s="15"/>
      <c r="O1540" s="15"/>
      <c r="P1540" s="15"/>
      <c r="Q1540" s="15"/>
      <c r="R1540" s="15"/>
    </row>
    <row r="1541" spans="12:18" x14ac:dyDescent="0.2">
      <c r="L1541" s="15"/>
      <c r="M1541" s="15"/>
      <c r="N1541" s="15"/>
      <c r="O1541" s="15"/>
      <c r="P1541" s="15"/>
      <c r="Q1541" s="15"/>
      <c r="R1541" s="15"/>
    </row>
    <row r="1542" spans="12:18" x14ac:dyDescent="0.2">
      <c r="L1542" s="15"/>
      <c r="M1542" s="15"/>
      <c r="N1542" s="15"/>
      <c r="O1542" s="15"/>
      <c r="P1542" s="15"/>
      <c r="Q1542" s="15"/>
      <c r="R1542" s="15"/>
    </row>
    <row r="1543" spans="12:18" x14ac:dyDescent="0.2">
      <c r="L1543" s="15"/>
      <c r="M1543" s="15"/>
      <c r="N1543" s="15"/>
      <c r="O1543" s="15"/>
      <c r="P1543" s="15"/>
      <c r="Q1543" s="15"/>
      <c r="R1543" s="15"/>
    </row>
    <row r="1544" spans="12:18" x14ac:dyDescent="0.2">
      <c r="L1544" s="15"/>
      <c r="M1544" s="15"/>
      <c r="N1544" s="15"/>
      <c r="O1544" s="15"/>
      <c r="P1544" s="15"/>
      <c r="Q1544" s="15"/>
      <c r="R1544" s="15"/>
    </row>
    <row r="1545" spans="12:18" x14ac:dyDescent="0.2">
      <c r="L1545" s="15"/>
      <c r="M1545" s="15"/>
      <c r="N1545" s="15"/>
      <c r="O1545" s="15"/>
      <c r="P1545" s="15"/>
      <c r="Q1545" s="15"/>
      <c r="R1545" s="15"/>
    </row>
    <row r="1546" spans="12:18" x14ac:dyDescent="0.2">
      <c r="L1546" s="15"/>
      <c r="M1546" s="15"/>
      <c r="N1546" s="15"/>
      <c r="O1546" s="15"/>
      <c r="P1546" s="15"/>
      <c r="Q1546" s="15"/>
      <c r="R1546" s="15"/>
    </row>
    <row r="1547" spans="12:18" x14ac:dyDescent="0.2">
      <c r="L1547" s="15"/>
      <c r="M1547" s="15"/>
      <c r="N1547" s="15"/>
      <c r="O1547" s="15"/>
      <c r="P1547" s="15"/>
      <c r="Q1547" s="15"/>
      <c r="R1547" s="15"/>
    </row>
    <row r="1548" spans="12:18" x14ac:dyDescent="0.2">
      <c r="L1548" s="15"/>
      <c r="M1548" s="15"/>
      <c r="N1548" s="15"/>
      <c r="O1548" s="15"/>
      <c r="P1548" s="15"/>
      <c r="Q1548" s="15"/>
      <c r="R1548" s="15"/>
    </row>
    <row r="1549" spans="12:18" x14ac:dyDescent="0.2">
      <c r="L1549" s="15"/>
      <c r="M1549" s="15"/>
      <c r="N1549" s="15"/>
      <c r="O1549" s="15"/>
      <c r="P1549" s="15"/>
      <c r="Q1549" s="15"/>
      <c r="R1549" s="15"/>
    </row>
    <row r="1550" spans="12:18" x14ac:dyDescent="0.2">
      <c r="L1550" s="15"/>
      <c r="M1550" s="15"/>
      <c r="N1550" s="15"/>
      <c r="O1550" s="15"/>
      <c r="P1550" s="15"/>
      <c r="Q1550" s="15"/>
      <c r="R1550" s="15"/>
    </row>
    <row r="1551" spans="12:18" x14ac:dyDescent="0.2">
      <c r="L1551" s="15"/>
      <c r="M1551" s="15"/>
      <c r="N1551" s="15"/>
      <c r="O1551" s="15"/>
      <c r="P1551" s="15"/>
      <c r="Q1551" s="15"/>
      <c r="R1551" s="15"/>
    </row>
    <row r="1552" spans="12:18" x14ac:dyDescent="0.2">
      <c r="L1552" s="15"/>
      <c r="M1552" s="15"/>
      <c r="N1552" s="15"/>
      <c r="O1552" s="15"/>
      <c r="P1552" s="15"/>
      <c r="Q1552" s="15"/>
      <c r="R1552" s="15"/>
    </row>
    <row r="1553" spans="12:18" x14ac:dyDescent="0.2">
      <c r="L1553" s="15"/>
      <c r="M1553" s="15"/>
      <c r="N1553" s="15"/>
      <c r="O1553" s="15"/>
      <c r="P1553" s="15"/>
      <c r="Q1553" s="15"/>
      <c r="R1553" s="15"/>
    </row>
    <row r="1554" spans="12:18" x14ac:dyDescent="0.2">
      <c r="L1554" s="15"/>
      <c r="M1554" s="15"/>
      <c r="N1554" s="15"/>
      <c r="O1554" s="15"/>
      <c r="P1554" s="15"/>
      <c r="Q1554" s="15"/>
      <c r="R1554" s="15"/>
    </row>
    <row r="1555" spans="12:18" x14ac:dyDescent="0.2">
      <c r="L1555" s="15"/>
      <c r="M1555" s="15"/>
      <c r="N1555" s="15"/>
      <c r="O1555" s="15"/>
      <c r="P1555" s="15"/>
      <c r="Q1555" s="15"/>
      <c r="R1555" s="15"/>
    </row>
    <row r="1556" spans="12:18" x14ac:dyDescent="0.2">
      <c r="L1556" s="15"/>
      <c r="M1556" s="15"/>
      <c r="N1556" s="15"/>
      <c r="O1556" s="15"/>
      <c r="P1556" s="15"/>
      <c r="Q1556" s="15"/>
      <c r="R1556" s="15"/>
    </row>
    <row r="1557" spans="12:18" x14ac:dyDescent="0.2">
      <c r="L1557" s="15"/>
      <c r="M1557" s="15"/>
      <c r="N1557" s="15"/>
      <c r="O1557" s="15"/>
      <c r="P1557" s="15"/>
      <c r="Q1557" s="15"/>
      <c r="R1557" s="15"/>
    </row>
    <row r="1558" spans="12:18" x14ac:dyDescent="0.2">
      <c r="L1558" s="15"/>
      <c r="M1558" s="15"/>
      <c r="N1558" s="15"/>
      <c r="O1558" s="15"/>
      <c r="P1558" s="15"/>
      <c r="Q1558" s="15"/>
      <c r="R1558" s="15"/>
    </row>
    <row r="1559" spans="12:18" x14ac:dyDescent="0.2">
      <c r="L1559" s="15"/>
      <c r="M1559" s="15"/>
      <c r="N1559" s="15"/>
      <c r="O1559" s="15"/>
      <c r="P1559" s="15"/>
      <c r="Q1559" s="15"/>
      <c r="R1559" s="15"/>
    </row>
    <row r="1560" spans="12:18" x14ac:dyDescent="0.2">
      <c r="L1560" s="15"/>
      <c r="M1560" s="15"/>
      <c r="N1560" s="15"/>
      <c r="O1560" s="15"/>
      <c r="P1560" s="15"/>
      <c r="Q1560" s="15"/>
      <c r="R1560" s="15"/>
    </row>
    <row r="1561" spans="12:18" x14ac:dyDescent="0.2">
      <c r="L1561" s="15"/>
      <c r="M1561" s="15"/>
      <c r="N1561" s="15"/>
      <c r="O1561" s="15"/>
      <c r="P1561" s="15"/>
      <c r="Q1561" s="15"/>
      <c r="R1561" s="15"/>
    </row>
    <row r="1562" spans="12:18" x14ac:dyDescent="0.2">
      <c r="L1562" s="15"/>
      <c r="M1562" s="15"/>
      <c r="N1562" s="15"/>
      <c r="O1562" s="15"/>
      <c r="P1562" s="15"/>
      <c r="Q1562" s="15"/>
      <c r="R1562" s="15"/>
    </row>
    <row r="1563" spans="12:18" x14ac:dyDescent="0.2">
      <c r="L1563" s="15"/>
      <c r="M1563" s="15"/>
      <c r="N1563" s="15"/>
      <c r="O1563" s="15"/>
      <c r="P1563" s="15"/>
      <c r="Q1563" s="15"/>
      <c r="R1563" s="15"/>
    </row>
    <row r="1564" spans="12:18" x14ac:dyDescent="0.2">
      <c r="L1564" s="15"/>
      <c r="M1564" s="15"/>
      <c r="N1564" s="15"/>
      <c r="O1564" s="15"/>
      <c r="P1564" s="15"/>
      <c r="Q1564" s="15"/>
      <c r="R1564" s="15"/>
    </row>
    <row r="1565" spans="12:18" x14ac:dyDescent="0.2">
      <c r="L1565" s="15"/>
      <c r="M1565" s="15"/>
      <c r="N1565" s="15"/>
      <c r="O1565" s="15"/>
      <c r="P1565" s="15"/>
      <c r="Q1565" s="15"/>
      <c r="R1565" s="15"/>
    </row>
    <row r="1566" spans="12:18" x14ac:dyDescent="0.2">
      <c r="L1566" s="15"/>
      <c r="M1566" s="15"/>
      <c r="N1566" s="15"/>
      <c r="O1566" s="15"/>
      <c r="P1566" s="15"/>
      <c r="Q1566" s="15"/>
      <c r="R1566" s="15"/>
    </row>
    <row r="1567" spans="12:18" x14ac:dyDescent="0.2">
      <c r="L1567" s="15"/>
      <c r="M1567" s="15"/>
      <c r="N1567" s="15"/>
      <c r="O1567" s="15"/>
      <c r="P1567" s="15"/>
      <c r="Q1567" s="15"/>
      <c r="R1567" s="15"/>
    </row>
    <row r="1568" spans="12:18" x14ac:dyDescent="0.2">
      <c r="L1568" s="15"/>
      <c r="M1568" s="15"/>
      <c r="N1568" s="15"/>
      <c r="O1568" s="15"/>
      <c r="P1568" s="15"/>
      <c r="Q1568" s="15"/>
      <c r="R1568" s="15"/>
    </row>
    <row r="1569" spans="12:18" x14ac:dyDescent="0.2">
      <c r="L1569" s="15"/>
      <c r="M1569" s="15"/>
      <c r="N1569" s="15"/>
      <c r="O1569" s="15"/>
      <c r="P1569" s="15"/>
      <c r="Q1569" s="15"/>
      <c r="R1569" s="15"/>
    </row>
    <row r="1570" spans="12:18" x14ac:dyDescent="0.2">
      <c r="L1570" s="15"/>
      <c r="M1570" s="15"/>
      <c r="N1570" s="15"/>
      <c r="O1570" s="15"/>
      <c r="P1570" s="15"/>
      <c r="Q1570" s="15"/>
      <c r="R1570" s="15"/>
    </row>
    <row r="1571" spans="12:18" x14ac:dyDescent="0.2">
      <c r="L1571" s="15"/>
      <c r="M1571" s="15"/>
      <c r="N1571" s="15"/>
      <c r="O1571" s="15"/>
      <c r="P1571" s="15"/>
      <c r="Q1571" s="15"/>
      <c r="R1571" s="15"/>
    </row>
    <row r="1572" spans="12:18" x14ac:dyDescent="0.2">
      <c r="L1572" s="15"/>
      <c r="M1572" s="15"/>
      <c r="N1572" s="15"/>
      <c r="O1572" s="15"/>
      <c r="P1572" s="15"/>
      <c r="Q1572" s="15"/>
      <c r="R1572" s="15"/>
    </row>
    <row r="1573" spans="12:18" x14ac:dyDescent="0.2">
      <c r="L1573" s="15"/>
      <c r="M1573" s="15"/>
      <c r="N1573" s="15"/>
      <c r="O1573" s="15"/>
      <c r="P1573" s="15"/>
      <c r="Q1573" s="15"/>
      <c r="R1573" s="15"/>
    </row>
    <row r="1574" spans="12:18" x14ac:dyDescent="0.2">
      <c r="L1574" s="15"/>
      <c r="M1574" s="15"/>
      <c r="N1574" s="15"/>
      <c r="O1574" s="15"/>
      <c r="P1574" s="15"/>
      <c r="Q1574" s="15"/>
      <c r="R1574" s="15"/>
    </row>
    <row r="1575" spans="12:18" x14ac:dyDescent="0.2">
      <c r="L1575" s="15"/>
      <c r="M1575" s="15"/>
      <c r="N1575" s="15"/>
      <c r="O1575" s="15"/>
      <c r="P1575" s="15"/>
      <c r="Q1575" s="15"/>
      <c r="R1575" s="15"/>
    </row>
    <row r="1576" spans="12:18" x14ac:dyDescent="0.2">
      <c r="L1576" s="15"/>
      <c r="M1576" s="15"/>
      <c r="N1576" s="15"/>
      <c r="O1576" s="15"/>
      <c r="P1576" s="15"/>
      <c r="Q1576" s="15"/>
      <c r="R1576" s="15"/>
    </row>
    <row r="1577" spans="12:18" x14ac:dyDescent="0.2">
      <c r="L1577" s="15"/>
      <c r="M1577" s="15"/>
      <c r="N1577" s="15"/>
      <c r="O1577" s="15"/>
      <c r="P1577" s="15"/>
      <c r="Q1577" s="15"/>
      <c r="R1577" s="15"/>
    </row>
    <row r="1578" spans="12:18" x14ac:dyDescent="0.2">
      <c r="L1578" s="15"/>
      <c r="M1578" s="15"/>
      <c r="N1578" s="15"/>
      <c r="O1578" s="15"/>
      <c r="P1578" s="15"/>
      <c r="Q1578" s="15"/>
      <c r="R1578" s="15"/>
    </row>
    <row r="1579" spans="12:18" x14ac:dyDescent="0.2">
      <c r="L1579" s="15"/>
      <c r="M1579" s="15"/>
      <c r="N1579" s="15"/>
      <c r="O1579" s="15"/>
      <c r="P1579" s="15"/>
      <c r="Q1579" s="15"/>
      <c r="R1579" s="15"/>
    </row>
    <row r="1580" spans="12:18" x14ac:dyDescent="0.2">
      <c r="L1580" s="15"/>
      <c r="M1580" s="15"/>
      <c r="N1580" s="15"/>
      <c r="O1580" s="15"/>
      <c r="P1580" s="15"/>
      <c r="Q1580" s="15"/>
      <c r="R1580" s="15"/>
    </row>
    <row r="1581" spans="12:18" x14ac:dyDescent="0.2">
      <c r="L1581" s="15"/>
      <c r="M1581" s="15"/>
      <c r="N1581" s="15"/>
      <c r="O1581" s="15"/>
      <c r="P1581" s="15"/>
      <c r="Q1581" s="15"/>
      <c r="R1581" s="15"/>
    </row>
    <row r="1582" spans="12:18" x14ac:dyDescent="0.2">
      <c r="L1582" s="15"/>
      <c r="M1582" s="15"/>
      <c r="N1582" s="15"/>
      <c r="O1582" s="15"/>
      <c r="P1582" s="15"/>
      <c r="Q1582" s="15"/>
      <c r="R1582" s="15"/>
    </row>
    <row r="1583" spans="12:18" x14ac:dyDescent="0.2">
      <c r="L1583" s="15"/>
      <c r="M1583" s="15"/>
      <c r="N1583" s="15"/>
      <c r="O1583" s="15"/>
      <c r="P1583" s="15"/>
      <c r="Q1583" s="15"/>
      <c r="R1583" s="15"/>
    </row>
    <row r="1584" spans="12:18" x14ac:dyDescent="0.2">
      <c r="L1584" s="15"/>
      <c r="M1584" s="15"/>
      <c r="N1584" s="15"/>
      <c r="O1584" s="15"/>
      <c r="P1584" s="15"/>
      <c r="Q1584" s="15"/>
      <c r="R1584" s="15"/>
    </row>
    <row r="1585" spans="12:18" x14ac:dyDescent="0.2">
      <c r="L1585" s="15"/>
      <c r="M1585" s="15"/>
      <c r="N1585" s="15"/>
      <c r="O1585" s="15"/>
      <c r="P1585" s="15"/>
      <c r="Q1585" s="15"/>
      <c r="R1585" s="15"/>
    </row>
    <row r="1586" spans="12:18" x14ac:dyDescent="0.2">
      <c r="L1586" s="15"/>
      <c r="M1586" s="15"/>
      <c r="N1586" s="15"/>
      <c r="O1586" s="15"/>
      <c r="P1586" s="15"/>
      <c r="Q1586" s="15"/>
      <c r="R1586" s="15"/>
    </row>
    <row r="1587" spans="12:18" x14ac:dyDescent="0.2">
      <c r="L1587" s="15"/>
      <c r="M1587" s="15"/>
      <c r="N1587" s="15"/>
      <c r="O1587" s="15"/>
      <c r="P1587" s="15"/>
      <c r="Q1587" s="15"/>
      <c r="R1587" s="15"/>
    </row>
    <row r="1588" spans="12:18" x14ac:dyDescent="0.2">
      <c r="L1588" s="15"/>
      <c r="M1588" s="15"/>
      <c r="N1588" s="15"/>
      <c r="O1588" s="15"/>
      <c r="P1588" s="15"/>
      <c r="Q1588" s="15"/>
      <c r="R1588" s="15"/>
    </row>
    <row r="1589" spans="12:18" x14ac:dyDescent="0.2">
      <c r="L1589" s="15"/>
      <c r="M1589" s="15"/>
      <c r="N1589" s="15"/>
      <c r="O1589" s="15"/>
      <c r="P1589" s="15"/>
      <c r="Q1589" s="15"/>
      <c r="R1589" s="15"/>
    </row>
    <row r="1590" spans="12:18" x14ac:dyDescent="0.2">
      <c r="L1590" s="15"/>
      <c r="M1590" s="15"/>
      <c r="N1590" s="15"/>
      <c r="O1590" s="15"/>
      <c r="P1590" s="15"/>
      <c r="Q1590" s="15"/>
      <c r="R1590" s="15"/>
    </row>
    <row r="1591" spans="12:18" x14ac:dyDescent="0.2">
      <c r="L1591" s="15"/>
      <c r="M1591" s="15"/>
      <c r="N1591" s="15"/>
      <c r="O1591" s="15"/>
      <c r="P1591" s="15"/>
      <c r="Q1591" s="15"/>
      <c r="R1591" s="15"/>
    </row>
    <row r="1592" spans="12:18" x14ac:dyDescent="0.2">
      <c r="L1592" s="15"/>
      <c r="M1592" s="15"/>
      <c r="N1592" s="15"/>
      <c r="O1592" s="15"/>
      <c r="P1592" s="15"/>
      <c r="Q1592" s="15"/>
      <c r="R1592" s="15"/>
    </row>
    <row r="1593" spans="12:18" x14ac:dyDescent="0.2">
      <c r="L1593" s="15"/>
      <c r="M1593" s="15"/>
      <c r="N1593" s="15"/>
      <c r="O1593" s="15"/>
      <c r="P1593" s="15"/>
      <c r="Q1593" s="15"/>
      <c r="R1593" s="15"/>
    </row>
    <row r="1594" spans="12:18" x14ac:dyDescent="0.2">
      <c r="L1594" s="15"/>
      <c r="M1594" s="15"/>
      <c r="N1594" s="15"/>
      <c r="O1594" s="15"/>
      <c r="P1594" s="15"/>
      <c r="Q1594" s="15"/>
      <c r="R1594" s="15"/>
    </row>
    <row r="1595" spans="12:18" x14ac:dyDescent="0.2">
      <c r="L1595" s="15"/>
      <c r="M1595" s="15"/>
      <c r="N1595" s="15"/>
      <c r="O1595" s="15"/>
      <c r="P1595" s="15"/>
      <c r="Q1595" s="15"/>
      <c r="R1595" s="15"/>
    </row>
    <row r="1596" spans="12:18" x14ac:dyDescent="0.2">
      <c r="L1596" s="15"/>
      <c r="M1596" s="15"/>
      <c r="N1596" s="15"/>
      <c r="O1596" s="15"/>
      <c r="P1596" s="15"/>
      <c r="Q1596" s="15"/>
      <c r="R1596" s="15"/>
    </row>
    <row r="1597" spans="12:18" x14ac:dyDescent="0.2">
      <c r="L1597" s="15"/>
      <c r="M1597" s="15"/>
      <c r="N1597" s="15"/>
      <c r="O1597" s="15"/>
      <c r="P1597" s="15"/>
      <c r="Q1597" s="15"/>
      <c r="R1597" s="15"/>
    </row>
    <row r="1598" spans="12:18" x14ac:dyDescent="0.2">
      <c r="L1598" s="15"/>
      <c r="M1598" s="15"/>
      <c r="N1598" s="15"/>
      <c r="O1598" s="15"/>
      <c r="P1598" s="15"/>
      <c r="Q1598" s="15"/>
      <c r="R1598" s="15"/>
    </row>
    <row r="1599" spans="12:18" x14ac:dyDescent="0.2">
      <c r="L1599" s="15"/>
      <c r="M1599" s="15"/>
      <c r="N1599" s="15"/>
      <c r="O1599" s="15"/>
      <c r="P1599" s="15"/>
      <c r="Q1599" s="15"/>
      <c r="R1599" s="15"/>
    </row>
    <row r="1600" spans="12:18" x14ac:dyDescent="0.2">
      <c r="L1600" s="15"/>
      <c r="M1600" s="15"/>
      <c r="N1600" s="15"/>
      <c r="O1600" s="15"/>
      <c r="P1600" s="15"/>
      <c r="Q1600" s="15"/>
      <c r="R1600" s="15"/>
    </row>
    <row r="1601" spans="12:18" x14ac:dyDescent="0.2">
      <c r="L1601" s="15"/>
      <c r="M1601" s="15"/>
      <c r="N1601" s="15"/>
      <c r="O1601" s="15"/>
      <c r="P1601" s="15"/>
      <c r="Q1601" s="15"/>
      <c r="R1601" s="15"/>
    </row>
    <row r="1602" spans="12:18" x14ac:dyDescent="0.2">
      <c r="L1602" s="15"/>
      <c r="M1602" s="15"/>
      <c r="N1602" s="15"/>
      <c r="O1602" s="15"/>
      <c r="P1602" s="15"/>
      <c r="Q1602" s="15"/>
      <c r="R1602" s="15"/>
    </row>
    <row r="1603" spans="12:18" x14ac:dyDescent="0.2">
      <c r="L1603" s="15"/>
      <c r="M1603" s="15"/>
      <c r="N1603" s="15"/>
      <c r="O1603" s="15"/>
      <c r="P1603" s="15"/>
      <c r="Q1603" s="15"/>
      <c r="R1603" s="15"/>
    </row>
    <row r="1604" spans="12:18" x14ac:dyDescent="0.2">
      <c r="L1604" s="15"/>
      <c r="M1604" s="15"/>
      <c r="N1604" s="15"/>
      <c r="O1604" s="15"/>
      <c r="P1604" s="15"/>
      <c r="Q1604" s="15"/>
      <c r="R1604" s="15"/>
    </row>
    <row r="1605" spans="12:18" x14ac:dyDescent="0.2">
      <c r="L1605" s="15"/>
      <c r="M1605" s="15"/>
      <c r="N1605" s="15"/>
      <c r="O1605" s="15"/>
      <c r="P1605" s="15"/>
      <c r="Q1605" s="15"/>
      <c r="R1605" s="15"/>
    </row>
    <row r="1606" spans="12:18" x14ac:dyDescent="0.2">
      <c r="L1606" s="15"/>
      <c r="M1606" s="15"/>
      <c r="N1606" s="15"/>
      <c r="O1606" s="15"/>
      <c r="P1606" s="15"/>
      <c r="Q1606" s="15"/>
      <c r="R1606" s="15"/>
    </row>
    <row r="1607" spans="12:18" x14ac:dyDescent="0.2">
      <c r="L1607" s="15"/>
      <c r="M1607" s="15"/>
      <c r="N1607" s="15"/>
      <c r="O1607" s="15"/>
      <c r="P1607" s="15"/>
      <c r="Q1607" s="15"/>
      <c r="R1607" s="15"/>
    </row>
    <row r="1608" spans="12:18" x14ac:dyDescent="0.2">
      <c r="L1608" s="15"/>
      <c r="M1608" s="15"/>
      <c r="N1608" s="15"/>
      <c r="O1608" s="15"/>
      <c r="P1608" s="15"/>
      <c r="Q1608" s="15"/>
      <c r="R1608" s="15"/>
    </row>
    <row r="1609" spans="12:18" x14ac:dyDescent="0.2">
      <c r="L1609" s="15"/>
      <c r="M1609" s="15"/>
      <c r="N1609" s="15"/>
      <c r="O1609" s="15"/>
      <c r="P1609" s="15"/>
      <c r="Q1609" s="15"/>
      <c r="R1609" s="15"/>
    </row>
    <row r="1610" spans="12:18" x14ac:dyDescent="0.2">
      <c r="L1610" s="15"/>
      <c r="M1610" s="15"/>
      <c r="N1610" s="15"/>
      <c r="O1610" s="15"/>
      <c r="P1610" s="15"/>
      <c r="Q1610" s="15"/>
      <c r="R1610" s="15"/>
    </row>
    <row r="1611" spans="12:18" x14ac:dyDescent="0.2">
      <c r="L1611" s="15"/>
      <c r="M1611" s="15"/>
      <c r="N1611" s="15"/>
      <c r="O1611" s="15"/>
      <c r="P1611" s="15"/>
      <c r="Q1611" s="15"/>
      <c r="R1611" s="15"/>
    </row>
    <row r="1612" spans="12:18" x14ac:dyDescent="0.2">
      <c r="L1612" s="15"/>
      <c r="M1612" s="15"/>
      <c r="N1612" s="15"/>
      <c r="O1612" s="15"/>
      <c r="P1612" s="15"/>
      <c r="Q1612" s="15"/>
      <c r="R1612" s="15"/>
    </row>
    <row r="1613" spans="12:18" x14ac:dyDescent="0.2">
      <c r="L1613" s="15"/>
      <c r="M1613" s="15"/>
      <c r="N1613" s="15"/>
      <c r="O1613" s="15"/>
      <c r="P1613" s="15"/>
      <c r="Q1613" s="15"/>
      <c r="R1613" s="15"/>
    </row>
    <row r="1614" spans="12:18" x14ac:dyDescent="0.2">
      <c r="L1614" s="15"/>
      <c r="M1614" s="15"/>
      <c r="N1614" s="15"/>
      <c r="O1614" s="15"/>
      <c r="P1614" s="15"/>
      <c r="Q1614" s="15"/>
      <c r="R1614" s="15"/>
    </row>
    <row r="1615" spans="12:18" x14ac:dyDescent="0.2">
      <c r="L1615" s="15"/>
      <c r="M1615" s="15"/>
      <c r="N1615" s="15"/>
      <c r="O1615" s="15"/>
      <c r="P1615" s="15"/>
      <c r="Q1615" s="15"/>
      <c r="R1615" s="15"/>
    </row>
    <row r="1616" spans="12:18" x14ac:dyDescent="0.2">
      <c r="L1616" s="15"/>
      <c r="M1616" s="15"/>
      <c r="N1616" s="15"/>
      <c r="O1616" s="15"/>
      <c r="P1616" s="15"/>
      <c r="Q1616" s="15"/>
      <c r="R1616" s="15"/>
    </row>
    <row r="1617" spans="12:18" x14ac:dyDescent="0.2">
      <c r="L1617" s="15"/>
      <c r="M1617" s="15"/>
      <c r="N1617" s="15"/>
      <c r="O1617" s="15"/>
      <c r="P1617" s="15"/>
      <c r="Q1617" s="15"/>
      <c r="R1617" s="15"/>
    </row>
    <row r="1618" spans="12:18" x14ac:dyDescent="0.2">
      <c r="L1618" s="15"/>
      <c r="M1618" s="15"/>
      <c r="N1618" s="15"/>
      <c r="O1618" s="15"/>
      <c r="P1618" s="15"/>
      <c r="Q1618" s="15"/>
      <c r="R1618" s="15"/>
    </row>
    <row r="1619" spans="12:18" x14ac:dyDescent="0.2">
      <c r="L1619" s="15"/>
      <c r="M1619" s="15"/>
      <c r="N1619" s="15"/>
      <c r="O1619" s="15"/>
      <c r="P1619" s="15"/>
      <c r="Q1619" s="15"/>
      <c r="R1619" s="15"/>
    </row>
    <row r="1620" spans="12:18" x14ac:dyDescent="0.2">
      <c r="L1620" s="15"/>
      <c r="M1620" s="15"/>
      <c r="N1620" s="15"/>
      <c r="O1620" s="15"/>
      <c r="P1620" s="15"/>
      <c r="Q1620" s="15"/>
      <c r="R1620" s="15"/>
    </row>
    <row r="1621" spans="12:18" x14ac:dyDescent="0.2">
      <c r="L1621" s="15"/>
      <c r="M1621" s="15"/>
      <c r="N1621" s="15"/>
      <c r="O1621" s="15"/>
      <c r="P1621" s="15"/>
      <c r="Q1621" s="15"/>
      <c r="R1621" s="15"/>
    </row>
    <row r="1622" spans="12:18" x14ac:dyDescent="0.2">
      <c r="L1622" s="15"/>
      <c r="M1622" s="15"/>
      <c r="N1622" s="15"/>
      <c r="O1622" s="15"/>
      <c r="P1622" s="15"/>
      <c r="Q1622" s="15"/>
      <c r="R1622" s="15"/>
    </row>
    <row r="1623" spans="12:18" x14ac:dyDescent="0.2">
      <c r="L1623" s="15"/>
      <c r="M1623" s="15"/>
      <c r="N1623" s="15"/>
      <c r="O1623" s="15"/>
      <c r="P1623" s="15"/>
      <c r="Q1623" s="15"/>
      <c r="R1623" s="15"/>
    </row>
    <row r="1624" spans="12:18" x14ac:dyDescent="0.2">
      <c r="L1624" s="15"/>
      <c r="M1624" s="15"/>
      <c r="N1624" s="15"/>
      <c r="O1624" s="15"/>
      <c r="P1624" s="15"/>
      <c r="Q1624" s="15"/>
      <c r="R1624" s="15"/>
    </row>
    <row r="1625" spans="12:18" x14ac:dyDescent="0.2">
      <c r="L1625" s="15"/>
      <c r="M1625" s="15"/>
      <c r="N1625" s="15"/>
      <c r="O1625" s="15"/>
      <c r="P1625" s="15"/>
      <c r="Q1625" s="15"/>
      <c r="R1625" s="15"/>
    </row>
    <row r="1626" spans="12:18" x14ac:dyDescent="0.2">
      <c r="L1626" s="15"/>
      <c r="M1626" s="15"/>
      <c r="N1626" s="15"/>
      <c r="O1626" s="15"/>
      <c r="P1626" s="15"/>
      <c r="Q1626" s="15"/>
      <c r="R1626" s="15"/>
    </row>
    <row r="1627" spans="12:18" x14ac:dyDescent="0.2">
      <c r="L1627" s="15"/>
      <c r="M1627" s="15"/>
      <c r="N1627" s="15"/>
      <c r="O1627" s="15"/>
      <c r="P1627" s="15"/>
      <c r="Q1627" s="15"/>
      <c r="R1627" s="15"/>
    </row>
    <row r="1628" spans="12:18" x14ac:dyDescent="0.2">
      <c r="L1628" s="15"/>
      <c r="M1628" s="15"/>
      <c r="N1628" s="15"/>
      <c r="O1628" s="15"/>
      <c r="P1628" s="15"/>
      <c r="Q1628" s="15"/>
      <c r="R1628" s="15"/>
    </row>
    <row r="1629" spans="12:18" x14ac:dyDescent="0.2">
      <c r="L1629" s="15"/>
      <c r="M1629" s="15"/>
      <c r="N1629" s="15"/>
      <c r="O1629" s="15"/>
      <c r="P1629" s="15"/>
      <c r="Q1629" s="15"/>
      <c r="R1629" s="15"/>
    </row>
    <row r="1630" spans="12:18" x14ac:dyDescent="0.2">
      <c r="L1630" s="15"/>
      <c r="M1630" s="15"/>
      <c r="N1630" s="15"/>
      <c r="O1630" s="15"/>
      <c r="P1630" s="15"/>
      <c r="Q1630" s="15"/>
      <c r="R1630" s="15"/>
    </row>
    <row r="1631" spans="12:18" x14ac:dyDescent="0.2">
      <c r="L1631" s="15"/>
      <c r="M1631" s="15"/>
      <c r="N1631" s="15"/>
      <c r="O1631" s="15"/>
      <c r="P1631" s="15"/>
      <c r="Q1631" s="15"/>
      <c r="R1631" s="15"/>
    </row>
    <row r="1632" spans="12:18" x14ac:dyDescent="0.2">
      <c r="L1632" s="15"/>
      <c r="M1632" s="15"/>
      <c r="N1632" s="15"/>
      <c r="O1632" s="15"/>
      <c r="P1632" s="15"/>
      <c r="Q1632" s="15"/>
      <c r="R1632" s="15"/>
    </row>
    <row r="1633" spans="12:18" x14ac:dyDescent="0.2">
      <c r="L1633" s="15"/>
      <c r="M1633" s="15"/>
      <c r="N1633" s="15"/>
      <c r="O1633" s="15"/>
      <c r="P1633" s="15"/>
      <c r="Q1633" s="15"/>
      <c r="R1633" s="15"/>
    </row>
    <row r="1634" spans="12:18" x14ac:dyDescent="0.2">
      <c r="L1634" s="15"/>
      <c r="M1634" s="15"/>
      <c r="N1634" s="15"/>
      <c r="O1634" s="15"/>
      <c r="P1634" s="15"/>
      <c r="Q1634" s="15"/>
      <c r="R1634" s="15"/>
    </row>
    <row r="1635" spans="12:18" x14ac:dyDescent="0.2">
      <c r="L1635" s="15"/>
      <c r="M1635" s="15"/>
      <c r="N1635" s="15"/>
      <c r="O1635" s="15"/>
      <c r="P1635" s="15"/>
      <c r="Q1635" s="15"/>
      <c r="R1635" s="15"/>
    </row>
    <row r="1636" spans="12:18" x14ac:dyDescent="0.2">
      <c r="L1636" s="15"/>
      <c r="M1636" s="15"/>
      <c r="N1636" s="15"/>
      <c r="O1636" s="15"/>
      <c r="P1636" s="15"/>
      <c r="Q1636" s="15"/>
      <c r="R1636" s="15"/>
    </row>
    <row r="1637" spans="12:18" x14ac:dyDescent="0.2">
      <c r="L1637" s="15"/>
      <c r="M1637" s="15"/>
      <c r="N1637" s="15"/>
      <c r="O1637" s="15"/>
      <c r="P1637" s="15"/>
      <c r="Q1637" s="15"/>
      <c r="R1637" s="15"/>
    </row>
    <row r="1638" spans="12:18" x14ac:dyDescent="0.2">
      <c r="L1638" s="15"/>
      <c r="M1638" s="15"/>
      <c r="N1638" s="15"/>
      <c r="O1638" s="15"/>
      <c r="P1638" s="15"/>
      <c r="Q1638" s="15"/>
      <c r="R1638" s="15"/>
    </row>
    <row r="1639" spans="12:18" x14ac:dyDescent="0.2">
      <c r="L1639" s="15"/>
      <c r="M1639" s="15"/>
      <c r="N1639" s="15"/>
      <c r="O1639" s="15"/>
      <c r="P1639" s="15"/>
      <c r="Q1639" s="15"/>
      <c r="R1639" s="15"/>
    </row>
    <row r="1640" spans="12:18" x14ac:dyDescent="0.2">
      <c r="L1640" s="15"/>
      <c r="M1640" s="15"/>
      <c r="N1640" s="15"/>
      <c r="O1640" s="15"/>
      <c r="P1640" s="15"/>
      <c r="Q1640" s="15"/>
      <c r="R1640" s="15"/>
    </row>
    <row r="1641" spans="12:18" x14ac:dyDescent="0.2">
      <c r="L1641" s="15"/>
      <c r="M1641" s="15"/>
      <c r="N1641" s="15"/>
      <c r="O1641" s="15"/>
      <c r="P1641" s="15"/>
      <c r="Q1641" s="15"/>
      <c r="R1641" s="15"/>
    </row>
    <row r="1642" spans="12:18" x14ac:dyDescent="0.2">
      <c r="L1642" s="15"/>
      <c r="M1642" s="15"/>
      <c r="N1642" s="15"/>
      <c r="O1642" s="15"/>
      <c r="P1642" s="15"/>
      <c r="Q1642" s="15"/>
      <c r="R1642" s="15"/>
    </row>
    <row r="1643" spans="12:18" x14ac:dyDescent="0.2">
      <c r="L1643" s="15"/>
      <c r="M1643" s="15"/>
      <c r="N1643" s="15"/>
      <c r="O1643" s="15"/>
      <c r="P1643" s="15"/>
      <c r="Q1643" s="15"/>
      <c r="R1643" s="15"/>
    </row>
    <row r="1644" spans="12:18" x14ac:dyDescent="0.2">
      <c r="L1644" s="15"/>
      <c r="M1644" s="15"/>
      <c r="N1644" s="15"/>
      <c r="O1644" s="15"/>
      <c r="P1644" s="15"/>
      <c r="Q1644" s="15"/>
      <c r="R1644" s="15"/>
    </row>
    <row r="1645" spans="12:18" x14ac:dyDescent="0.2">
      <c r="L1645" s="15"/>
      <c r="M1645" s="15"/>
      <c r="N1645" s="15"/>
      <c r="O1645" s="15"/>
      <c r="P1645" s="15"/>
      <c r="Q1645" s="15"/>
      <c r="R1645" s="15"/>
    </row>
    <row r="1646" spans="12:18" x14ac:dyDescent="0.2">
      <c r="L1646" s="15"/>
      <c r="M1646" s="15"/>
      <c r="N1646" s="15"/>
      <c r="O1646" s="15"/>
      <c r="P1646" s="15"/>
      <c r="Q1646" s="15"/>
      <c r="R1646" s="15"/>
    </row>
    <row r="1647" spans="12:18" x14ac:dyDescent="0.2">
      <c r="L1647" s="15"/>
      <c r="M1647" s="15"/>
      <c r="N1647" s="15"/>
      <c r="O1647" s="15"/>
      <c r="P1647" s="15"/>
      <c r="Q1647" s="15"/>
      <c r="R1647" s="15"/>
    </row>
    <row r="1648" spans="12:18" x14ac:dyDescent="0.2">
      <c r="L1648" s="15"/>
      <c r="M1648" s="15"/>
      <c r="N1648" s="15"/>
      <c r="O1648" s="15"/>
      <c r="P1648" s="15"/>
      <c r="Q1648" s="15"/>
      <c r="R1648" s="15"/>
    </row>
    <row r="1649" spans="12:18" x14ac:dyDescent="0.2">
      <c r="L1649" s="15"/>
      <c r="M1649" s="15"/>
      <c r="N1649" s="15"/>
      <c r="O1649" s="15"/>
      <c r="P1649" s="15"/>
      <c r="Q1649" s="15"/>
      <c r="R1649" s="15"/>
    </row>
    <row r="1650" spans="12:18" x14ac:dyDescent="0.2">
      <c r="L1650" s="15"/>
      <c r="M1650" s="15"/>
      <c r="N1650" s="15"/>
      <c r="O1650" s="15"/>
      <c r="P1650" s="15"/>
      <c r="Q1650" s="15"/>
      <c r="R1650" s="15"/>
    </row>
    <row r="1651" spans="12:18" x14ac:dyDescent="0.2">
      <c r="L1651" s="15"/>
      <c r="M1651" s="15"/>
      <c r="N1651" s="15"/>
      <c r="O1651" s="15"/>
      <c r="P1651" s="15"/>
      <c r="Q1651" s="15"/>
      <c r="R1651" s="15"/>
    </row>
    <row r="1652" spans="12:18" x14ac:dyDescent="0.2">
      <c r="L1652" s="15"/>
      <c r="M1652" s="15"/>
      <c r="N1652" s="15"/>
      <c r="O1652" s="15"/>
      <c r="P1652" s="15"/>
      <c r="Q1652" s="15"/>
      <c r="R1652" s="15"/>
    </row>
    <row r="1653" spans="12:18" x14ac:dyDescent="0.2">
      <c r="L1653" s="15"/>
      <c r="M1653" s="15"/>
      <c r="N1653" s="15"/>
      <c r="O1653" s="15"/>
      <c r="P1653" s="15"/>
      <c r="Q1653" s="15"/>
      <c r="R1653" s="15"/>
    </row>
    <row r="1654" spans="12:18" x14ac:dyDescent="0.2">
      <c r="L1654" s="15"/>
      <c r="M1654" s="15"/>
      <c r="N1654" s="15"/>
      <c r="O1654" s="15"/>
      <c r="P1654" s="15"/>
      <c r="Q1654" s="15"/>
      <c r="R1654" s="15"/>
    </row>
    <row r="1655" spans="12:18" x14ac:dyDescent="0.2">
      <c r="L1655" s="15"/>
      <c r="M1655" s="15"/>
      <c r="N1655" s="15"/>
      <c r="O1655" s="15"/>
      <c r="P1655" s="15"/>
      <c r="Q1655" s="15"/>
      <c r="R1655" s="15"/>
    </row>
    <row r="1656" spans="12:18" x14ac:dyDescent="0.2">
      <c r="L1656" s="15"/>
      <c r="M1656" s="15"/>
      <c r="N1656" s="15"/>
      <c r="O1656" s="15"/>
      <c r="P1656" s="15"/>
      <c r="Q1656" s="15"/>
      <c r="R1656" s="15"/>
    </row>
    <row r="1657" spans="12:18" x14ac:dyDescent="0.2">
      <c r="L1657" s="15"/>
      <c r="M1657" s="15"/>
      <c r="N1657" s="15"/>
      <c r="O1657" s="15"/>
      <c r="P1657" s="15"/>
      <c r="Q1657" s="15"/>
      <c r="R1657" s="15"/>
    </row>
    <row r="1658" spans="12:18" x14ac:dyDescent="0.2">
      <c r="L1658" s="15"/>
      <c r="M1658" s="15"/>
      <c r="N1658" s="15"/>
      <c r="O1658" s="15"/>
      <c r="P1658" s="15"/>
      <c r="Q1658" s="15"/>
      <c r="R1658" s="15"/>
    </row>
    <row r="1659" spans="12:18" x14ac:dyDescent="0.2">
      <c r="L1659" s="15"/>
      <c r="M1659" s="15"/>
      <c r="N1659" s="15"/>
      <c r="O1659" s="15"/>
      <c r="P1659" s="15"/>
      <c r="Q1659" s="15"/>
      <c r="R1659" s="15"/>
    </row>
    <row r="1660" spans="12:18" x14ac:dyDescent="0.2">
      <c r="L1660" s="15"/>
      <c r="M1660" s="15"/>
      <c r="N1660" s="15"/>
      <c r="O1660" s="15"/>
      <c r="P1660" s="15"/>
      <c r="Q1660" s="15"/>
      <c r="R1660" s="15"/>
    </row>
    <row r="1661" spans="12:18" x14ac:dyDescent="0.2">
      <c r="L1661" s="15"/>
      <c r="M1661" s="15"/>
      <c r="N1661" s="15"/>
      <c r="O1661" s="15"/>
      <c r="P1661" s="15"/>
      <c r="Q1661" s="15"/>
      <c r="R1661" s="15"/>
    </row>
    <row r="1662" spans="12:18" x14ac:dyDescent="0.2">
      <c r="L1662" s="15"/>
      <c r="M1662" s="15"/>
      <c r="N1662" s="15"/>
      <c r="O1662" s="15"/>
      <c r="P1662" s="15"/>
      <c r="Q1662" s="15"/>
      <c r="R1662" s="15"/>
    </row>
    <row r="1663" spans="12:18" x14ac:dyDescent="0.2">
      <c r="L1663" s="15"/>
      <c r="M1663" s="15"/>
      <c r="N1663" s="15"/>
      <c r="O1663" s="15"/>
      <c r="P1663" s="15"/>
      <c r="Q1663" s="15"/>
      <c r="R1663" s="15"/>
    </row>
    <row r="1664" spans="12:18" x14ac:dyDescent="0.2">
      <c r="L1664" s="15"/>
      <c r="M1664" s="15"/>
      <c r="N1664" s="15"/>
      <c r="O1664" s="15"/>
      <c r="P1664" s="15"/>
      <c r="Q1664" s="15"/>
      <c r="R1664" s="15"/>
    </row>
    <row r="1665" spans="12:18" x14ac:dyDescent="0.2">
      <c r="L1665" s="15"/>
      <c r="M1665" s="15"/>
      <c r="N1665" s="15"/>
      <c r="O1665" s="15"/>
      <c r="P1665" s="15"/>
      <c r="Q1665" s="15"/>
      <c r="R1665" s="15"/>
    </row>
    <row r="1666" spans="12:18" x14ac:dyDescent="0.2">
      <c r="L1666" s="15"/>
      <c r="M1666" s="15"/>
      <c r="N1666" s="15"/>
      <c r="O1666" s="15"/>
      <c r="P1666" s="15"/>
      <c r="Q1666" s="15"/>
      <c r="R1666" s="15"/>
    </row>
    <row r="1667" spans="12:18" x14ac:dyDescent="0.2">
      <c r="L1667" s="15"/>
      <c r="M1667" s="15"/>
      <c r="N1667" s="15"/>
      <c r="O1667" s="15"/>
      <c r="P1667" s="15"/>
      <c r="Q1667" s="15"/>
      <c r="R1667" s="15"/>
    </row>
    <row r="1668" spans="12:18" x14ac:dyDescent="0.2">
      <c r="L1668" s="15"/>
      <c r="M1668" s="15"/>
      <c r="N1668" s="15"/>
      <c r="O1668" s="15"/>
      <c r="P1668" s="15"/>
      <c r="Q1668" s="15"/>
      <c r="R1668" s="15"/>
    </row>
    <row r="1669" spans="12:18" x14ac:dyDescent="0.2">
      <c r="L1669" s="15"/>
      <c r="M1669" s="15"/>
      <c r="N1669" s="15"/>
      <c r="O1669" s="15"/>
      <c r="P1669" s="15"/>
      <c r="Q1669" s="15"/>
      <c r="R1669" s="15"/>
    </row>
    <row r="1670" spans="12:18" x14ac:dyDescent="0.2">
      <c r="L1670" s="15"/>
      <c r="M1670" s="15"/>
      <c r="N1670" s="15"/>
      <c r="O1670" s="15"/>
      <c r="P1670" s="15"/>
      <c r="Q1670" s="15"/>
      <c r="R1670" s="15"/>
    </row>
    <row r="1671" spans="12:18" x14ac:dyDescent="0.2">
      <c r="L1671" s="15"/>
      <c r="M1671" s="15"/>
      <c r="N1671" s="15"/>
      <c r="O1671" s="15"/>
      <c r="P1671" s="15"/>
      <c r="Q1671" s="15"/>
      <c r="R1671" s="15"/>
    </row>
    <row r="1672" spans="12:18" x14ac:dyDescent="0.2">
      <c r="L1672" s="15"/>
      <c r="M1672" s="15"/>
      <c r="N1672" s="15"/>
      <c r="O1672" s="15"/>
      <c r="P1672" s="15"/>
      <c r="Q1672" s="15"/>
      <c r="R1672" s="15"/>
    </row>
    <row r="1673" spans="12:18" x14ac:dyDescent="0.2">
      <c r="L1673" s="15"/>
      <c r="M1673" s="15"/>
      <c r="N1673" s="15"/>
      <c r="O1673" s="15"/>
      <c r="P1673" s="15"/>
      <c r="Q1673" s="15"/>
      <c r="R1673" s="15"/>
    </row>
    <row r="1674" spans="12:18" x14ac:dyDescent="0.2">
      <c r="L1674" s="15"/>
      <c r="M1674" s="15"/>
      <c r="N1674" s="15"/>
      <c r="O1674" s="15"/>
      <c r="P1674" s="15"/>
      <c r="Q1674" s="15"/>
      <c r="R1674" s="15"/>
    </row>
    <row r="1675" spans="12:18" x14ac:dyDescent="0.2">
      <c r="L1675" s="15"/>
      <c r="M1675" s="15"/>
      <c r="N1675" s="15"/>
      <c r="O1675" s="15"/>
      <c r="P1675" s="15"/>
      <c r="Q1675" s="15"/>
      <c r="R1675" s="15"/>
    </row>
    <row r="1676" spans="12:18" x14ac:dyDescent="0.2">
      <c r="L1676" s="15"/>
      <c r="M1676" s="15"/>
      <c r="N1676" s="15"/>
      <c r="O1676" s="15"/>
      <c r="P1676" s="15"/>
      <c r="Q1676" s="15"/>
      <c r="R1676" s="15"/>
    </row>
    <row r="1677" spans="12:18" x14ac:dyDescent="0.2">
      <c r="L1677" s="15"/>
      <c r="M1677" s="15"/>
      <c r="N1677" s="15"/>
      <c r="O1677" s="15"/>
      <c r="P1677" s="15"/>
      <c r="Q1677" s="15"/>
      <c r="R1677" s="15"/>
    </row>
    <row r="1678" spans="12:18" x14ac:dyDescent="0.2">
      <c r="L1678" s="15"/>
      <c r="M1678" s="15"/>
      <c r="N1678" s="15"/>
      <c r="O1678" s="15"/>
      <c r="P1678" s="15"/>
      <c r="Q1678" s="15"/>
      <c r="R1678" s="15"/>
    </row>
    <row r="1679" spans="12:18" x14ac:dyDescent="0.2">
      <c r="L1679" s="15"/>
      <c r="M1679" s="15"/>
      <c r="N1679" s="15"/>
      <c r="O1679" s="15"/>
      <c r="P1679" s="15"/>
      <c r="Q1679" s="15"/>
      <c r="R1679" s="15"/>
    </row>
    <row r="1680" spans="12:18" x14ac:dyDescent="0.2">
      <c r="L1680" s="15"/>
      <c r="M1680" s="15"/>
      <c r="N1680" s="15"/>
      <c r="O1680" s="15"/>
      <c r="P1680" s="15"/>
      <c r="Q1680" s="15"/>
      <c r="R1680" s="15"/>
    </row>
    <row r="1681" spans="12:18" x14ac:dyDescent="0.2">
      <c r="L1681" s="15"/>
      <c r="M1681" s="15"/>
      <c r="N1681" s="15"/>
      <c r="O1681" s="15"/>
      <c r="P1681" s="15"/>
      <c r="Q1681" s="15"/>
      <c r="R1681" s="15"/>
    </row>
    <row r="1682" spans="12:18" x14ac:dyDescent="0.2">
      <c r="L1682" s="15"/>
      <c r="M1682" s="15"/>
      <c r="N1682" s="15"/>
      <c r="O1682" s="15"/>
      <c r="P1682" s="15"/>
      <c r="Q1682" s="15"/>
      <c r="R1682" s="15"/>
    </row>
    <row r="1683" spans="12:18" x14ac:dyDescent="0.2">
      <c r="L1683" s="15"/>
      <c r="M1683" s="15"/>
      <c r="N1683" s="15"/>
      <c r="O1683" s="15"/>
      <c r="P1683" s="15"/>
      <c r="Q1683" s="15"/>
      <c r="R1683" s="15"/>
    </row>
    <row r="1684" spans="12:18" x14ac:dyDescent="0.2">
      <c r="L1684" s="15"/>
      <c r="M1684" s="15"/>
      <c r="N1684" s="15"/>
      <c r="O1684" s="15"/>
      <c r="P1684" s="15"/>
      <c r="Q1684" s="15"/>
      <c r="R1684" s="15"/>
    </row>
    <row r="1685" spans="12:18" x14ac:dyDescent="0.2">
      <c r="L1685" s="15"/>
      <c r="M1685" s="15"/>
      <c r="N1685" s="15"/>
      <c r="O1685" s="15"/>
      <c r="P1685" s="15"/>
      <c r="Q1685" s="15"/>
      <c r="R1685" s="15"/>
    </row>
    <row r="1686" spans="12:18" x14ac:dyDescent="0.2">
      <c r="L1686" s="15"/>
      <c r="M1686" s="15"/>
      <c r="N1686" s="15"/>
      <c r="O1686" s="15"/>
      <c r="P1686" s="15"/>
      <c r="Q1686" s="15"/>
      <c r="R1686" s="15"/>
    </row>
    <row r="1687" spans="12:18" x14ac:dyDescent="0.2">
      <c r="L1687" s="15"/>
      <c r="M1687" s="15"/>
      <c r="N1687" s="15"/>
      <c r="O1687" s="15"/>
      <c r="P1687" s="15"/>
      <c r="Q1687" s="15"/>
      <c r="R1687" s="15"/>
    </row>
    <row r="1688" spans="12:18" x14ac:dyDescent="0.2">
      <c r="L1688" s="15"/>
      <c r="M1688" s="15"/>
      <c r="N1688" s="15"/>
      <c r="O1688" s="15"/>
      <c r="P1688" s="15"/>
      <c r="Q1688" s="15"/>
      <c r="R1688" s="15"/>
    </row>
    <row r="1689" spans="12:18" x14ac:dyDescent="0.2">
      <c r="L1689" s="15"/>
      <c r="M1689" s="15"/>
      <c r="N1689" s="15"/>
      <c r="O1689" s="15"/>
      <c r="P1689" s="15"/>
      <c r="Q1689" s="15"/>
      <c r="R1689" s="15"/>
    </row>
    <row r="1690" spans="12:18" x14ac:dyDescent="0.2">
      <c r="L1690" s="15"/>
      <c r="M1690" s="15"/>
      <c r="N1690" s="15"/>
      <c r="O1690" s="15"/>
      <c r="P1690" s="15"/>
      <c r="Q1690" s="15"/>
      <c r="R1690" s="15"/>
    </row>
    <row r="1691" spans="12:18" x14ac:dyDescent="0.2">
      <c r="L1691" s="15"/>
      <c r="M1691" s="15"/>
      <c r="N1691" s="15"/>
      <c r="O1691" s="15"/>
      <c r="P1691" s="15"/>
      <c r="Q1691" s="15"/>
      <c r="R1691" s="15"/>
    </row>
    <row r="1692" spans="12:18" x14ac:dyDescent="0.2">
      <c r="L1692" s="15"/>
      <c r="M1692" s="15"/>
      <c r="N1692" s="15"/>
      <c r="O1692" s="15"/>
      <c r="P1692" s="15"/>
      <c r="Q1692" s="15"/>
      <c r="R1692" s="15"/>
    </row>
    <row r="1693" spans="12:18" x14ac:dyDescent="0.2">
      <c r="L1693" s="15"/>
      <c r="M1693" s="15"/>
      <c r="N1693" s="15"/>
      <c r="O1693" s="15"/>
      <c r="P1693" s="15"/>
      <c r="Q1693" s="15"/>
      <c r="R1693" s="15"/>
    </row>
    <row r="1694" spans="12:18" x14ac:dyDescent="0.2">
      <c r="L1694" s="15"/>
      <c r="M1694" s="15"/>
      <c r="N1694" s="15"/>
      <c r="O1694" s="15"/>
      <c r="P1694" s="15"/>
      <c r="Q1694" s="15"/>
      <c r="R1694" s="15"/>
    </row>
    <row r="1695" spans="12:18" x14ac:dyDescent="0.2">
      <c r="L1695" s="15"/>
      <c r="M1695" s="15"/>
      <c r="N1695" s="15"/>
      <c r="O1695" s="15"/>
      <c r="P1695" s="15"/>
      <c r="Q1695" s="15"/>
      <c r="R1695" s="15"/>
    </row>
    <row r="1696" spans="12:18" x14ac:dyDescent="0.2">
      <c r="L1696" s="15"/>
      <c r="M1696" s="15"/>
      <c r="N1696" s="15"/>
      <c r="O1696" s="15"/>
      <c r="P1696" s="15"/>
      <c r="Q1696" s="15"/>
      <c r="R1696" s="15"/>
    </row>
    <row r="1697" spans="12:18" x14ac:dyDescent="0.2">
      <c r="L1697" s="15"/>
      <c r="M1697" s="15"/>
      <c r="N1697" s="15"/>
      <c r="O1697" s="15"/>
      <c r="P1697" s="15"/>
      <c r="Q1697" s="15"/>
      <c r="R1697" s="15"/>
    </row>
    <row r="1698" spans="12:18" x14ac:dyDescent="0.2">
      <c r="L1698" s="15"/>
      <c r="M1698" s="15"/>
      <c r="N1698" s="15"/>
      <c r="O1698" s="15"/>
      <c r="P1698" s="15"/>
      <c r="Q1698" s="15"/>
      <c r="R1698" s="15"/>
    </row>
    <row r="1699" spans="12:18" x14ac:dyDescent="0.2">
      <c r="L1699" s="15"/>
      <c r="M1699" s="15"/>
      <c r="N1699" s="15"/>
      <c r="O1699" s="15"/>
      <c r="P1699" s="15"/>
      <c r="Q1699" s="15"/>
      <c r="R1699" s="15"/>
    </row>
    <row r="1700" spans="12:18" x14ac:dyDescent="0.2">
      <c r="L1700" s="15"/>
      <c r="M1700" s="15"/>
      <c r="N1700" s="15"/>
      <c r="O1700" s="15"/>
      <c r="P1700" s="15"/>
      <c r="Q1700" s="15"/>
      <c r="R1700" s="15"/>
    </row>
    <row r="1701" spans="12:18" x14ac:dyDescent="0.2">
      <c r="L1701" s="15"/>
      <c r="M1701" s="15"/>
      <c r="N1701" s="15"/>
      <c r="O1701" s="15"/>
      <c r="P1701" s="15"/>
      <c r="Q1701" s="15"/>
      <c r="R1701" s="15"/>
    </row>
    <row r="1702" spans="12:18" x14ac:dyDescent="0.2">
      <c r="L1702" s="15"/>
      <c r="M1702" s="15"/>
      <c r="N1702" s="15"/>
      <c r="O1702" s="15"/>
      <c r="P1702" s="15"/>
      <c r="Q1702" s="15"/>
      <c r="R1702" s="15"/>
    </row>
    <row r="1703" spans="12:18" x14ac:dyDescent="0.2">
      <c r="L1703" s="15"/>
      <c r="M1703" s="15"/>
      <c r="N1703" s="15"/>
      <c r="O1703" s="15"/>
      <c r="P1703" s="15"/>
      <c r="Q1703" s="15"/>
      <c r="R1703" s="15"/>
    </row>
    <row r="1704" spans="12:18" x14ac:dyDescent="0.2">
      <c r="L1704" s="15"/>
      <c r="M1704" s="15"/>
      <c r="N1704" s="15"/>
      <c r="O1704" s="15"/>
      <c r="P1704" s="15"/>
      <c r="Q1704" s="15"/>
      <c r="R1704" s="15"/>
    </row>
    <row r="1705" spans="12:18" x14ac:dyDescent="0.2">
      <c r="L1705" s="15"/>
      <c r="M1705" s="15"/>
      <c r="N1705" s="15"/>
      <c r="O1705" s="15"/>
      <c r="P1705" s="15"/>
      <c r="Q1705" s="15"/>
      <c r="R1705" s="15"/>
    </row>
    <row r="1706" spans="12:18" x14ac:dyDescent="0.2">
      <c r="L1706" s="15"/>
      <c r="M1706" s="15"/>
      <c r="N1706" s="15"/>
      <c r="O1706" s="15"/>
      <c r="P1706" s="15"/>
      <c r="Q1706" s="15"/>
      <c r="R1706" s="15"/>
    </row>
    <row r="1707" spans="12:18" x14ac:dyDescent="0.2">
      <c r="L1707" s="15"/>
      <c r="M1707" s="15"/>
      <c r="N1707" s="15"/>
      <c r="O1707" s="15"/>
      <c r="P1707" s="15"/>
      <c r="Q1707" s="15"/>
      <c r="R1707" s="15"/>
    </row>
    <row r="1708" spans="12:18" x14ac:dyDescent="0.2">
      <c r="L1708" s="15"/>
      <c r="M1708" s="15"/>
      <c r="N1708" s="15"/>
      <c r="O1708" s="15"/>
      <c r="P1708" s="15"/>
      <c r="Q1708" s="15"/>
      <c r="R1708" s="15"/>
    </row>
    <row r="1709" spans="12:18" x14ac:dyDescent="0.2">
      <c r="L1709" s="15"/>
      <c r="M1709" s="15"/>
      <c r="N1709" s="15"/>
      <c r="O1709" s="15"/>
      <c r="P1709" s="15"/>
      <c r="Q1709" s="15"/>
      <c r="R1709" s="15"/>
    </row>
    <row r="1710" spans="12:18" x14ac:dyDescent="0.2">
      <c r="L1710" s="15"/>
      <c r="M1710" s="15"/>
      <c r="N1710" s="15"/>
      <c r="O1710" s="15"/>
      <c r="P1710" s="15"/>
      <c r="Q1710" s="15"/>
      <c r="R1710" s="15"/>
    </row>
    <row r="1711" spans="12:18" x14ac:dyDescent="0.2">
      <c r="L1711" s="15"/>
      <c r="M1711" s="15"/>
      <c r="N1711" s="15"/>
      <c r="O1711" s="15"/>
      <c r="P1711" s="15"/>
      <c r="Q1711" s="15"/>
      <c r="R1711" s="15"/>
    </row>
    <row r="1712" spans="12:18" x14ac:dyDescent="0.2">
      <c r="L1712" s="15"/>
      <c r="M1712" s="15"/>
      <c r="N1712" s="15"/>
      <c r="O1712" s="15"/>
      <c r="P1712" s="15"/>
      <c r="Q1712" s="15"/>
      <c r="R1712" s="15"/>
    </row>
    <row r="1713" spans="12:18" x14ac:dyDescent="0.2">
      <c r="L1713" s="15"/>
      <c r="M1713" s="15"/>
      <c r="N1713" s="15"/>
      <c r="O1713" s="15"/>
      <c r="P1713" s="15"/>
      <c r="Q1713" s="15"/>
      <c r="R1713" s="15"/>
    </row>
    <row r="1714" spans="12:18" x14ac:dyDescent="0.2">
      <c r="L1714" s="15"/>
      <c r="M1714" s="15"/>
      <c r="N1714" s="15"/>
      <c r="O1714" s="15"/>
      <c r="P1714" s="15"/>
      <c r="Q1714" s="15"/>
      <c r="R1714" s="15"/>
    </row>
    <row r="1715" spans="12:18" x14ac:dyDescent="0.2">
      <c r="L1715" s="15"/>
      <c r="M1715" s="15"/>
      <c r="N1715" s="15"/>
      <c r="O1715" s="15"/>
      <c r="P1715" s="15"/>
      <c r="Q1715" s="15"/>
      <c r="R1715" s="15"/>
    </row>
    <row r="1716" spans="12:18" x14ac:dyDescent="0.2">
      <c r="L1716" s="15"/>
      <c r="M1716" s="15"/>
      <c r="N1716" s="15"/>
      <c r="O1716" s="15"/>
      <c r="P1716" s="15"/>
      <c r="Q1716" s="15"/>
      <c r="R1716" s="15"/>
    </row>
    <row r="1717" spans="12:18" x14ac:dyDescent="0.2">
      <c r="L1717" s="15"/>
      <c r="M1717" s="15"/>
      <c r="N1717" s="15"/>
      <c r="O1717" s="15"/>
      <c r="P1717" s="15"/>
      <c r="Q1717" s="15"/>
      <c r="R1717" s="15"/>
    </row>
    <row r="1718" spans="12:18" x14ac:dyDescent="0.2">
      <c r="L1718" s="15"/>
      <c r="M1718" s="15"/>
      <c r="N1718" s="15"/>
      <c r="O1718" s="15"/>
      <c r="P1718" s="15"/>
      <c r="Q1718" s="15"/>
      <c r="R1718" s="15"/>
    </row>
    <row r="1719" spans="12:18" x14ac:dyDescent="0.2">
      <c r="L1719" s="15"/>
      <c r="M1719" s="15"/>
      <c r="N1719" s="15"/>
      <c r="O1719" s="15"/>
      <c r="P1719" s="15"/>
      <c r="Q1719" s="15"/>
      <c r="R1719" s="15"/>
    </row>
    <row r="1720" spans="12:18" x14ac:dyDescent="0.2">
      <c r="L1720" s="15"/>
      <c r="M1720" s="15"/>
      <c r="N1720" s="15"/>
      <c r="O1720" s="15"/>
      <c r="P1720" s="15"/>
      <c r="Q1720" s="15"/>
      <c r="R1720" s="15"/>
    </row>
    <row r="1721" spans="12:18" x14ac:dyDescent="0.2">
      <c r="L1721" s="15"/>
      <c r="M1721" s="15"/>
      <c r="N1721" s="15"/>
      <c r="O1721" s="15"/>
      <c r="P1721" s="15"/>
      <c r="Q1721" s="15"/>
      <c r="R1721" s="15"/>
    </row>
    <row r="1722" spans="12:18" x14ac:dyDescent="0.2">
      <c r="L1722" s="15"/>
      <c r="M1722" s="15"/>
      <c r="N1722" s="15"/>
      <c r="O1722" s="15"/>
      <c r="P1722" s="15"/>
      <c r="Q1722" s="15"/>
      <c r="R1722" s="15"/>
    </row>
    <row r="1723" spans="12:18" x14ac:dyDescent="0.2">
      <c r="L1723" s="15"/>
      <c r="M1723" s="15"/>
      <c r="N1723" s="15"/>
      <c r="O1723" s="15"/>
      <c r="P1723" s="15"/>
      <c r="Q1723" s="15"/>
      <c r="R1723" s="15"/>
    </row>
    <row r="1724" spans="12:18" x14ac:dyDescent="0.2">
      <c r="L1724" s="15"/>
      <c r="M1724" s="15"/>
      <c r="N1724" s="15"/>
      <c r="O1724" s="15"/>
      <c r="P1724" s="15"/>
      <c r="Q1724" s="15"/>
      <c r="R1724" s="15"/>
    </row>
    <row r="1725" spans="12:18" x14ac:dyDescent="0.2">
      <c r="L1725" s="15"/>
      <c r="M1725" s="15"/>
      <c r="N1725" s="15"/>
      <c r="O1725" s="15"/>
      <c r="P1725" s="15"/>
      <c r="Q1725" s="15"/>
      <c r="R1725" s="15"/>
    </row>
    <row r="1726" spans="12:18" x14ac:dyDescent="0.2">
      <c r="L1726" s="15"/>
      <c r="M1726" s="15"/>
      <c r="N1726" s="15"/>
      <c r="O1726" s="15"/>
      <c r="P1726" s="15"/>
      <c r="Q1726" s="15"/>
      <c r="R1726" s="15"/>
    </row>
    <row r="1727" spans="12:18" x14ac:dyDescent="0.2">
      <c r="L1727" s="15"/>
      <c r="M1727" s="15"/>
      <c r="N1727" s="15"/>
      <c r="O1727" s="15"/>
      <c r="P1727" s="15"/>
      <c r="Q1727" s="15"/>
      <c r="R1727" s="15"/>
    </row>
    <row r="1728" spans="12:18" x14ac:dyDescent="0.2">
      <c r="L1728" s="15"/>
      <c r="M1728" s="15"/>
      <c r="N1728" s="15"/>
      <c r="O1728" s="15"/>
      <c r="P1728" s="15"/>
      <c r="Q1728" s="15"/>
      <c r="R1728" s="15"/>
    </row>
    <row r="1729" spans="12:18" x14ac:dyDescent="0.2">
      <c r="L1729" s="15"/>
      <c r="M1729" s="15"/>
      <c r="N1729" s="15"/>
      <c r="O1729" s="15"/>
      <c r="P1729" s="15"/>
      <c r="Q1729" s="15"/>
      <c r="R1729" s="15"/>
    </row>
    <row r="1730" spans="12:18" x14ac:dyDescent="0.2">
      <c r="L1730" s="15"/>
      <c r="M1730" s="15"/>
      <c r="N1730" s="15"/>
      <c r="O1730" s="15"/>
      <c r="P1730" s="15"/>
      <c r="Q1730" s="15"/>
      <c r="R1730" s="15"/>
    </row>
    <row r="1731" spans="12:18" x14ac:dyDescent="0.2">
      <c r="L1731" s="15"/>
      <c r="M1731" s="15"/>
      <c r="N1731" s="15"/>
      <c r="O1731" s="15"/>
      <c r="P1731" s="15"/>
      <c r="Q1731" s="15"/>
      <c r="R1731" s="15"/>
    </row>
    <row r="1732" spans="12:18" x14ac:dyDescent="0.2">
      <c r="L1732" s="15"/>
      <c r="M1732" s="15"/>
      <c r="N1732" s="15"/>
      <c r="O1732" s="15"/>
      <c r="P1732" s="15"/>
      <c r="Q1732" s="15"/>
      <c r="R1732" s="15"/>
    </row>
    <row r="1733" spans="12:18" x14ac:dyDescent="0.2">
      <c r="L1733" s="15"/>
      <c r="M1733" s="15"/>
      <c r="N1733" s="15"/>
      <c r="O1733" s="15"/>
      <c r="P1733" s="15"/>
      <c r="Q1733" s="15"/>
      <c r="R1733" s="15"/>
    </row>
    <row r="1734" spans="12:18" x14ac:dyDescent="0.2">
      <c r="L1734" s="15"/>
      <c r="M1734" s="15"/>
      <c r="N1734" s="15"/>
      <c r="O1734" s="15"/>
      <c r="P1734" s="15"/>
      <c r="Q1734" s="15"/>
      <c r="R1734" s="15"/>
    </row>
    <row r="1735" spans="12:18" x14ac:dyDescent="0.2">
      <c r="L1735" s="15"/>
      <c r="M1735" s="15"/>
      <c r="N1735" s="15"/>
      <c r="O1735" s="15"/>
      <c r="P1735" s="15"/>
      <c r="Q1735" s="15"/>
      <c r="R1735" s="15"/>
    </row>
    <row r="1736" spans="12:18" x14ac:dyDescent="0.2">
      <c r="L1736" s="15"/>
      <c r="M1736" s="15"/>
      <c r="N1736" s="15"/>
      <c r="O1736" s="15"/>
      <c r="P1736" s="15"/>
      <c r="Q1736" s="15"/>
      <c r="R1736" s="15"/>
    </row>
    <row r="1737" spans="12:18" x14ac:dyDescent="0.2">
      <c r="L1737" s="15"/>
      <c r="M1737" s="15"/>
      <c r="N1737" s="15"/>
      <c r="O1737" s="15"/>
      <c r="P1737" s="15"/>
      <c r="Q1737" s="15"/>
      <c r="R1737" s="15"/>
    </row>
    <row r="1738" spans="12:18" x14ac:dyDescent="0.2">
      <c r="L1738" s="15"/>
      <c r="M1738" s="15"/>
      <c r="N1738" s="15"/>
      <c r="O1738" s="15"/>
      <c r="P1738" s="15"/>
      <c r="Q1738" s="15"/>
      <c r="R1738" s="15"/>
    </row>
    <row r="1739" spans="12:18" x14ac:dyDescent="0.2">
      <c r="L1739" s="15"/>
      <c r="M1739" s="15"/>
      <c r="N1739" s="15"/>
      <c r="O1739" s="15"/>
      <c r="P1739" s="15"/>
      <c r="Q1739" s="15"/>
      <c r="R1739" s="15"/>
    </row>
    <row r="1740" spans="12:18" x14ac:dyDescent="0.2">
      <c r="L1740" s="15"/>
      <c r="M1740" s="15"/>
      <c r="N1740" s="15"/>
      <c r="O1740" s="15"/>
      <c r="P1740" s="15"/>
      <c r="Q1740" s="15"/>
      <c r="R1740" s="15"/>
    </row>
    <row r="1741" spans="12:18" x14ac:dyDescent="0.2">
      <c r="L1741" s="15"/>
      <c r="M1741" s="15"/>
      <c r="N1741" s="15"/>
      <c r="O1741" s="15"/>
      <c r="P1741" s="15"/>
      <c r="Q1741" s="15"/>
      <c r="R1741" s="15"/>
    </row>
    <row r="1742" spans="12:18" x14ac:dyDescent="0.2">
      <c r="L1742" s="15"/>
      <c r="M1742" s="15"/>
      <c r="N1742" s="15"/>
      <c r="O1742" s="15"/>
      <c r="P1742" s="15"/>
      <c r="Q1742" s="15"/>
      <c r="R1742" s="15"/>
    </row>
    <row r="1743" spans="12:18" x14ac:dyDescent="0.2">
      <c r="L1743" s="15"/>
      <c r="M1743" s="15"/>
      <c r="N1743" s="15"/>
      <c r="O1743" s="15"/>
      <c r="P1743" s="15"/>
      <c r="Q1743" s="15"/>
      <c r="R1743" s="15"/>
    </row>
    <row r="1744" spans="12:18" x14ac:dyDescent="0.2">
      <c r="L1744" s="15"/>
      <c r="M1744" s="15"/>
      <c r="N1744" s="15"/>
      <c r="O1744" s="15"/>
      <c r="P1744" s="15"/>
      <c r="Q1744" s="15"/>
      <c r="R1744" s="15"/>
    </row>
    <row r="1745" spans="12:18" x14ac:dyDescent="0.2">
      <c r="L1745" s="15"/>
      <c r="M1745" s="15"/>
      <c r="N1745" s="15"/>
      <c r="O1745" s="15"/>
      <c r="P1745" s="15"/>
      <c r="Q1745" s="15"/>
      <c r="R1745" s="15"/>
    </row>
    <row r="1746" spans="12:18" x14ac:dyDescent="0.2">
      <c r="L1746" s="15"/>
      <c r="M1746" s="15"/>
      <c r="N1746" s="15"/>
      <c r="O1746" s="15"/>
      <c r="P1746" s="15"/>
      <c r="Q1746" s="15"/>
      <c r="R1746" s="15"/>
    </row>
    <row r="1747" spans="12:18" x14ac:dyDescent="0.2">
      <c r="L1747" s="15"/>
      <c r="M1747" s="15"/>
      <c r="N1747" s="15"/>
      <c r="O1747" s="15"/>
      <c r="P1747" s="15"/>
      <c r="Q1747" s="15"/>
      <c r="R1747" s="15"/>
    </row>
    <row r="1748" spans="12:18" x14ac:dyDescent="0.2">
      <c r="L1748" s="15"/>
      <c r="M1748" s="15"/>
      <c r="N1748" s="15"/>
      <c r="O1748" s="15"/>
      <c r="P1748" s="15"/>
      <c r="Q1748" s="15"/>
      <c r="R1748" s="15"/>
    </row>
    <row r="1749" spans="12:18" x14ac:dyDescent="0.2">
      <c r="L1749" s="15"/>
      <c r="M1749" s="15"/>
      <c r="N1749" s="15"/>
      <c r="O1749" s="15"/>
      <c r="P1749" s="15"/>
      <c r="Q1749" s="15"/>
      <c r="R1749" s="15"/>
    </row>
    <row r="1750" spans="12:18" x14ac:dyDescent="0.2">
      <c r="L1750" s="15"/>
      <c r="M1750" s="15"/>
      <c r="N1750" s="15"/>
      <c r="O1750" s="15"/>
      <c r="P1750" s="15"/>
      <c r="Q1750" s="15"/>
      <c r="R1750" s="15"/>
    </row>
    <row r="1751" spans="12:18" x14ac:dyDescent="0.2">
      <c r="L1751" s="15"/>
      <c r="M1751" s="15"/>
      <c r="N1751" s="15"/>
      <c r="O1751" s="15"/>
      <c r="P1751" s="15"/>
      <c r="Q1751" s="15"/>
      <c r="R1751" s="15"/>
    </row>
    <row r="1752" spans="12:18" x14ac:dyDescent="0.2">
      <c r="L1752" s="15"/>
      <c r="M1752" s="15"/>
      <c r="N1752" s="15"/>
      <c r="O1752" s="15"/>
      <c r="P1752" s="15"/>
      <c r="Q1752" s="15"/>
      <c r="R1752" s="15"/>
    </row>
    <row r="1753" spans="12:18" x14ac:dyDescent="0.2">
      <c r="L1753" s="15"/>
      <c r="M1753" s="15"/>
      <c r="N1753" s="15"/>
      <c r="O1753" s="15"/>
      <c r="P1753" s="15"/>
      <c r="Q1753" s="15"/>
      <c r="R1753" s="15"/>
    </row>
    <row r="1754" spans="12:18" x14ac:dyDescent="0.2">
      <c r="L1754" s="15"/>
      <c r="M1754" s="15"/>
      <c r="N1754" s="15"/>
      <c r="O1754" s="15"/>
      <c r="P1754" s="15"/>
      <c r="Q1754" s="15"/>
      <c r="R1754" s="15"/>
    </row>
    <row r="1755" spans="12:18" x14ac:dyDescent="0.2">
      <c r="L1755" s="15"/>
      <c r="M1755" s="15"/>
      <c r="N1755" s="15"/>
      <c r="O1755" s="15"/>
      <c r="P1755" s="15"/>
      <c r="Q1755" s="15"/>
      <c r="R1755" s="15"/>
    </row>
    <row r="1756" spans="12:18" x14ac:dyDescent="0.2">
      <c r="L1756" s="15"/>
      <c r="M1756" s="15"/>
      <c r="N1756" s="15"/>
      <c r="O1756" s="15"/>
      <c r="P1756" s="15"/>
      <c r="Q1756" s="15"/>
      <c r="R1756" s="15"/>
    </row>
    <row r="1757" spans="12:18" x14ac:dyDescent="0.2">
      <c r="L1757" s="15"/>
      <c r="M1757" s="15"/>
      <c r="N1757" s="15"/>
      <c r="O1757" s="15"/>
      <c r="P1757" s="15"/>
      <c r="Q1757" s="15"/>
      <c r="R1757" s="15"/>
    </row>
    <row r="1758" spans="12:18" x14ac:dyDescent="0.2">
      <c r="L1758" s="15"/>
      <c r="M1758" s="15"/>
      <c r="N1758" s="15"/>
      <c r="O1758" s="15"/>
      <c r="P1758" s="15"/>
      <c r="Q1758" s="15"/>
      <c r="R1758" s="15"/>
    </row>
    <row r="1759" spans="12:18" x14ac:dyDescent="0.2">
      <c r="L1759" s="15"/>
      <c r="M1759" s="15"/>
      <c r="N1759" s="15"/>
      <c r="O1759" s="15"/>
      <c r="P1759" s="15"/>
      <c r="Q1759" s="15"/>
      <c r="R1759" s="15"/>
    </row>
    <row r="1760" spans="12:18" x14ac:dyDescent="0.2">
      <c r="L1760" s="15"/>
      <c r="M1760" s="15"/>
      <c r="N1760" s="15"/>
      <c r="O1760" s="15"/>
      <c r="P1760" s="15"/>
      <c r="Q1760" s="15"/>
      <c r="R1760" s="15"/>
    </row>
    <row r="1761" spans="12:18" x14ac:dyDescent="0.2">
      <c r="L1761" s="15"/>
      <c r="M1761" s="15"/>
      <c r="N1761" s="15"/>
      <c r="O1761" s="15"/>
      <c r="P1761" s="15"/>
      <c r="Q1761" s="15"/>
      <c r="R1761" s="15"/>
    </row>
    <row r="1762" spans="12:18" x14ac:dyDescent="0.2">
      <c r="L1762" s="15"/>
      <c r="M1762" s="15"/>
      <c r="N1762" s="15"/>
      <c r="O1762" s="15"/>
      <c r="P1762" s="15"/>
      <c r="Q1762" s="15"/>
      <c r="R1762" s="15"/>
    </row>
    <row r="1763" spans="12:18" x14ac:dyDescent="0.2">
      <c r="L1763" s="15"/>
      <c r="M1763" s="15"/>
      <c r="N1763" s="15"/>
      <c r="O1763" s="15"/>
      <c r="P1763" s="15"/>
      <c r="Q1763" s="15"/>
      <c r="R1763" s="15"/>
    </row>
    <row r="1764" spans="12:18" x14ac:dyDescent="0.2">
      <c r="L1764" s="15"/>
      <c r="M1764" s="15"/>
      <c r="N1764" s="15"/>
      <c r="O1764" s="15"/>
      <c r="P1764" s="15"/>
      <c r="Q1764" s="15"/>
      <c r="R1764" s="15"/>
    </row>
    <row r="1765" spans="12:18" x14ac:dyDescent="0.2">
      <c r="L1765" s="15"/>
      <c r="M1765" s="15"/>
      <c r="N1765" s="15"/>
      <c r="O1765" s="15"/>
      <c r="P1765" s="15"/>
      <c r="Q1765" s="15"/>
      <c r="R1765" s="15"/>
    </row>
    <row r="1766" spans="12:18" x14ac:dyDescent="0.2">
      <c r="L1766" s="15"/>
      <c r="M1766" s="15"/>
      <c r="N1766" s="15"/>
      <c r="O1766" s="15"/>
      <c r="P1766" s="15"/>
      <c r="Q1766" s="15"/>
      <c r="R1766" s="15"/>
    </row>
    <row r="1767" spans="12:18" x14ac:dyDescent="0.2">
      <c r="L1767" s="15"/>
      <c r="M1767" s="15"/>
      <c r="N1767" s="15"/>
      <c r="O1767" s="15"/>
      <c r="P1767" s="15"/>
      <c r="Q1767" s="15"/>
      <c r="R1767" s="15"/>
    </row>
    <row r="1768" spans="12:18" x14ac:dyDescent="0.2">
      <c r="L1768" s="15"/>
      <c r="M1768" s="15"/>
      <c r="N1768" s="15"/>
      <c r="O1768" s="15"/>
      <c r="P1768" s="15"/>
      <c r="Q1768" s="15"/>
      <c r="R1768" s="15"/>
    </row>
    <row r="1769" spans="12:18" x14ac:dyDescent="0.2">
      <c r="L1769" s="15"/>
      <c r="M1769" s="15"/>
      <c r="N1769" s="15"/>
      <c r="O1769" s="15"/>
      <c r="P1769" s="15"/>
      <c r="Q1769" s="15"/>
      <c r="R1769" s="15"/>
    </row>
    <row r="1770" spans="12:18" x14ac:dyDescent="0.2">
      <c r="L1770" s="15"/>
      <c r="M1770" s="15"/>
      <c r="N1770" s="15"/>
      <c r="O1770" s="15"/>
      <c r="P1770" s="15"/>
      <c r="Q1770" s="15"/>
      <c r="R1770" s="15"/>
    </row>
    <row r="1771" spans="12:18" x14ac:dyDescent="0.2">
      <c r="L1771" s="15"/>
      <c r="M1771" s="15"/>
      <c r="N1771" s="15"/>
      <c r="O1771" s="15"/>
      <c r="P1771" s="15"/>
      <c r="Q1771" s="15"/>
      <c r="R1771" s="15"/>
    </row>
    <row r="1772" spans="12:18" x14ac:dyDescent="0.2">
      <c r="L1772" s="15"/>
      <c r="M1772" s="15"/>
      <c r="N1772" s="15"/>
      <c r="O1772" s="15"/>
      <c r="P1772" s="15"/>
      <c r="Q1772" s="15"/>
      <c r="R1772" s="15"/>
    </row>
    <row r="1773" spans="12:18" x14ac:dyDescent="0.2">
      <c r="L1773" s="15"/>
      <c r="M1773" s="15"/>
      <c r="N1773" s="15"/>
      <c r="O1773" s="15"/>
      <c r="P1773" s="15"/>
      <c r="Q1773" s="15"/>
      <c r="R1773" s="15"/>
    </row>
    <row r="1774" spans="12:18" x14ac:dyDescent="0.2">
      <c r="L1774" s="15"/>
      <c r="M1774" s="15"/>
      <c r="N1774" s="15"/>
      <c r="O1774" s="15"/>
      <c r="P1774" s="15"/>
      <c r="Q1774" s="15"/>
      <c r="R1774" s="15"/>
    </row>
    <row r="1775" spans="12:18" x14ac:dyDescent="0.2">
      <c r="L1775" s="15"/>
      <c r="M1775" s="15"/>
      <c r="N1775" s="15"/>
      <c r="O1775" s="15"/>
      <c r="P1775" s="15"/>
      <c r="Q1775" s="15"/>
      <c r="R1775" s="15"/>
    </row>
    <row r="1776" spans="12:18" x14ac:dyDescent="0.2">
      <c r="L1776" s="15"/>
      <c r="M1776" s="15"/>
      <c r="N1776" s="15"/>
      <c r="O1776" s="15"/>
      <c r="P1776" s="15"/>
      <c r="Q1776" s="15"/>
      <c r="R1776" s="15"/>
    </row>
    <row r="1777" spans="12:18" x14ac:dyDescent="0.2">
      <c r="L1777" s="15"/>
      <c r="M1777" s="15"/>
      <c r="N1777" s="15"/>
      <c r="O1777" s="15"/>
      <c r="P1777" s="15"/>
      <c r="Q1777" s="15"/>
      <c r="R1777" s="15"/>
    </row>
    <row r="1778" spans="12:18" x14ac:dyDescent="0.2">
      <c r="L1778" s="15"/>
      <c r="M1778" s="15"/>
      <c r="N1778" s="15"/>
      <c r="O1778" s="15"/>
      <c r="P1778" s="15"/>
      <c r="Q1778" s="15"/>
      <c r="R1778" s="15"/>
    </row>
    <row r="1779" spans="12:18" x14ac:dyDescent="0.2">
      <c r="L1779" s="15"/>
      <c r="M1779" s="15"/>
      <c r="N1779" s="15"/>
      <c r="O1779" s="15"/>
      <c r="P1779" s="15"/>
      <c r="Q1779" s="15"/>
      <c r="R1779" s="15"/>
    </row>
    <row r="1780" spans="12:18" x14ac:dyDescent="0.2">
      <c r="L1780" s="15"/>
      <c r="M1780" s="15"/>
      <c r="N1780" s="15"/>
      <c r="O1780" s="15"/>
      <c r="P1780" s="15"/>
      <c r="Q1780" s="15"/>
      <c r="R1780" s="15"/>
    </row>
    <row r="1781" spans="12:18" x14ac:dyDescent="0.2">
      <c r="L1781" s="15"/>
      <c r="M1781" s="15"/>
      <c r="N1781" s="15"/>
      <c r="O1781" s="15"/>
      <c r="P1781" s="15"/>
      <c r="Q1781" s="15"/>
      <c r="R1781" s="15"/>
    </row>
    <row r="1782" spans="12:18" x14ac:dyDescent="0.2">
      <c r="L1782" s="15"/>
      <c r="M1782" s="15"/>
      <c r="N1782" s="15"/>
      <c r="O1782" s="15"/>
      <c r="P1782" s="15"/>
      <c r="Q1782" s="15"/>
      <c r="R1782" s="15"/>
    </row>
    <row r="1783" spans="12:18" x14ac:dyDescent="0.2">
      <c r="L1783" s="15"/>
      <c r="M1783" s="15"/>
      <c r="N1783" s="15"/>
      <c r="O1783" s="15"/>
      <c r="P1783" s="15"/>
      <c r="Q1783" s="15"/>
      <c r="R1783" s="15"/>
    </row>
    <row r="1784" spans="12:18" x14ac:dyDescent="0.2">
      <c r="L1784" s="15"/>
      <c r="M1784" s="15"/>
      <c r="N1784" s="15"/>
      <c r="O1784" s="15"/>
      <c r="P1784" s="15"/>
      <c r="Q1784" s="15"/>
      <c r="R1784" s="15"/>
    </row>
    <row r="1785" spans="12:18" x14ac:dyDescent="0.2">
      <c r="L1785" s="15"/>
      <c r="M1785" s="15"/>
      <c r="N1785" s="15"/>
      <c r="O1785" s="15"/>
      <c r="P1785" s="15"/>
      <c r="Q1785" s="15"/>
      <c r="R1785" s="15"/>
    </row>
    <row r="1786" spans="12:18" x14ac:dyDescent="0.2">
      <c r="L1786" s="15"/>
      <c r="M1786" s="15"/>
      <c r="N1786" s="15"/>
      <c r="O1786" s="15"/>
      <c r="P1786" s="15"/>
      <c r="Q1786" s="15"/>
      <c r="R1786" s="15"/>
    </row>
    <row r="1787" spans="12:18" x14ac:dyDescent="0.2">
      <c r="L1787" s="15"/>
      <c r="M1787" s="15"/>
      <c r="N1787" s="15"/>
      <c r="O1787" s="15"/>
      <c r="P1787" s="15"/>
      <c r="Q1787" s="15"/>
      <c r="R1787" s="15"/>
    </row>
    <row r="1788" spans="12:18" x14ac:dyDescent="0.2">
      <c r="L1788" s="15"/>
      <c r="M1788" s="15"/>
      <c r="N1788" s="15"/>
      <c r="O1788" s="15"/>
      <c r="P1788" s="15"/>
      <c r="Q1788" s="15"/>
      <c r="R1788" s="15"/>
    </row>
    <row r="1789" spans="12:18" x14ac:dyDescent="0.2">
      <c r="L1789" s="15"/>
      <c r="M1789" s="15"/>
      <c r="N1789" s="15"/>
      <c r="O1789" s="15"/>
      <c r="P1789" s="15"/>
      <c r="Q1789" s="15"/>
      <c r="R1789" s="15"/>
    </row>
    <row r="1790" spans="12:18" x14ac:dyDescent="0.2">
      <c r="L1790" s="15"/>
      <c r="M1790" s="15"/>
      <c r="N1790" s="15"/>
      <c r="O1790" s="15"/>
      <c r="P1790" s="15"/>
      <c r="Q1790" s="15"/>
      <c r="R1790" s="15"/>
    </row>
    <row r="1791" spans="12:18" x14ac:dyDescent="0.2">
      <c r="L1791" s="15"/>
      <c r="M1791" s="15"/>
      <c r="N1791" s="15"/>
      <c r="O1791" s="15"/>
      <c r="P1791" s="15"/>
      <c r="Q1791" s="15"/>
      <c r="R1791" s="15"/>
    </row>
    <row r="1792" spans="12:18" x14ac:dyDescent="0.2">
      <c r="L1792" s="15"/>
      <c r="M1792" s="15"/>
      <c r="N1792" s="15"/>
      <c r="O1792" s="15"/>
      <c r="P1792" s="15"/>
      <c r="Q1792" s="15"/>
      <c r="R1792" s="15"/>
    </row>
    <row r="1793" spans="12:18" x14ac:dyDescent="0.2">
      <c r="L1793" s="15"/>
      <c r="M1793" s="15"/>
      <c r="N1793" s="15"/>
      <c r="O1793" s="15"/>
      <c r="P1793" s="15"/>
      <c r="Q1793" s="15"/>
      <c r="R1793" s="15"/>
    </row>
    <row r="1794" spans="12:18" x14ac:dyDescent="0.2">
      <c r="L1794" s="15"/>
      <c r="M1794" s="15"/>
      <c r="N1794" s="15"/>
      <c r="O1794" s="15"/>
      <c r="P1794" s="15"/>
      <c r="Q1794" s="15"/>
      <c r="R1794" s="15"/>
    </row>
    <row r="1795" spans="12:18" x14ac:dyDescent="0.2">
      <c r="L1795" s="15"/>
      <c r="M1795" s="15"/>
      <c r="N1795" s="15"/>
      <c r="O1795" s="15"/>
      <c r="P1795" s="15"/>
      <c r="Q1795" s="15"/>
      <c r="R1795" s="15"/>
    </row>
    <row r="1796" spans="12:18" x14ac:dyDescent="0.2">
      <c r="L1796" s="15"/>
      <c r="M1796" s="15"/>
      <c r="N1796" s="15"/>
      <c r="O1796" s="15"/>
      <c r="P1796" s="15"/>
      <c r="Q1796" s="15"/>
      <c r="R1796" s="15"/>
    </row>
    <row r="1797" spans="12:18" x14ac:dyDescent="0.2">
      <c r="L1797" s="15"/>
      <c r="M1797" s="15"/>
      <c r="N1797" s="15"/>
      <c r="O1797" s="15"/>
      <c r="P1797" s="15"/>
      <c r="Q1797" s="15"/>
      <c r="R1797" s="15"/>
    </row>
    <row r="1798" spans="12:18" x14ac:dyDescent="0.2">
      <c r="L1798" s="15"/>
      <c r="M1798" s="15"/>
      <c r="N1798" s="15"/>
      <c r="O1798" s="15"/>
      <c r="P1798" s="15"/>
      <c r="Q1798" s="15"/>
      <c r="R1798" s="15"/>
    </row>
    <row r="1799" spans="12:18" x14ac:dyDescent="0.2">
      <c r="L1799" s="15"/>
      <c r="M1799" s="15"/>
      <c r="N1799" s="15"/>
      <c r="O1799" s="15"/>
      <c r="P1799" s="15"/>
      <c r="Q1799" s="15"/>
      <c r="R1799" s="15"/>
    </row>
    <row r="1800" spans="12:18" x14ac:dyDescent="0.2">
      <c r="L1800" s="15"/>
      <c r="M1800" s="15"/>
      <c r="N1800" s="15"/>
      <c r="O1800" s="15"/>
      <c r="P1800" s="15"/>
      <c r="Q1800" s="15"/>
      <c r="R1800" s="15"/>
    </row>
    <row r="1801" spans="12:18" x14ac:dyDescent="0.2">
      <c r="L1801" s="15"/>
      <c r="M1801" s="15"/>
      <c r="N1801" s="15"/>
      <c r="O1801" s="15"/>
      <c r="P1801" s="15"/>
      <c r="Q1801" s="15"/>
      <c r="R1801" s="15"/>
    </row>
    <row r="1802" spans="12:18" x14ac:dyDescent="0.2">
      <c r="L1802" s="15"/>
      <c r="M1802" s="15"/>
      <c r="N1802" s="15"/>
      <c r="O1802" s="15"/>
      <c r="P1802" s="15"/>
      <c r="Q1802" s="15"/>
      <c r="R1802" s="15"/>
    </row>
    <row r="1803" spans="12:18" x14ac:dyDescent="0.2">
      <c r="L1803" s="15"/>
      <c r="M1803" s="15"/>
      <c r="N1803" s="15"/>
      <c r="O1803" s="15"/>
      <c r="P1803" s="15"/>
      <c r="Q1803" s="15"/>
      <c r="R1803" s="15"/>
    </row>
    <row r="1804" spans="12:18" x14ac:dyDescent="0.2">
      <c r="L1804" s="15"/>
      <c r="M1804" s="15"/>
      <c r="N1804" s="15"/>
      <c r="O1804" s="15"/>
      <c r="P1804" s="15"/>
      <c r="Q1804" s="15"/>
      <c r="R1804" s="15"/>
    </row>
    <row r="1805" spans="12:18" x14ac:dyDescent="0.2">
      <c r="L1805" s="15"/>
      <c r="M1805" s="15"/>
      <c r="N1805" s="15"/>
      <c r="O1805" s="15"/>
      <c r="P1805" s="15"/>
      <c r="Q1805" s="15"/>
      <c r="R1805" s="15"/>
    </row>
    <row r="1806" spans="12:18" x14ac:dyDescent="0.2">
      <c r="L1806" s="15"/>
      <c r="M1806" s="15"/>
      <c r="N1806" s="15"/>
      <c r="O1806" s="15"/>
      <c r="P1806" s="15"/>
      <c r="Q1806" s="15"/>
      <c r="R1806" s="15"/>
    </row>
    <row r="1807" spans="12:18" x14ac:dyDescent="0.2">
      <c r="L1807" s="15"/>
      <c r="M1807" s="15"/>
      <c r="N1807" s="15"/>
      <c r="O1807" s="15"/>
      <c r="P1807" s="15"/>
      <c r="Q1807" s="15"/>
      <c r="R1807" s="15"/>
    </row>
    <row r="1808" spans="12:18" x14ac:dyDescent="0.2">
      <c r="L1808" s="15"/>
      <c r="M1808" s="15"/>
      <c r="N1808" s="15"/>
      <c r="O1808" s="15"/>
      <c r="P1808" s="15"/>
      <c r="Q1808" s="15"/>
      <c r="R1808" s="15"/>
    </row>
    <row r="1809" spans="12:18" x14ac:dyDescent="0.2">
      <c r="L1809" s="15"/>
      <c r="M1809" s="15"/>
      <c r="N1809" s="15"/>
      <c r="O1809" s="15"/>
      <c r="P1809" s="15"/>
      <c r="Q1809" s="15"/>
      <c r="R1809" s="15"/>
    </row>
    <row r="1810" spans="12:18" x14ac:dyDescent="0.2">
      <c r="L1810" s="15"/>
      <c r="M1810" s="15"/>
      <c r="N1810" s="15"/>
      <c r="O1810" s="15"/>
      <c r="P1810" s="15"/>
      <c r="Q1810" s="15"/>
      <c r="R1810" s="15"/>
    </row>
    <row r="1811" spans="12:18" x14ac:dyDescent="0.2">
      <c r="L1811" s="15"/>
      <c r="M1811" s="15"/>
      <c r="N1811" s="15"/>
      <c r="O1811" s="15"/>
      <c r="P1811" s="15"/>
      <c r="Q1811" s="15"/>
      <c r="R1811" s="15"/>
    </row>
    <row r="1812" spans="12:18" x14ac:dyDescent="0.2">
      <c r="L1812" s="15"/>
      <c r="M1812" s="15"/>
      <c r="N1812" s="15"/>
      <c r="O1812" s="15"/>
      <c r="P1812" s="15"/>
      <c r="Q1812" s="15"/>
      <c r="R1812" s="15"/>
    </row>
    <row r="1813" spans="12:18" x14ac:dyDescent="0.2">
      <c r="L1813" s="15"/>
      <c r="M1813" s="15"/>
      <c r="N1813" s="15"/>
      <c r="O1813" s="15"/>
      <c r="P1813" s="15"/>
      <c r="Q1813" s="15"/>
      <c r="R1813" s="15"/>
    </row>
    <row r="1814" spans="12:18" x14ac:dyDescent="0.2">
      <c r="L1814" s="15"/>
      <c r="M1814" s="15"/>
      <c r="N1814" s="15"/>
      <c r="O1814" s="15"/>
      <c r="P1814" s="15"/>
      <c r="Q1814" s="15"/>
      <c r="R1814" s="15"/>
    </row>
    <row r="1815" spans="12:18" x14ac:dyDescent="0.2">
      <c r="L1815" s="15"/>
      <c r="M1815" s="15"/>
      <c r="N1815" s="15"/>
      <c r="O1815" s="15"/>
      <c r="P1815" s="15"/>
      <c r="Q1815" s="15"/>
      <c r="R1815" s="15"/>
    </row>
    <row r="1816" spans="12:18" x14ac:dyDescent="0.2">
      <c r="L1816" s="15"/>
      <c r="M1816" s="15"/>
      <c r="N1816" s="15"/>
      <c r="O1816" s="15"/>
      <c r="P1816" s="15"/>
      <c r="Q1816" s="15"/>
      <c r="R1816" s="15"/>
    </row>
    <row r="1817" spans="12:18" x14ac:dyDescent="0.2">
      <c r="L1817" s="15"/>
      <c r="M1817" s="15"/>
      <c r="N1817" s="15"/>
      <c r="O1817" s="15"/>
      <c r="P1817" s="15"/>
      <c r="Q1817" s="15"/>
      <c r="R1817" s="15"/>
    </row>
    <row r="1818" spans="12:18" x14ac:dyDescent="0.2">
      <c r="L1818" s="15"/>
      <c r="M1818" s="15"/>
      <c r="N1818" s="15"/>
      <c r="O1818" s="15"/>
      <c r="P1818" s="15"/>
      <c r="Q1818" s="15"/>
      <c r="R1818" s="15"/>
    </row>
    <row r="1819" spans="12:18" x14ac:dyDescent="0.2">
      <c r="L1819" s="15"/>
      <c r="M1819" s="15"/>
      <c r="N1819" s="15"/>
      <c r="O1819" s="15"/>
      <c r="P1819" s="15"/>
      <c r="Q1819" s="15"/>
      <c r="R1819" s="15"/>
    </row>
    <row r="1820" spans="12:18" x14ac:dyDescent="0.2">
      <c r="L1820" s="15"/>
      <c r="M1820" s="15"/>
      <c r="N1820" s="15"/>
      <c r="O1820" s="15"/>
      <c r="P1820" s="15"/>
      <c r="Q1820" s="15"/>
      <c r="R1820" s="15"/>
    </row>
    <row r="1821" spans="12:18" x14ac:dyDescent="0.2">
      <c r="L1821" s="15"/>
      <c r="M1821" s="15"/>
      <c r="N1821" s="15"/>
      <c r="O1821" s="15"/>
      <c r="P1821" s="15"/>
      <c r="Q1821" s="15"/>
      <c r="R1821" s="15"/>
    </row>
    <row r="1822" spans="12:18" x14ac:dyDescent="0.2">
      <c r="L1822" s="15"/>
      <c r="M1822" s="15"/>
      <c r="N1822" s="15"/>
      <c r="O1822" s="15"/>
      <c r="P1822" s="15"/>
      <c r="Q1822" s="15"/>
      <c r="R1822" s="15"/>
    </row>
    <row r="1823" spans="12:18" x14ac:dyDescent="0.2">
      <c r="L1823" s="15"/>
      <c r="M1823" s="15"/>
      <c r="N1823" s="15"/>
      <c r="O1823" s="15"/>
      <c r="P1823" s="15"/>
      <c r="Q1823" s="15"/>
      <c r="R1823" s="15"/>
    </row>
    <row r="1824" spans="12:18" x14ac:dyDescent="0.2">
      <c r="L1824" s="15"/>
      <c r="M1824" s="15"/>
      <c r="N1824" s="15"/>
      <c r="O1824" s="15"/>
      <c r="P1824" s="15"/>
      <c r="Q1824" s="15"/>
      <c r="R1824" s="15"/>
    </row>
    <row r="1825" spans="12:18" x14ac:dyDescent="0.2">
      <c r="L1825" s="15"/>
      <c r="M1825" s="15"/>
      <c r="N1825" s="15"/>
      <c r="O1825" s="15"/>
      <c r="P1825" s="15"/>
      <c r="Q1825" s="15"/>
      <c r="R1825" s="15"/>
    </row>
    <row r="1826" spans="12:18" x14ac:dyDescent="0.2">
      <c r="L1826" s="15"/>
      <c r="M1826" s="15"/>
      <c r="N1826" s="15"/>
      <c r="O1826" s="15"/>
      <c r="P1826" s="15"/>
      <c r="Q1826" s="15"/>
      <c r="R1826" s="15"/>
    </row>
    <row r="1827" spans="12:18" x14ac:dyDescent="0.2">
      <c r="L1827" s="15"/>
      <c r="M1827" s="15"/>
      <c r="N1827" s="15"/>
      <c r="O1827" s="15"/>
      <c r="P1827" s="15"/>
      <c r="Q1827" s="15"/>
      <c r="R1827" s="15"/>
    </row>
    <row r="1828" spans="12:18" x14ac:dyDescent="0.2">
      <c r="L1828" s="15"/>
      <c r="M1828" s="15"/>
      <c r="N1828" s="15"/>
      <c r="O1828" s="15"/>
      <c r="P1828" s="15"/>
      <c r="Q1828" s="15"/>
      <c r="R1828" s="15"/>
    </row>
    <row r="1829" spans="12:18" x14ac:dyDescent="0.2">
      <c r="L1829" s="15"/>
      <c r="M1829" s="15"/>
      <c r="N1829" s="15"/>
      <c r="O1829" s="15"/>
      <c r="P1829" s="15"/>
      <c r="Q1829" s="15"/>
      <c r="R1829" s="15"/>
    </row>
    <row r="1830" spans="12:18" x14ac:dyDescent="0.2">
      <c r="L1830" s="15"/>
      <c r="M1830" s="15"/>
      <c r="N1830" s="15"/>
      <c r="O1830" s="15"/>
      <c r="P1830" s="15"/>
      <c r="Q1830" s="15"/>
      <c r="R1830" s="15"/>
    </row>
    <row r="1831" spans="12:18" x14ac:dyDescent="0.2">
      <c r="L1831" s="15"/>
      <c r="M1831" s="15"/>
      <c r="N1831" s="15"/>
      <c r="O1831" s="15"/>
      <c r="P1831" s="15"/>
      <c r="Q1831" s="15"/>
      <c r="R1831" s="15"/>
    </row>
    <row r="1832" spans="12:18" x14ac:dyDescent="0.2">
      <c r="L1832" s="15"/>
      <c r="M1832" s="15"/>
      <c r="N1832" s="15"/>
      <c r="O1832" s="15"/>
      <c r="P1832" s="15"/>
      <c r="Q1832" s="15"/>
      <c r="R1832" s="15"/>
    </row>
    <row r="1833" spans="12:18" x14ac:dyDescent="0.2">
      <c r="L1833" s="15"/>
      <c r="M1833" s="15"/>
      <c r="N1833" s="15"/>
      <c r="O1833" s="15"/>
      <c r="P1833" s="15"/>
      <c r="Q1833" s="15"/>
      <c r="R1833" s="15"/>
    </row>
    <row r="1834" spans="12:18" x14ac:dyDescent="0.2">
      <c r="L1834" s="15"/>
      <c r="M1834" s="15"/>
      <c r="N1834" s="15"/>
      <c r="O1834" s="15"/>
      <c r="P1834" s="15"/>
      <c r="Q1834" s="15"/>
      <c r="R1834" s="15"/>
    </row>
    <row r="1835" spans="12:18" x14ac:dyDescent="0.2">
      <c r="L1835" s="15"/>
      <c r="M1835" s="15"/>
      <c r="N1835" s="15"/>
      <c r="O1835" s="15"/>
      <c r="P1835" s="15"/>
      <c r="Q1835" s="15"/>
      <c r="R1835" s="15"/>
    </row>
    <row r="1836" spans="12:18" x14ac:dyDescent="0.2">
      <c r="L1836" s="15"/>
      <c r="M1836" s="15"/>
      <c r="N1836" s="15"/>
      <c r="O1836" s="15"/>
      <c r="P1836" s="15"/>
      <c r="Q1836" s="15"/>
      <c r="R1836" s="15"/>
    </row>
    <row r="1837" spans="12:18" x14ac:dyDescent="0.2">
      <c r="L1837" s="15"/>
      <c r="M1837" s="15"/>
      <c r="N1837" s="15"/>
      <c r="O1837" s="15"/>
      <c r="P1837" s="15"/>
      <c r="Q1837" s="15"/>
      <c r="R1837" s="15"/>
    </row>
    <row r="1838" spans="12:18" x14ac:dyDescent="0.2">
      <c r="L1838" s="15"/>
      <c r="M1838" s="15"/>
      <c r="N1838" s="15"/>
      <c r="O1838" s="15"/>
      <c r="P1838" s="15"/>
      <c r="Q1838" s="15"/>
      <c r="R1838" s="15"/>
    </row>
    <row r="1839" spans="12:18" x14ac:dyDescent="0.2">
      <c r="L1839" s="15"/>
      <c r="M1839" s="15"/>
      <c r="N1839" s="15"/>
      <c r="O1839" s="15"/>
      <c r="P1839" s="15"/>
      <c r="Q1839" s="15"/>
      <c r="R1839" s="15"/>
    </row>
    <row r="1840" spans="12:18" x14ac:dyDescent="0.2">
      <c r="L1840" s="15"/>
      <c r="M1840" s="15"/>
      <c r="N1840" s="15"/>
      <c r="O1840" s="15"/>
      <c r="P1840" s="15"/>
      <c r="Q1840" s="15"/>
      <c r="R1840" s="15"/>
    </row>
    <row r="1841" spans="12:18" x14ac:dyDescent="0.2">
      <c r="L1841" s="15"/>
      <c r="M1841" s="15"/>
      <c r="N1841" s="15"/>
      <c r="O1841" s="15"/>
      <c r="P1841" s="15"/>
      <c r="Q1841" s="15"/>
      <c r="R1841" s="15"/>
    </row>
    <row r="1842" spans="12:18" x14ac:dyDescent="0.2">
      <c r="L1842" s="15"/>
      <c r="M1842" s="15"/>
      <c r="N1842" s="15"/>
      <c r="O1842" s="15"/>
      <c r="P1842" s="15"/>
      <c r="Q1842" s="15"/>
      <c r="R1842" s="15"/>
    </row>
    <row r="1843" spans="12:18" x14ac:dyDescent="0.2">
      <c r="L1843" s="15"/>
      <c r="M1843" s="15"/>
      <c r="N1843" s="15"/>
      <c r="O1843" s="15"/>
      <c r="P1843" s="15"/>
      <c r="Q1843" s="15"/>
      <c r="R1843" s="15"/>
    </row>
    <row r="1844" spans="12:18" x14ac:dyDescent="0.2">
      <c r="L1844" s="15"/>
      <c r="M1844" s="15"/>
      <c r="N1844" s="15"/>
      <c r="O1844" s="15"/>
      <c r="P1844" s="15"/>
      <c r="Q1844" s="15"/>
      <c r="R1844" s="15"/>
    </row>
    <row r="1845" spans="12:18" x14ac:dyDescent="0.2">
      <c r="L1845" s="15"/>
      <c r="M1845" s="15"/>
      <c r="N1845" s="15"/>
      <c r="O1845" s="15"/>
      <c r="P1845" s="15"/>
      <c r="Q1845" s="15"/>
      <c r="R1845" s="15"/>
    </row>
    <row r="1846" spans="12:18" x14ac:dyDescent="0.2">
      <c r="L1846" s="15"/>
      <c r="M1846" s="15"/>
      <c r="N1846" s="15"/>
      <c r="O1846" s="15"/>
      <c r="P1846" s="15"/>
      <c r="Q1846" s="15"/>
      <c r="R1846" s="15"/>
    </row>
    <row r="1847" spans="12:18" x14ac:dyDescent="0.2">
      <c r="L1847" s="15"/>
      <c r="M1847" s="15"/>
      <c r="N1847" s="15"/>
      <c r="O1847" s="15"/>
      <c r="P1847" s="15"/>
      <c r="Q1847" s="15"/>
      <c r="R1847" s="15"/>
    </row>
    <row r="1848" spans="12:18" x14ac:dyDescent="0.2">
      <c r="L1848" s="15"/>
      <c r="M1848" s="15"/>
      <c r="N1848" s="15"/>
      <c r="O1848" s="15"/>
      <c r="P1848" s="15"/>
      <c r="Q1848" s="15"/>
      <c r="R1848" s="15"/>
    </row>
    <row r="1849" spans="12:18" x14ac:dyDescent="0.2">
      <c r="L1849" s="15"/>
      <c r="M1849" s="15"/>
      <c r="N1849" s="15"/>
      <c r="O1849" s="15"/>
      <c r="P1849" s="15"/>
      <c r="Q1849" s="15"/>
      <c r="R1849" s="15"/>
    </row>
    <row r="1850" spans="12:18" x14ac:dyDescent="0.2">
      <c r="L1850" s="15"/>
      <c r="M1850" s="15"/>
      <c r="N1850" s="15"/>
      <c r="O1850" s="15"/>
      <c r="P1850" s="15"/>
      <c r="Q1850" s="15"/>
      <c r="R1850" s="15"/>
    </row>
    <row r="1851" spans="12:18" x14ac:dyDescent="0.2">
      <c r="L1851" s="15"/>
      <c r="M1851" s="15"/>
      <c r="N1851" s="15"/>
      <c r="O1851" s="15"/>
      <c r="P1851" s="15"/>
      <c r="Q1851" s="15"/>
      <c r="R1851" s="15"/>
    </row>
    <row r="1852" spans="12:18" x14ac:dyDescent="0.2">
      <c r="L1852" s="15"/>
      <c r="M1852" s="15"/>
      <c r="N1852" s="15"/>
      <c r="O1852" s="15"/>
      <c r="P1852" s="15"/>
      <c r="Q1852" s="15"/>
      <c r="R1852" s="15"/>
    </row>
    <row r="1853" spans="12:18" x14ac:dyDescent="0.2">
      <c r="L1853" s="15"/>
      <c r="M1853" s="15"/>
      <c r="N1853" s="15"/>
      <c r="O1853" s="15"/>
      <c r="P1853" s="15"/>
      <c r="Q1853" s="15"/>
      <c r="R1853" s="15"/>
    </row>
    <row r="1854" spans="12:18" x14ac:dyDescent="0.2">
      <c r="L1854" s="15"/>
      <c r="M1854" s="15"/>
      <c r="N1854" s="15"/>
      <c r="O1854" s="15"/>
      <c r="P1854" s="15"/>
      <c r="Q1854" s="15"/>
      <c r="R1854" s="15"/>
    </row>
    <row r="1855" spans="12:18" x14ac:dyDescent="0.2">
      <c r="L1855" s="15"/>
      <c r="M1855" s="15"/>
      <c r="N1855" s="15"/>
      <c r="O1855" s="15"/>
      <c r="P1855" s="15"/>
      <c r="Q1855" s="15"/>
      <c r="R1855" s="15"/>
    </row>
    <row r="1856" spans="12:18" x14ac:dyDescent="0.2">
      <c r="L1856" s="15"/>
      <c r="M1856" s="15"/>
      <c r="N1856" s="15"/>
      <c r="O1856" s="15"/>
      <c r="P1856" s="15"/>
      <c r="Q1856" s="15"/>
      <c r="R1856" s="15"/>
    </row>
    <row r="1857" spans="12:18" x14ac:dyDescent="0.2">
      <c r="L1857" s="15"/>
      <c r="M1857" s="15"/>
      <c r="N1857" s="15"/>
      <c r="O1857" s="15"/>
      <c r="P1857" s="15"/>
      <c r="Q1857" s="15"/>
      <c r="R1857" s="15"/>
    </row>
    <row r="1858" spans="12:18" x14ac:dyDescent="0.2">
      <c r="L1858" s="15"/>
      <c r="M1858" s="15"/>
      <c r="N1858" s="15"/>
      <c r="O1858" s="15"/>
      <c r="P1858" s="15"/>
      <c r="Q1858" s="15"/>
      <c r="R1858" s="15"/>
    </row>
    <row r="1859" spans="12:18" x14ac:dyDescent="0.2">
      <c r="L1859" s="15"/>
      <c r="M1859" s="15"/>
      <c r="N1859" s="15"/>
      <c r="O1859" s="15"/>
      <c r="P1859" s="15"/>
      <c r="Q1859" s="15"/>
      <c r="R1859" s="15"/>
    </row>
    <row r="1860" spans="12:18" x14ac:dyDescent="0.2">
      <c r="L1860" s="15"/>
      <c r="M1860" s="15"/>
      <c r="N1860" s="15"/>
      <c r="O1860" s="15"/>
      <c r="P1860" s="15"/>
      <c r="Q1860" s="15"/>
      <c r="R1860" s="15"/>
    </row>
    <row r="1861" spans="12:18" x14ac:dyDescent="0.2">
      <c r="L1861" s="15"/>
      <c r="M1861" s="15"/>
      <c r="N1861" s="15"/>
      <c r="O1861" s="15"/>
      <c r="P1861" s="15"/>
      <c r="Q1861" s="15"/>
      <c r="R1861" s="15"/>
    </row>
    <row r="1862" spans="12:18" x14ac:dyDescent="0.2">
      <c r="L1862" s="15"/>
      <c r="M1862" s="15"/>
      <c r="N1862" s="15"/>
      <c r="O1862" s="15"/>
      <c r="P1862" s="15"/>
      <c r="Q1862" s="15"/>
      <c r="R1862" s="15"/>
    </row>
    <row r="1863" spans="12:18" x14ac:dyDescent="0.2">
      <c r="L1863" s="15"/>
      <c r="M1863" s="15"/>
      <c r="N1863" s="15"/>
      <c r="O1863" s="15"/>
      <c r="P1863" s="15"/>
      <c r="Q1863" s="15"/>
      <c r="R1863" s="15"/>
    </row>
    <row r="1864" spans="12:18" x14ac:dyDescent="0.2">
      <c r="L1864" s="15"/>
      <c r="M1864" s="15"/>
      <c r="N1864" s="15"/>
      <c r="O1864" s="15"/>
      <c r="P1864" s="15"/>
      <c r="Q1864" s="15"/>
      <c r="R1864" s="15"/>
    </row>
    <row r="1865" spans="12:18" x14ac:dyDescent="0.2">
      <c r="L1865" s="15"/>
      <c r="M1865" s="15"/>
      <c r="N1865" s="15"/>
      <c r="O1865" s="15"/>
      <c r="P1865" s="15"/>
      <c r="Q1865" s="15"/>
      <c r="R1865" s="15"/>
    </row>
    <row r="1866" spans="12:18" x14ac:dyDescent="0.2">
      <c r="L1866" s="15"/>
      <c r="M1866" s="15"/>
      <c r="N1866" s="15"/>
      <c r="O1866" s="15"/>
      <c r="P1866" s="15"/>
      <c r="Q1866" s="15"/>
      <c r="R1866" s="15"/>
    </row>
    <row r="1867" spans="12:18" x14ac:dyDescent="0.2">
      <c r="L1867" s="15"/>
      <c r="M1867" s="15"/>
      <c r="N1867" s="15"/>
      <c r="O1867" s="15"/>
      <c r="P1867" s="15"/>
      <c r="Q1867" s="15"/>
      <c r="R1867" s="15"/>
    </row>
    <row r="1868" spans="12:18" x14ac:dyDescent="0.2">
      <c r="L1868" s="15"/>
      <c r="M1868" s="15"/>
      <c r="N1868" s="15"/>
      <c r="O1868" s="15"/>
      <c r="P1868" s="15"/>
      <c r="Q1868" s="15"/>
      <c r="R1868" s="15"/>
    </row>
    <row r="1869" spans="12:18" x14ac:dyDescent="0.2">
      <c r="L1869" s="15"/>
      <c r="M1869" s="15"/>
      <c r="N1869" s="15"/>
      <c r="O1869" s="15"/>
      <c r="P1869" s="15"/>
      <c r="Q1869" s="15"/>
      <c r="R1869" s="15"/>
    </row>
    <row r="1870" spans="12:18" x14ac:dyDescent="0.2">
      <c r="L1870" s="15"/>
      <c r="M1870" s="15"/>
      <c r="N1870" s="15"/>
      <c r="O1870" s="15"/>
      <c r="P1870" s="15"/>
      <c r="Q1870" s="15"/>
      <c r="R1870" s="15"/>
    </row>
    <row r="1871" spans="12:18" x14ac:dyDescent="0.2">
      <c r="L1871" s="15"/>
      <c r="M1871" s="15"/>
      <c r="N1871" s="15"/>
      <c r="O1871" s="15"/>
      <c r="P1871" s="15"/>
      <c r="Q1871" s="15"/>
      <c r="R1871" s="15"/>
    </row>
    <row r="1872" spans="12:18" x14ac:dyDescent="0.2">
      <c r="L1872" s="15"/>
      <c r="M1872" s="15"/>
      <c r="N1872" s="15"/>
      <c r="O1872" s="15"/>
      <c r="P1872" s="15"/>
      <c r="Q1872" s="15"/>
      <c r="R1872" s="15"/>
    </row>
    <row r="1873" spans="12:18" x14ac:dyDescent="0.2">
      <c r="L1873" s="15"/>
      <c r="M1873" s="15"/>
      <c r="N1873" s="15"/>
      <c r="O1873" s="15"/>
      <c r="P1873" s="15"/>
      <c r="Q1873" s="15"/>
      <c r="R1873" s="15"/>
    </row>
    <row r="1874" spans="12:18" x14ac:dyDescent="0.2">
      <c r="L1874" s="15"/>
      <c r="M1874" s="15"/>
      <c r="N1874" s="15"/>
      <c r="O1874" s="15"/>
      <c r="P1874" s="15"/>
      <c r="Q1874" s="15"/>
      <c r="R1874" s="15"/>
    </row>
    <row r="1875" spans="12:18" x14ac:dyDescent="0.2">
      <c r="L1875" s="15"/>
      <c r="M1875" s="15"/>
      <c r="N1875" s="15"/>
      <c r="O1875" s="15"/>
      <c r="P1875" s="15"/>
      <c r="Q1875" s="15"/>
      <c r="R1875" s="15"/>
    </row>
    <row r="1876" spans="12:18" x14ac:dyDescent="0.2">
      <c r="L1876" s="15"/>
      <c r="M1876" s="15"/>
      <c r="N1876" s="15"/>
      <c r="O1876" s="15"/>
      <c r="P1876" s="15"/>
      <c r="Q1876" s="15"/>
      <c r="R1876" s="15"/>
    </row>
    <row r="1877" spans="12:18" x14ac:dyDescent="0.2">
      <c r="L1877" s="15"/>
      <c r="M1877" s="15"/>
      <c r="N1877" s="15"/>
      <c r="O1877" s="15"/>
      <c r="P1877" s="15"/>
      <c r="Q1877" s="15"/>
      <c r="R1877" s="15"/>
    </row>
    <row r="1878" spans="12:18" x14ac:dyDescent="0.2">
      <c r="L1878" s="15"/>
      <c r="M1878" s="15"/>
      <c r="N1878" s="15"/>
      <c r="O1878" s="15"/>
      <c r="P1878" s="15"/>
      <c r="Q1878" s="15"/>
      <c r="R1878" s="15"/>
    </row>
    <row r="1879" spans="12:18" x14ac:dyDescent="0.2">
      <c r="L1879" s="15"/>
      <c r="M1879" s="15"/>
      <c r="N1879" s="15"/>
      <c r="O1879" s="15"/>
      <c r="P1879" s="15"/>
      <c r="Q1879" s="15"/>
      <c r="R1879" s="15"/>
    </row>
    <row r="1880" spans="12:18" x14ac:dyDescent="0.2">
      <c r="L1880" s="15"/>
      <c r="M1880" s="15"/>
      <c r="N1880" s="15"/>
      <c r="O1880" s="15"/>
      <c r="P1880" s="15"/>
      <c r="Q1880" s="15"/>
      <c r="R1880" s="15"/>
    </row>
    <row r="1881" spans="12:18" x14ac:dyDescent="0.2">
      <c r="L1881" s="15"/>
      <c r="M1881" s="15"/>
      <c r="N1881" s="15"/>
      <c r="O1881" s="15"/>
      <c r="P1881" s="15"/>
      <c r="Q1881" s="15"/>
      <c r="R1881" s="15"/>
    </row>
    <row r="1882" spans="12:18" x14ac:dyDescent="0.2">
      <c r="L1882" s="15"/>
      <c r="M1882" s="15"/>
      <c r="N1882" s="15"/>
      <c r="O1882" s="15"/>
      <c r="P1882" s="15"/>
      <c r="Q1882" s="15"/>
      <c r="R1882" s="15"/>
    </row>
    <row r="1883" spans="12:18" x14ac:dyDescent="0.2">
      <c r="L1883" s="15"/>
      <c r="M1883" s="15"/>
      <c r="N1883" s="15"/>
      <c r="O1883" s="15"/>
      <c r="P1883" s="15"/>
      <c r="Q1883" s="15"/>
      <c r="R1883" s="15"/>
    </row>
    <row r="1884" spans="12:18" x14ac:dyDescent="0.2">
      <c r="L1884" s="15"/>
      <c r="M1884" s="15"/>
      <c r="N1884" s="15"/>
      <c r="O1884" s="15"/>
      <c r="P1884" s="15"/>
      <c r="Q1884" s="15"/>
      <c r="R1884" s="15"/>
    </row>
    <row r="1885" spans="12:18" x14ac:dyDescent="0.2">
      <c r="L1885" s="15"/>
      <c r="M1885" s="15"/>
      <c r="N1885" s="15"/>
      <c r="O1885" s="15"/>
      <c r="P1885" s="15"/>
      <c r="Q1885" s="15"/>
      <c r="R1885" s="15"/>
    </row>
    <row r="1886" spans="12:18" x14ac:dyDescent="0.2">
      <c r="L1886" s="15"/>
      <c r="M1886" s="15"/>
      <c r="N1886" s="15"/>
      <c r="O1886" s="15"/>
      <c r="P1886" s="15"/>
      <c r="Q1886" s="15"/>
      <c r="R1886" s="15"/>
    </row>
    <row r="1887" spans="12:18" x14ac:dyDescent="0.2">
      <c r="L1887" s="15"/>
      <c r="M1887" s="15"/>
      <c r="N1887" s="15"/>
      <c r="O1887" s="15"/>
      <c r="P1887" s="15"/>
      <c r="Q1887" s="15"/>
      <c r="R1887" s="15"/>
    </row>
    <row r="1888" spans="12:18" x14ac:dyDescent="0.2">
      <c r="L1888" s="15"/>
      <c r="M1888" s="15"/>
      <c r="N1888" s="15"/>
      <c r="O1888" s="15"/>
      <c r="P1888" s="15"/>
      <c r="Q1888" s="15"/>
      <c r="R1888" s="15"/>
    </row>
    <row r="1889" spans="12:18" x14ac:dyDescent="0.2">
      <c r="L1889" s="15"/>
      <c r="M1889" s="15"/>
      <c r="N1889" s="15"/>
      <c r="O1889" s="15"/>
      <c r="P1889" s="15"/>
      <c r="Q1889" s="15"/>
      <c r="R1889" s="15"/>
    </row>
    <row r="1890" spans="12:18" x14ac:dyDescent="0.2">
      <c r="L1890" s="15"/>
      <c r="M1890" s="15"/>
      <c r="N1890" s="15"/>
      <c r="O1890" s="15"/>
      <c r="P1890" s="15"/>
      <c r="Q1890" s="15"/>
      <c r="R1890" s="15"/>
    </row>
    <row r="1891" spans="12:18" x14ac:dyDescent="0.2">
      <c r="L1891" s="15"/>
      <c r="M1891" s="15"/>
      <c r="N1891" s="15"/>
      <c r="O1891" s="15"/>
      <c r="P1891" s="15"/>
      <c r="Q1891" s="15"/>
      <c r="R1891" s="15"/>
    </row>
    <row r="1892" spans="12:18" x14ac:dyDescent="0.2">
      <c r="L1892" s="15"/>
      <c r="M1892" s="15"/>
      <c r="N1892" s="15"/>
      <c r="O1892" s="15"/>
      <c r="P1892" s="15"/>
      <c r="Q1892" s="15"/>
      <c r="R1892" s="15"/>
    </row>
    <row r="1893" spans="12:18" x14ac:dyDescent="0.2">
      <c r="L1893" s="15"/>
      <c r="M1893" s="15"/>
      <c r="N1893" s="15"/>
      <c r="O1893" s="15"/>
      <c r="P1893" s="15"/>
      <c r="Q1893" s="15"/>
      <c r="R1893" s="15"/>
    </row>
    <row r="1894" spans="12:18" x14ac:dyDescent="0.2">
      <c r="L1894" s="15"/>
      <c r="M1894" s="15"/>
      <c r="N1894" s="15"/>
      <c r="O1894" s="15"/>
      <c r="P1894" s="15"/>
      <c r="Q1894" s="15"/>
      <c r="R1894" s="15"/>
    </row>
    <row r="1895" spans="12:18" x14ac:dyDescent="0.2">
      <c r="L1895" s="15"/>
      <c r="M1895" s="15"/>
      <c r="N1895" s="15"/>
      <c r="O1895" s="15"/>
      <c r="P1895" s="15"/>
      <c r="Q1895" s="15"/>
      <c r="R1895" s="15"/>
    </row>
    <row r="1896" spans="12:18" x14ac:dyDescent="0.2">
      <c r="L1896" s="15"/>
      <c r="M1896" s="15"/>
      <c r="N1896" s="15"/>
      <c r="O1896" s="15"/>
      <c r="P1896" s="15"/>
      <c r="Q1896" s="15"/>
      <c r="R1896" s="15"/>
    </row>
    <row r="1897" spans="12:18" x14ac:dyDescent="0.2">
      <c r="L1897" s="15"/>
      <c r="M1897" s="15"/>
      <c r="N1897" s="15"/>
      <c r="O1897" s="15"/>
      <c r="P1897" s="15"/>
      <c r="Q1897" s="15"/>
      <c r="R1897" s="15"/>
    </row>
    <row r="1898" spans="12:18" x14ac:dyDescent="0.2">
      <c r="L1898" s="15"/>
      <c r="M1898" s="15"/>
      <c r="N1898" s="15"/>
      <c r="O1898" s="15"/>
      <c r="P1898" s="15"/>
      <c r="Q1898" s="15"/>
      <c r="R1898" s="15"/>
    </row>
    <row r="1899" spans="12:18" x14ac:dyDescent="0.2">
      <c r="L1899" s="15"/>
      <c r="M1899" s="15"/>
      <c r="N1899" s="15"/>
      <c r="O1899" s="15"/>
      <c r="P1899" s="15"/>
      <c r="Q1899" s="15"/>
      <c r="R1899" s="15"/>
    </row>
    <row r="1900" spans="12:18" x14ac:dyDescent="0.2">
      <c r="L1900" s="15"/>
      <c r="M1900" s="15"/>
      <c r="N1900" s="15"/>
      <c r="O1900" s="15"/>
      <c r="P1900" s="15"/>
      <c r="Q1900" s="15"/>
      <c r="R1900" s="15"/>
    </row>
    <row r="1901" spans="12:18" x14ac:dyDescent="0.2">
      <c r="L1901" s="15"/>
      <c r="M1901" s="15"/>
      <c r="N1901" s="15"/>
      <c r="O1901" s="15"/>
      <c r="P1901" s="15"/>
      <c r="Q1901" s="15"/>
      <c r="R1901" s="15"/>
    </row>
    <row r="1902" spans="12:18" x14ac:dyDescent="0.2">
      <c r="L1902" s="15"/>
      <c r="M1902" s="15"/>
      <c r="N1902" s="15"/>
      <c r="O1902" s="15"/>
      <c r="P1902" s="15"/>
      <c r="Q1902" s="15"/>
      <c r="R1902" s="15"/>
    </row>
    <row r="1903" spans="12:18" x14ac:dyDescent="0.2">
      <c r="L1903" s="15"/>
      <c r="M1903" s="15"/>
      <c r="N1903" s="15"/>
      <c r="O1903" s="15"/>
      <c r="P1903" s="15"/>
      <c r="Q1903" s="15"/>
      <c r="R1903" s="15"/>
    </row>
    <row r="1904" spans="12:18" x14ac:dyDescent="0.2">
      <c r="L1904" s="15"/>
      <c r="M1904" s="15"/>
      <c r="N1904" s="15"/>
      <c r="O1904" s="15"/>
      <c r="P1904" s="15"/>
      <c r="Q1904" s="15"/>
      <c r="R1904" s="15"/>
    </row>
    <row r="1905" spans="12:21" x14ac:dyDescent="0.2">
      <c r="L1905" s="15"/>
      <c r="M1905" s="15"/>
      <c r="N1905" s="15"/>
      <c r="O1905" s="15"/>
      <c r="P1905" s="15"/>
      <c r="Q1905" s="15"/>
      <c r="R1905" s="15"/>
    </row>
    <row r="1906" spans="12:21" x14ac:dyDescent="0.2">
      <c r="L1906" s="15"/>
      <c r="M1906" s="15"/>
      <c r="N1906" s="15"/>
      <c r="O1906" s="15"/>
      <c r="P1906" s="15"/>
      <c r="Q1906" s="15"/>
      <c r="R1906" s="15"/>
    </row>
    <row r="1907" spans="12:21" x14ac:dyDescent="0.2">
      <c r="L1907" s="15"/>
      <c r="M1907" s="15"/>
      <c r="N1907" s="15"/>
      <c r="O1907" s="15"/>
      <c r="P1907" s="15"/>
      <c r="Q1907" s="15"/>
      <c r="R1907" s="15"/>
    </row>
    <row r="1908" spans="12:21" x14ac:dyDescent="0.2">
      <c r="L1908" s="15"/>
      <c r="M1908" s="15"/>
      <c r="N1908" s="15"/>
      <c r="O1908" s="15"/>
      <c r="P1908" s="15"/>
      <c r="Q1908" s="15"/>
      <c r="R1908" s="15"/>
    </row>
    <row r="1909" spans="12:21" x14ac:dyDescent="0.2">
      <c r="L1909" s="15"/>
      <c r="M1909" s="15"/>
      <c r="N1909" s="15"/>
      <c r="O1909" s="15"/>
      <c r="P1909" s="15"/>
      <c r="Q1909" s="15"/>
      <c r="R1909" s="15"/>
    </row>
    <row r="1910" spans="12:21" x14ac:dyDescent="0.2">
      <c r="L1910" s="15"/>
      <c r="M1910" s="15"/>
      <c r="N1910" s="15"/>
      <c r="O1910" s="15"/>
      <c r="P1910" s="15"/>
      <c r="Q1910" s="15"/>
      <c r="R1910" s="15"/>
    </row>
    <row r="1911" spans="12:21" x14ac:dyDescent="0.2">
      <c r="L1911" s="15"/>
      <c r="M1911" s="15"/>
      <c r="N1911" s="15"/>
      <c r="O1911" s="15"/>
      <c r="P1911" s="15"/>
      <c r="Q1911" s="15"/>
      <c r="R1911" s="15"/>
    </row>
    <row r="1912" spans="12:21" x14ac:dyDescent="0.2">
      <c r="L1912" s="15"/>
      <c r="M1912" s="15"/>
      <c r="N1912" s="15"/>
      <c r="O1912" s="15"/>
      <c r="P1912" s="15"/>
      <c r="Q1912" s="15"/>
      <c r="R1912" s="15"/>
    </row>
    <row r="1913" spans="12:21" x14ac:dyDescent="0.2">
      <c r="L1913" s="15"/>
      <c r="M1913" s="15"/>
      <c r="N1913" s="15"/>
      <c r="O1913" s="15"/>
      <c r="P1913" s="15"/>
      <c r="Q1913" s="15"/>
      <c r="R1913" s="15"/>
    </row>
    <row r="1914" spans="12:21" x14ac:dyDescent="0.2">
      <c r="L1914" s="15"/>
      <c r="M1914" s="15"/>
      <c r="N1914" s="15"/>
      <c r="O1914" s="15"/>
      <c r="P1914" s="15"/>
      <c r="Q1914" s="15"/>
      <c r="R1914" s="15"/>
      <c r="S1914" s="15"/>
      <c r="T1914" s="15"/>
      <c r="U1914" s="15"/>
    </row>
    <row r="1915" spans="12:21" x14ac:dyDescent="0.2">
      <c r="L1915" s="15"/>
      <c r="M1915" s="15"/>
      <c r="N1915" s="15"/>
      <c r="O1915" s="15"/>
      <c r="P1915" s="15"/>
      <c r="Q1915" s="15"/>
      <c r="R1915" s="15"/>
      <c r="S1915" s="15"/>
      <c r="T1915" s="15"/>
      <c r="U1915" s="15"/>
    </row>
    <row r="1916" spans="12:21" x14ac:dyDescent="0.2">
      <c r="L1916" s="15"/>
      <c r="M1916" s="15"/>
      <c r="N1916" s="15"/>
      <c r="O1916" s="15"/>
      <c r="P1916" s="15"/>
      <c r="Q1916" s="15"/>
      <c r="R1916" s="15"/>
      <c r="S1916" s="15"/>
      <c r="T1916" s="15"/>
      <c r="U1916" s="15"/>
    </row>
    <row r="1917" spans="12:21" x14ac:dyDescent="0.2">
      <c r="L1917" s="15"/>
      <c r="M1917" s="15"/>
      <c r="N1917" s="15"/>
      <c r="O1917" s="15"/>
      <c r="P1917" s="15"/>
      <c r="Q1917" s="15"/>
      <c r="R1917" s="15"/>
      <c r="S1917" s="15"/>
      <c r="T1917" s="15"/>
      <c r="U1917" s="15"/>
    </row>
    <row r="1918" spans="12:21" x14ac:dyDescent="0.2">
      <c r="L1918" s="15"/>
      <c r="M1918" s="15"/>
      <c r="N1918" s="15"/>
      <c r="O1918" s="15"/>
      <c r="P1918" s="15"/>
      <c r="Q1918" s="15"/>
      <c r="R1918" s="15"/>
      <c r="S1918" s="15"/>
      <c r="T1918" s="15"/>
      <c r="U1918" s="15"/>
    </row>
    <row r="1919" spans="12:21" x14ac:dyDescent="0.2">
      <c r="L1919" s="15"/>
      <c r="M1919" s="15"/>
      <c r="N1919" s="15"/>
      <c r="O1919" s="15"/>
      <c r="P1919" s="15"/>
      <c r="Q1919" s="15"/>
      <c r="R1919" s="15"/>
      <c r="S1919" s="15"/>
      <c r="T1919" s="15"/>
      <c r="U1919" s="15"/>
    </row>
    <row r="1920" spans="12:21" x14ac:dyDescent="0.2">
      <c r="L1920" s="15"/>
      <c r="M1920" s="15"/>
      <c r="N1920" s="15"/>
      <c r="O1920" s="15"/>
      <c r="P1920" s="15"/>
      <c r="Q1920" s="15"/>
      <c r="R1920" s="15"/>
      <c r="S1920" s="15"/>
      <c r="T1920" s="15"/>
      <c r="U1920" s="15"/>
    </row>
    <row r="1921" s="15" customFormat="1" x14ac:dyDescent="0.2"/>
    <row r="1922" s="15" customFormat="1" x14ac:dyDescent="0.2"/>
    <row r="1923" s="15" customFormat="1" x14ac:dyDescent="0.2"/>
    <row r="1924" s="15" customFormat="1" x14ac:dyDescent="0.2"/>
    <row r="1925" s="15" customFormat="1" x14ac:dyDescent="0.2"/>
    <row r="1926" s="15" customFormat="1" x14ac:dyDescent="0.2"/>
    <row r="1927" s="15" customFormat="1" x14ac:dyDescent="0.2"/>
    <row r="1928" s="15" customFormat="1" x14ac:dyDescent="0.2"/>
    <row r="1929" s="15" customFormat="1" x14ac:dyDescent="0.2"/>
    <row r="1930" s="15" customFormat="1" x14ac:dyDescent="0.2"/>
    <row r="1931" s="15" customFormat="1" x14ac:dyDescent="0.2"/>
    <row r="1932" s="15" customFormat="1" x14ac:dyDescent="0.2"/>
    <row r="1933" s="15" customFormat="1" x14ac:dyDescent="0.2"/>
    <row r="1934" s="15" customFormat="1" x14ac:dyDescent="0.2"/>
    <row r="1935" s="15" customFormat="1" x14ac:dyDescent="0.2"/>
    <row r="1936" s="15" customFormat="1" x14ac:dyDescent="0.2"/>
    <row r="1937" s="15" customFormat="1" x14ac:dyDescent="0.2"/>
    <row r="1938" s="15" customFormat="1" x14ac:dyDescent="0.2"/>
    <row r="1939" s="15" customFormat="1" x14ac:dyDescent="0.2"/>
    <row r="1940" s="15" customFormat="1" x14ac:dyDescent="0.2"/>
    <row r="1941" s="15" customFormat="1" x14ac:dyDescent="0.2"/>
    <row r="1942" s="15" customFormat="1" x14ac:dyDescent="0.2"/>
    <row r="1943" s="15" customFormat="1" x14ac:dyDescent="0.2"/>
    <row r="1944" s="15" customFormat="1" x14ac:dyDescent="0.2"/>
    <row r="1945" s="15" customFormat="1" x14ac:dyDescent="0.2"/>
    <row r="1946" s="15" customFormat="1" x14ac:dyDescent="0.2"/>
    <row r="1947" s="15" customFormat="1" x14ac:dyDescent="0.2"/>
    <row r="1948" s="15" customFormat="1" x14ac:dyDescent="0.2"/>
    <row r="1949" s="15" customFormat="1" x14ac:dyDescent="0.2"/>
    <row r="1950" s="15" customFormat="1" x14ac:dyDescent="0.2"/>
    <row r="1951" s="15" customFormat="1" x14ac:dyDescent="0.2"/>
    <row r="1952" s="15" customFormat="1" x14ac:dyDescent="0.2"/>
    <row r="1953" s="15" customFormat="1" x14ac:dyDescent="0.2"/>
    <row r="1954" s="15" customFormat="1" x14ac:dyDescent="0.2"/>
    <row r="1955" s="15" customFormat="1" x14ac:dyDescent="0.2"/>
    <row r="1956" s="15" customFormat="1" x14ac:dyDescent="0.2"/>
    <row r="1957" s="15" customFormat="1" x14ac:dyDescent="0.2"/>
    <row r="1958" s="15" customFormat="1" x14ac:dyDescent="0.2"/>
    <row r="1959" s="15" customFormat="1" x14ac:dyDescent="0.2"/>
    <row r="1960" s="15" customFormat="1" x14ac:dyDescent="0.2"/>
    <row r="1961" s="15" customFormat="1" x14ac:dyDescent="0.2"/>
    <row r="1962" s="15" customFormat="1" x14ac:dyDescent="0.2"/>
    <row r="1963" s="15" customFormat="1" x14ac:dyDescent="0.2"/>
    <row r="1964" s="15" customFormat="1" x14ac:dyDescent="0.2"/>
    <row r="1965" s="15" customFormat="1" x14ac:dyDescent="0.2"/>
    <row r="1966" s="15" customFormat="1" x14ac:dyDescent="0.2"/>
    <row r="1967" s="15" customFormat="1" x14ac:dyDescent="0.2"/>
    <row r="1968" s="15" customFormat="1" x14ac:dyDescent="0.2"/>
    <row r="1969" spans="12:21" x14ac:dyDescent="0.2">
      <c r="L1969" s="15"/>
      <c r="M1969" s="15"/>
      <c r="N1969" s="15"/>
      <c r="O1969" s="15"/>
      <c r="P1969" s="15"/>
      <c r="Q1969" s="15"/>
      <c r="R1969" s="15"/>
      <c r="S1969" s="15"/>
      <c r="T1969" s="15"/>
      <c r="U1969" s="15"/>
    </row>
    <row r="1970" spans="12:21" x14ac:dyDescent="0.2">
      <c r="L1970" s="15"/>
      <c r="M1970" s="15"/>
      <c r="N1970" s="15"/>
      <c r="O1970" s="15"/>
      <c r="P1970" s="15"/>
      <c r="Q1970" s="15"/>
      <c r="R1970" s="15"/>
      <c r="S1970" s="15"/>
      <c r="T1970" s="15"/>
      <c r="U1970" s="15"/>
    </row>
    <row r="1971" spans="12:21" x14ac:dyDescent="0.2">
      <c r="L1971" s="15"/>
      <c r="M1971" s="15"/>
      <c r="N1971" s="15"/>
      <c r="O1971" s="15"/>
      <c r="P1971" s="15"/>
      <c r="Q1971" s="15"/>
      <c r="R1971" s="15"/>
      <c r="S1971" s="15"/>
      <c r="T1971" s="15"/>
      <c r="U1971" s="15"/>
    </row>
    <row r="1972" spans="12:21" x14ac:dyDescent="0.2">
      <c r="L1972" s="15"/>
      <c r="M1972" s="15"/>
      <c r="N1972" s="15"/>
      <c r="O1972" s="15"/>
      <c r="P1972" s="15"/>
      <c r="Q1972" s="15"/>
      <c r="R1972" s="15"/>
      <c r="S1972" s="15"/>
      <c r="T1972" s="15"/>
      <c r="U1972" s="15"/>
    </row>
    <row r="1973" spans="12:21" x14ac:dyDescent="0.2">
      <c r="L1973" s="15"/>
      <c r="M1973" s="15"/>
      <c r="N1973" s="15"/>
      <c r="O1973" s="15"/>
      <c r="P1973" s="15"/>
      <c r="Q1973" s="15"/>
      <c r="R1973" s="15"/>
      <c r="S1973" s="15"/>
      <c r="T1973" s="15"/>
      <c r="U1973" s="15"/>
    </row>
    <row r="1974" spans="12:21" x14ac:dyDescent="0.2">
      <c r="L1974" s="15"/>
      <c r="M1974" s="15"/>
      <c r="N1974" s="15"/>
      <c r="O1974" s="15"/>
      <c r="P1974" s="15"/>
      <c r="Q1974" s="15"/>
      <c r="R1974" s="15"/>
      <c r="S1974" s="15"/>
      <c r="T1974" s="15"/>
      <c r="U1974" s="15"/>
    </row>
    <row r="1975" spans="12:21" x14ac:dyDescent="0.2">
      <c r="L1975" s="15"/>
      <c r="M1975" s="15"/>
      <c r="N1975" s="15"/>
      <c r="O1975" s="15"/>
      <c r="P1975" s="15"/>
      <c r="Q1975" s="15"/>
      <c r="R1975" s="15"/>
      <c r="S1975" s="15"/>
      <c r="T1975" s="15"/>
      <c r="U1975" s="15"/>
    </row>
    <row r="1976" spans="12:21" x14ac:dyDescent="0.2">
      <c r="L1976" s="15"/>
      <c r="M1976" s="15"/>
      <c r="N1976" s="15"/>
      <c r="O1976" s="15"/>
      <c r="P1976" s="15"/>
      <c r="Q1976" s="15"/>
      <c r="R1976" s="15"/>
      <c r="S1976" s="15"/>
      <c r="T1976" s="15"/>
      <c r="U1976" s="15"/>
    </row>
    <row r="1977" spans="12:21" x14ac:dyDescent="0.2">
      <c r="L1977" s="15"/>
      <c r="M1977" s="15"/>
      <c r="N1977" s="15"/>
      <c r="O1977" s="15"/>
      <c r="P1977" s="15"/>
      <c r="Q1977" s="15"/>
      <c r="R1977" s="15"/>
      <c r="S1977" s="15"/>
      <c r="T1977" s="15"/>
      <c r="U1977" s="15"/>
    </row>
    <row r="1978" spans="12:21" x14ac:dyDescent="0.2">
      <c r="L1978" s="15"/>
      <c r="M1978" s="15"/>
      <c r="N1978" s="15"/>
      <c r="O1978" s="15"/>
      <c r="P1978" s="15"/>
      <c r="Q1978" s="15"/>
      <c r="R1978" s="15"/>
      <c r="S1978" s="15"/>
      <c r="T1978" s="15"/>
      <c r="U1978" s="15"/>
    </row>
    <row r="1979" spans="12:21" x14ac:dyDescent="0.2">
      <c r="L1979" s="15"/>
      <c r="M1979" s="15"/>
      <c r="N1979" s="15"/>
      <c r="O1979" s="15"/>
      <c r="P1979" s="15"/>
      <c r="Q1979" s="15"/>
      <c r="R1979" s="15"/>
      <c r="S1979" s="15"/>
      <c r="T1979" s="15"/>
      <c r="U1979" s="15"/>
    </row>
    <row r="1980" spans="12:21" x14ac:dyDescent="0.2">
      <c r="L1980" s="15"/>
      <c r="M1980" s="15"/>
      <c r="N1980" s="15"/>
      <c r="O1980" s="15"/>
      <c r="P1980" s="15"/>
      <c r="Q1980" s="15"/>
      <c r="R1980" s="15"/>
      <c r="S1980" s="15"/>
      <c r="T1980" s="15"/>
      <c r="U1980" s="15"/>
    </row>
    <row r="1981" spans="12:21" x14ac:dyDescent="0.2">
      <c r="L1981" s="15"/>
      <c r="M1981" s="15"/>
      <c r="N1981" s="15"/>
      <c r="O1981" s="15"/>
      <c r="P1981" s="15"/>
      <c r="Q1981" s="15"/>
      <c r="R1981" s="15"/>
    </row>
    <row r="1982" spans="12:21" x14ac:dyDescent="0.2">
      <c r="L1982" s="15"/>
      <c r="M1982" s="15"/>
      <c r="N1982" s="15"/>
      <c r="O1982" s="15"/>
      <c r="P1982" s="15"/>
      <c r="Q1982" s="15"/>
      <c r="R1982" s="15"/>
    </row>
    <row r="1983" spans="12:21" x14ac:dyDescent="0.2">
      <c r="L1983" s="15"/>
      <c r="M1983" s="15"/>
      <c r="N1983" s="15"/>
      <c r="O1983" s="15"/>
      <c r="P1983" s="15"/>
      <c r="Q1983" s="15"/>
      <c r="R1983" s="15"/>
    </row>
    <row r="1984" spans="12:21" x14ac:dyDescent="0.2">
      <c r="L1984" s="15"/>
      <c r="M1984" s="15"/>
      <c r="N1984" s="15"/>
      <c r="O1984" s="15"/>
      <c r="P1984" s="15"/>
      <c r="Q1984" s="15"/>
      <c r="R1984" s="15"/>
    </row>
    <row r="1985" spans="12:18" x14ac:dyDescent="0.2">
      <c r="L1985" s="15"/>
      <c r="M1985" s="15"/>
      <c r="N1985" s="15"/>
      <c r="O1985" s="15"/>
      <c r="P1985" s="15"/>
      <c r="Q1985" s="15"/>
      <c r="R1985" s="15"/>
    </row>
    <row r="1986" spans="12:18" x14ac:dyDescent="0.2">
      <c r="L1986" s="15"/>
      <c r="M1986" s="15"/>
      <c r="N1986" s="15"/>
      <c r="O1986" s="15"/>
      <c r="P1986" s="15"/>
      <c r="Q1986" s="15"/>
      <c r="R1986" s="15"/>
    </row>
    <row r="1987" spans="12:18" x14ac:dyDescent="0.2">
      <c r="L1987" s="15"/>
      <c r="M1987" s="15"/>
      <c r="N1987" s="15"/>
      <c r="O1987" s="15"/>
      <c r="P1987" s="15"/>
      <c r="Q1987" s="15"/>
      <c r="R1987" s="15"/>
    </row>
    <row r="1988" spans="12:18" x14ac:dyDescent="0.2">
      <c r="L1988" s="15"/>
      <c r="M1988" s="15"/>
      <c r="N1988" s="15"/>
      <c r="O1988" s="15"/>
      <c r="P1988" s="15"/>
      <c r="Q1988" s="15"/>
      <c r="R1988" s="15"/>
    </row>
    <row r="1989" spans="12:18" x14ac:dyDescent="0.2">
      <c r="L1989" s="15"/>
      <c r="M1989" s="15"/>
      <c r="N1989" s="15"/>
      <c r="O1989" s="15"/>
      <c r="P1989" s="15"/>
      <c r="Q1989" s="15"/>
      <c r="R1989" s="15"/>
    </row>
    <row r="1990" spans="12:18" x14ac:dyDescent="0.2">
      <c r="L1990" s="15"/>
      <c r="M1990" s="15"/>
      <c r="N1990" s="15"/>
      <c r="O1990" s="15"/>
      <c r="P1990" s="15"/>
      <c r="Q1990" s="15"/>
      <c r="R1990" s="15"/>
    </row>
    <row r="1991" spans="12:18" x14ac:dyDescent="0.2">
      <c r="L1991" s="15"/>
      <c r="M1991" s="15"/>
      <c r="N1991" s="15"/>
      <c r="O1991" s="15"/>
      <c r="P1991" s="15"/>
      <c r="Q1991" s="15"/>
      <c r="R1991" s="15"/>
    </row>
    <row r="1992" spans="12:18" x14ac:dyDescent="0.2">
      <c r="L1992" s="15"/>
      <c r="M1992" s="15"/>
      <c r="N1992" s="15"/>
      <c r="O1992" s="15"/>
      <c r="P1992" s="15"/>
      <c r="Q1992" s="15"/>
      <c r="R1992" s="15"/>
    </row>
    <row r="1993" spans="12:18" x14ac:dyDescent="0.2">
      <c r="L1993" s="15"/>
      <c r="M1993" s="15"/>
      <c r="N1993" s="15"/>
      <c r="O1993" s="15"/>
      <c r="P1993" s="15"/>
      <c r="Q1993" s="15"/>
      <c r="R1993" s="15"/>
    </row>
    <row r="1994" spans="12:18" x14ac:dyDescent="0.2">
      <c r="L1994" s="15"/>
      <c r="M1994" s="15"/>
      <c r="N1994" s="15"/>
      <c r="O1994" s="15"/>
      <c r="P1994" s="15"/>
      <c r="Q1994" s="15"/>
      <c r="R1994" s="15"/>
    </row>
    <row r="1995" spans="12:18" x14ac:dyDescent="0.2">
      <c r="L1995" s="15"/>
      <c r="M1995" s="15"/>
      <c r="N1995" s="15"/>
      <c r="O1995" s="15"/>
      <c r="P1995" s="15"/>
      <c r="Q1995" s="15"/>
      <c r="R1995" s="15"/>
    </row>
    <row r="1996" spans="12:18" x14ac:dyDescent="0.2">
      <c r="L1996" s="15"/>
      <c r="M1996" s="15"/>
      <c r="N1996" s="15"/>
      <c r="O1996" s="15"/>
      <c r="P1996" s="15"/>
      <c r="Q1996" s="15"/>
      <c r="R1996" s="15"/>
    </row>
    <row r="1997" spans="12:18" x14ac:dyDescent="0.2">
      <c r="L1997" s="15"/>
      <c r="M1997" s="15"/>
      <c r="N1997" s="15"/>
      <c r="O1997" s="15"/>
      <c r="P1997" s="15"/>
      <c r="Q1997" s="15"/>
      <c r="R1997" s="15"/>
    </row>
    <row r="1998" spans="12:18" x14ac:dyDescent="0.2">
      <c r="L1998" s="15"/>
      <c r="M1998" s="15"/>
      <c r="N1998" s="15"/>
      <c r="O1998" s="15"/>
      <c r="P1998" s="15"/>
      <c r="Q1998" s="15"/>
      <c r="R1998" s="15"/>
    </row>
    <row r="1999" spans="12:18" x14ac:dyDescent="0.2">
      <c r="L1999" s="15"/>
      <c r="M1999" s="15"/>
      <c r="N1999" s="15"/>
      <c r="O1999" s="15"/>
      <c r="P1999" s="15"/>
      <c r="Q1999" s="15"/>
      <c r="R1999" s="15"/>
    </row>
    <row r="2000" spans="12:18" x14ac:dyDescent="0.2">
      <c r="L2000" s="15"/>
      <c r="M2000" s="15"/>
      <c r="N2000" s="15"/>
      <c r="O2000" s="15"/>
      <c r="P2000" s="15"/>
      <c r="Q2000" s="15"/>
      <c r="R2000" s="15"/>
    </row>
    <row r="2001" spans="12:18" x14ac:dyDescent="0.2">
      <c r="L2001" s="15"/>
      <c r="M2001" s="15"/>
      <c r="N2001" s="15"/>
      <c r="O2001" s="15"/>
      <c r="P2001" s="15"/>
      <c r="Q2001" s="15"/>
      <c r="R2001" s="15"/>
    </row>
    <row r="2002" spans="12:18" x14ac:dyDescent="0.2">
      <c r="L2002" s="15"/>
      <c r="M2002" s="15"/>
      <c r="N2002" s="15"/>
      <c r="O2002" s="15"/>
      <c r="P2002" s="15"/>
      <c r="Q2002" s="15"/>
      <c r="R2002" s="15"/>
    </row>
    <row r="2003" spans="12:18" x14ac:dyDescent="0.2">
      <c r="L2003" s="15"/>
      <c r="M2003" s="15"/>
      <c r="N2003" s="15"/>
      <c r="O2003" s="15"/>
      <c r="P2003" s="15"/>
      <c r="Q2003" s="15"/>
      <c r="R2003" s="15"/>
    </row>
    <row r="2004" spans="12:18" x14ac:dyDescent="0.2">
      <c r="L2004" s="15"/>
      <c r="M2004" s="15"/>
      <c r="N2004" s="15"/>
      <c r="O2004" s="15"/>
      <c r="P2004" s="15"/>
      <c r="Q2004" s="15"/>
      <c r="R2004" s="15"/>
    </row>
    <row r="2005" spans="12:18" x14ac:dyDescent="0.2">
      <c r="L2005" s="15"/>
      <c r="M2005" s="15"/>
      <c r="N2005" s="15"/>
      <c r="O2005" s="15"/>
      <c r="P2005" s="15"/>
      <c r="Q2005" s="15"/>
      <c r="R2005" s="15"/>
    </row>
    <row r="2006" spans="12:18" x14ac:dyDescent="0.2">
      <c r="L2006" s="15"/>
      <c r="M2006" s="15"/>
      <c r="N2006" s="15"/>
      <c r="O2006" s="15"/>
      <c r="P2006" s="15"/>
      <c r="Q2006" s="15"/>
      <c r="R2006" s="15"/>
    </row>
    <row r="2007" spans="12:18" x14ac:dyDescent="0.2">
      <c r="L2007" s="15"/>
      <c r="M2007" s="15"/>
      <c r="N2007" s="15"/>
      <c r="O2007" s="15"/>
      <c r="P2007" s="15"/>
      <c r="Q2007" s="15"/>
      <c r="R2007" s="15"/>
    </row>
    <row r="2008" spans="12:18" x14ac:dyDescent="0.2">
      <c r="L2008" s="15"/>
      <c r="M2008" s="15"/>
      <c r="N2008" s="15"/>
      <c r="O2008" s="15"/>
      <c r="P2008" s="15"/>
      <c r="Q2008" s="15"/>
      <c r="R2008" s="15"/>
    </row>
    <row r="2009" spans="12:18" x14ac:dyDescent="0.2">
      <c r="L2009" s="15"/>
      <c r="M2009" s="15"/>
      <c r="N2009" s="15"/>
      <c r="O2009" s="15"/>
      <c r="P2009" s="15"/>
      <c r="Q2009" s="15"/>
      <c r="R2009" s="15"/>
    </row>
    <row r="2010" spans="12:18" x14ac:dyDescent="0.2">
      <c r="L2010" s="15"/>
      <c r="M2010" s="15"/>
      <c r="N2010" s="15"/>
      <c r="O2010" s="15"/>
      <c r="P2010" s="15"/>
      <c r="Q2010" s="15"/>
      <c r="R2010" s="15"/>
    </row>
    <row r="2011" spans="12:18" x14ac:dyDescent="0.2">
      <c r="L2011" s="15"/>
      <c r="M2011" s="15"/>
      <c r="N2011" s="15"/>
      <c r="O2011" s="15"/>
      <c r="P2011" s="15"/>
      <c r="Q2011" s="15"/>
      <c r="R2011" s="15"/>
    </row>
    <row r="2012" spans="12:18" x14ac:dyDescent="0.2">
      <c r="L2012" s="15"/>
      <c r="M2012" s="15"/>
      <c r="N2012" s="15"/>
      <c r="O2012" s="15"/>
      <c r="P2012" s="15"/>
      <c r="Q2012" s="15"/>
      <c r="R2012" s="15"/>
    </row>
    <row r="2013" spans="12:18" x14ac:dyDescent="0.2">
      <c r="L2013" s="15"/>
      <c r="M2013" s="15"/>
      <c r="N2013" s="15"/>
      <c r="O2013" s="15"/>
      <c r="P2013" s="15"/>
      <c r="Q2013" s="15"/>
      <c r="R2013" s="15"/>
    </row>
    <row r="2014" spans="12:18" x14ac:dyDescent="0.2">
      <c r="L2014" s="15"/>
      <c r="M2014" s="15"/>
      <c r="N2014" s="15"/>
      <c r="O2014" s="15"/>
      <c r="P2014" s="15"/>
      <c r="Q2014" s="15"/>
      <c r="R2014" s="15"/>
    </row>
    <row r="2015" spans="12:18" x14ac:dyDescent="0.2">
      <c r="L2015" s="15"/>
      <c r="M2015" s="15"/>
      <c r="N2015" s="15"/>
      <c r="O2015" s="15"/>
      <c r="P2015" s="15"/>
      <c r="Q2015" s="15"/>
      <c r="R2015" s="15"/>
    </row>
    <row r="2016" spans="12:18" x14ac:dyDescent="0.2">
      <c r="L2016" s="15"/>
      <c r="M2016" s="15"/>
      <c r="N2016" s="15"/>
      <c r="O2016" s="15"/>
      <c r="P2016" s="15"/>
      <c r="Q2016" s="15"/>
      <c r="R2016" s="15"/>
    </row>
    <row r="2017" spans="12:18" x14ac:dyDescent="0.2">
      <c r="L2017" s="15"/>
      <c r="M2017" s="15"/>
      <c r="N2017" s="15"/>
      <c r="O2017" s="15"/>
      <c r="P2017" s="15"/>
      <c r="Q2017" s="15"/>
      <c r="R2017" s="15"/>
    </row>
    <row r="2018" spans="12:18" x14ac:dyDescent="0.2">
      <c r="L2018" s="15"/>
      <c r="M2018" s="15"/>
      <c r="N2018" s="15"/>
      <c r="O2018" s="15"/>
      <c r="P2018" s="15"/>
      <c r="Q2018" s="15"/>
      <c r="R2018" s="15"/>
    </row>
    <row r="2019" spans="12:18" x14ac:dyDescent="0.2">
      <c r="L2019" s="15"/>
      <c r="M2019" s="15"/>
      <c r="N2019" s="15"/>
      <c r="O2019" s="15"/>
      <c r="P2019" s="15"/>
      <c r="Q2019" s="15"/>
      <c r="R2019" s="15"/>
    </row>
    <row r="2020" spans="12:18" x14ac:dyDescent="0.2">
      <c r="L2020" s="15"/>
      <c r="M2020" s="15"/>
      <c r="N2020" s="15"/>
      <c r="O2020" s="15"/>
      <c r="P2020" s="15"/>
      <c r="Q2020" s="15"/>
      <c r="R2020" s="15"/>
    </row>
    <row r="2021" spans="12:18" x14ac:dyDescent="0.2">
      <c r="L2021" s="15"/>
      <c r="M2021" s="15"/>
      <c r="N2021" s="15"/>
      <c r="O2021" s="15"/>
      <c r="P2021" s="15"/>
      <c r="Q2021" s="15"/>
      <c r="R2021" s="15"/>
    </row>
    <row r="2022" spans="12:18" x14ac:dyDescent="0.2">
      <c r="L2022" s="15"/>
      <c r="M2022" s="15"/>
      <c r="N2022" s="15"/>
      <c r="O2022" s="15"/>
      <c r="P2022" s="15"/>
      <c r="Q2022" s="15"/>
      <c r="R2022" s="15"/>
    </row>
    <row r="2023" spans="12:18" x14ac:dyDescent="0.2">
      <c r="L2023" s="15"/>
      <c r="M2023" s="15"/>
      <c r="N2023" s="15"/>
      <c r="O2023" s="15"/>
      <c r="P2023" s="15"/>
      <c r="Q2023" s="15"/>
      <c r="R2023" s="15"/>
    </row>
    <row r="2024" spans="12:18" x14ac:dyDescent="0.2">
      <c r="L2024" s="15"/>
      <c r="M2024" s="15"/>
      <c r="N2024" s="15"/>
      <c r="O2024" s="15"/>
      <c r="P2024" s="15"/>
      <c r="Q2024" s="15"/>
      <c r="R2024" s="15"/>
    </row>
    <row r="2025" spans="12:18" x14ac:dyDescent="0.2">
      <c r="L2025" s="15"/>
      <c r="M2025" s="15"/>
      <c r="N2025" s="15"/>
      <c r="O2025" s="15"/>
      <c r="P2025" s="15"/>
      <c r="Q2025" s="15"/>
      <c r="R2025" s="15"/>
    </row>
    <row r="2026" spans="12:18" x14ac:dyDescent="0.2">
      <c r="L2026" s="15"/>
      <c r="M2026" s="15"/>
      <c r="N2026" s="15"/>
      <c r="O2026" s="15"/>
      <c r="P2026" s="15"/>
      <c r="Q2026" s="15"/>
      <c r="R2026" s="15"/>
    </row>
    <row r="2027" spans="12:18" x14ac:dyDescent="0.2">
      <c r="L2027" s="15"/>
      <c r="M2027" s="15"/>
      <c r="N2027" s="15"/>
      <c r="O2027" s="15"/>
      <c r="P2027" s="15"/>
      <c r="Q2027" s="15"/>
      <c r="R2027" s="15"/>
    </row>
    <row r="2028" spans="12:18" x14ac:dyDescent="0.2">
      <c r="L2028" s="15"/>
      <c r="M2028" s="15"/>
      <c r="N2028" s="15"/>
      <c r="O2028" s="15"/>
      <c r="P2028" s="15"/>
      <c r="Q2028" s="15"/>
      <c r="R2028" s="15"/>
    </row>
    <row r="2029" spans="12:18" x14ac:dyDescent="0.2">
      <c r="L2029" s="15"/>
      <c r="M2029" s="15"/>
      <c r="N2029" s="15"/>
      <c r="O2029" s="15"/>
      <c r="P2029" s="15"/>
      <c r="Q2029" s="15"/>
      <c r="R2029" s="15"/>
    </row>
    <row r="2030" spans="12:18" x14ac:dyDescent="0.2">
      <c r="L2030" s="15"/>
      <c r="M2030" s="15"/>
      <c r="N2030" s="15"/>
      <c r="O2030" s="15"/>
      <c r="P2030" s="15"/>
      <c r="Q2030" s="15"/>
      <c r="R2030" s="15"/>
    </row>
    <row r="2031" spans="12:18" x14ac:dyDescent="0.2">
      <c r="L2031" s="15"/>
      <c r="M2031" s="15"/>
      <c r="N2031" s="15"/>
      <c r="O2031" s="15"/>
      <c r="P2031" s="15"/>
      <c r="Q2031" s="15"/>
      <c r="R2031" s="15"/>
    </row>
    <row r="2032" spans="12:18" x14ac:dyDescent="0.2">
      <c r="L2032" s="15"/>
      <c r="M2032" s="15"/>
      <c r="N2032" s="15"/>
      <c r="O2032" s="15"/>
      <c r="P2032" s="15"/>
      <c r="Q2032" s="15"/>
      <c r="R2032" s="15"/>
    </row>
    <row r="2033" spans="12:18" x14ac:dyDescent="0.2">
      <c r="L2033" s="15"/>
      <c r="M2033" s="15"/>
      <c r="N2033" s="15"/>
      <c r="O2033" s="15"/>
      <c r="P2033" s="15"/>
      <c r="Q2033" s="15"/>
      <c r="R2033" s="15"/>
    </row>
    <row r="2034" spans="12:18" x14ac:dyDescent="0.2">
      <c r="L2034" s="15"/>
      <c r="M2034" s="15"/>
      <c r="N2034" s="15"/>
      <c r="O2034" s="15"/>
      <c r="P2034" s="15"/>
      <c r="Q2034" s="15"/>
      <c r="R2034" s="15"/>
    </row>
    <row r="2035" spans="12:18" x14ac:dyDescent="0.2">
      <c r="L2035" s="15"/>
      <c r="M2035" s="15"/>
      <c r="N2035" s="15"/>
      <c r="O2035" s="15"/>
      <c r="P2035" s="15"/>
      <c r="Q2035" s="15"/>
      <c r="R2035" s="15"/>
    </row>
    <row r="2036" spans="12:18" x14ac:dyDescent="0.2">
      <c r="L2036" s="15"/>
      <c r="M2036" s="15"/>
      <c r="N2036" s="15"/>
      <c r="O2036" s="15"/>
      <c r="P2036" s="15"/>
      <c r="Q2036" s="15"/>
      <c r="R2036" s="15"/>
    </row>
    <row r="2037" spans="12:18" x14ac:dyDescent="0.2">
      <c r="L2037" s="15"/>
      <c r="M2037" s="15"/>
      <c r="N2037" s="15"/>
      <c r="O2037" s="15"/>
      <c r="P2037" s="15"/>
      <c r="Q2037" s="15"/>
      <c r="R2037" s="15"/>
    </row>
    <row r="2038" spans="12:18" x14ac:dyDescent="0.2">
      <c r="L2038" s="15"/>
      <c r="M2038" s="15"/>
      <c r="N2038" s="15"/>
      <c r="O2038" s="15"/>
      <c r="P2038" s="15"/>
      <c r="Q2038" s="15"/>
      <c r="R2038" s="15"/>
    </row>
    <row r="2039" spans="12:18" x14ac:dyDescent="0.2">
      <c r="L2039" s="15"/>
      <c r="M2039" s="15"/>
      <c r="N2039" s="15"/>
      <c r="O2039" s="15"/>
      <c r="P2039" s="15"/>
      <c r="Q2039" s="15"/>
      <c r="R2039" s="15"/>
    </row>
    <row r="2040" spans="12:18" x14ac:dyDescent="0.2">
      <c r="L2040" s="15"/>
      <c r="M2040" s="15"/>
      <c r="N2040" s="15"/>
      <c r="O2040" s="15"/>
      <c r="P2040" s="15"/>
      <c r="Q2040" s="15"/>
      <c r="R2040" s="15"/>
    </row>
    <row r="2041" spans="12:18" x14ac:dyDescent="0.2">
      <c r="L2041" s="15"/>
      <c r="M2041" s="15"/>
      <c r="N2041" s="15"/>
      <c r="O2041" s="15"/>
      <c r="P2041" s="15"/>
      <c r="Q2041" s="15"/>
      <c r="R2041" s="15"/>
    </row>
    <row r="2042" spans="12:18" x14ac:dyDescent="0.2">
      <c r="L2042" s="15"/>
      <c r="M2042" s="15"/>
      <c r="N2042" s="15"/>
      <c r="O2042" s="15"/>
      <c r="P2042" s="15"/>
      <c r="Q2042" s="15"/>
      <c r="R2042" s="15"/>
    </row>
    <row r="2043" spans="12:18" x14ac:dyDescent="0.2">
      <c r="L2043" s="15"/>
      <c r="M2043" s="15"/>
      <c r="N2043" s="15"/>
      <c r="O2043" s="15"/>
      <c r="P2043" s="15"/>
      <c r="Q2043" s="15"/>
      <c r="R2043" s="15"/>
    </row>
    <row r="2044" spans="12:18" x14ac:dyDescent="0.2">
      <c r="L2044" s="15"/>
      <c r="M2044" s="15"/>
      <c r="N2044" s="15"/>
      <c r="O2044" s="15"/>
      <c r="P2044" s="15"/>
      <c r="Q2044" s="15"/>
      <c r="R2044" s="15"/>
    </row>
    <row r="2045" spans="12:18" x14ac:dyDescent="0.2">
      <c r="L2045" s="15"/>
      <c r="M2045" s="15"/>
      <c r="N2045" s="15"/>
      <c r="O2045" s="15"/>
      <c r="P2045" s="15"/>
      <c r="Q2045" s="15"/>
      <c r="R2045" s="15"/>
    </row>
    <row r="2046" spans="12:18" x14ac:dyDescent="0.2">
      <c r="L2046" s="15"/>
      <c r="M2046" s="15"/>
      <c r="N2046" s="15"/>
      <c r="O2046" s="15"/>
      <c r="P2046" s="15"/>
      <c r="Q2046" s="15"/>
      <c r="R2046" s="15"/>
    </row>
    <row r="2047" spans="12:18" x14ac:dyDescent="0.2">
      <c r="L2047" s="15"/>
      <c r="M2047" s="15"/>
      <c r="N2047" s="15"/>
      <c r="O2047" s="15"/>
      <c r="P2047" s="15"/>
      <c r="Q2047" s="15"/>
      <c r="R2047" s="15"/>
    </row>
    <row r="2048" spans="12:18" x14ac:dyDescent="0.2">
      <c r="L2048" s="15"/>
      <c r="M2048" s="15"/>
      <c r="N2048" s="15"/>
      <c r="O2048" s="15"/>
      <c r="P2048" s="15"/>
      <c r="Q2048" s="15"/>
      <c r="R2048" s="15"/>
    </row>
    <row r="2049" spans="12:18" x14ac:dyDescent="0.2">
      <c r="L2049" s="15"/>
      <c r="M2049" s="15"/>
      <c r="N2049" s="15"/>
      <c r="O2049" s="15"/>
      <c r="P2049" s="15"/>
      <c r="Q2049" s="15"/>
      <c r="R2049" s="15"/>
    </row>
    <row r="2050" spans="12:18" x14ac:dyDescent="0.2">
      <c r="L2050" s="15"/>
      <c r="M2050" s="15"/>
      <c r="N2050" s="15"/>
      <c r="O2050" s="15"/>
      <c r="P2050" s="15"/>
      <c r="Q2050" s="15"/>
      <c r="R2050" s="15"/>
    </row>
    <row r="2051" spans="12:18" x14ac:dyDescent="0.2">
      <c r="L2051" s="15"/>
      <c r="M2051" s="15"/>
      <c r="N2051" s="15"/>
      <c r="O2051" s="15"/>
      <c r="P2051" s="15"/>
      <c r="Q2051" s="15"/>
      <c r="R2051" s="15"/>
    </row>
    <row r="2052" spans="12:18" x14ac:dyDescent="0.2">
      <c r="L2052" s="15"/>
      <c r="M2052" s="15"/>
      <c r="N2052" s="15"/>
      <c r="O2052" s="15"/>
      <c r="P2052" s="15"/>
      <c r="Q2052" s="15"/>
      <c r="R2052" s="15"/>
    </row>
    <row r="2053" spans="12:18" x14ac:dyDescent="0.2">
      <c r="L2053" s="15"/>
      <c r="M2053" s="15"/>
      <c r="N2053" s="15"/>
      <c r="O2053" s="15"/>
      <c r="P2053" s="15"/>
      <c r="Q2053" s="15"/>
      <c r="R2053" s="15"/>
    </row>
    <row r="2054" spans="12:18" x14ac:dyDescent="0.2">
      <c r="L2054" s="15"/>
      <c r="M2054" s="15"/>
      <c r="N2054" s="15"/>
      <c r="O2054" s="15"/>
      <c r="P2054" s="15"/>
      <c r="Q2054" s="15"/>
      <c r="R2054" s="15"/>
    </row>
    <row r="2055" spans="12:18" x14ac:dyDescent="0.2">
      <c r="L2055" s="15"/>
      <c r="M2055" s="15"/>
      <c r="N2055" s="15"/>
      <c r="O2055" s="15"/>
      <c r="P2055" s="15"/>
      <c r="Q2055" s="15"/>
      <c r="R2055" s="15"/>
    </row>
    <row r="2056" spans="12:18" x14ac:dyDescent="0.2">
      <c r="L2056" s="15"/>
      <c r="M2056" s="15"/>
      <c r="N2056" s="15"/>
      <c r="O2056" s="15"/>
      <c r="P2056" s="15"/>
      <c r="Q2056" s="15"/>
      <c r="R2056" s="15"/>
    </row>
    <row r="2057" spans="12:18" x14ac:dyDescent="0.2">
      <c r="L2057" s="15"/>
      <c r="M2057" s="15"/>
      <c r="N2057" s="15"/>
      <c r="O2057" s="15"/>
      <c r="P2057" s="15"/>
      <c r="Q2057" s="15"/>
      <c r="R2057" s="15"/>
    </row>
    <row r="2058" spans="12:18" x14ac:dyDescent="0.2">
      <c r="L2058" s="15"/>
      <c r="M2058" s="15"/>
      <c r="N2058" s="15"/>
      <c r="O2058" s="15"/>
      <c r="P2058" s="15"/>
      <c r="Q2058" s="15"/>
      <c r="R2058" s="15"/>
    </row>
    <row r="2059" spans="12:18" x14ac:dyDescent="0.2">
      <c r="L2059" s="15"/>
      <c r="M2059" s="15"/>
      <c r="N2059" s="15"/>
      <c r="O2059" s="15"/>
      <c r="P2059" s="15"/>
      <c r="Q2059" s="15"/>
      <c r="R2059" s="15"/>
    </row>
    <row r="2060" spans="12:18" x14ac:dyDescent="0.2">
      <c r="L2060" s="15"/>
      <c r="M2060" s="15"/>
      <c r="N2060" s="15"/>
      <c r="O2060" s="15"/>
      <c r="P2060" s="15"/>
      <c r="Q2060" s="15"/>
      <c r="R2060" s="15"/>
    </row>
    <row r="2061" spans="12:18" x14ac:dyDescent="0.2">
      <c r="L2061" s="15"/>
      <c r="M2061" s="15"/>
      <c r="N2061" s="15"/>
      <c r="O2061" s="15"/>
      <c r="P2061" s="15"/>
      <c r="Q2061" s="15"/>
      <c r="R2061" s="15"/>
    </row>
    <row r="2062" spans="12:18" x14ac:dyDescent="0.2">
      <c r="L2062" s="15"/>
      <c r="M2062" s="15"/>
      <c r="N2062" s="15"/>
      <c r="O2062" s="15"/>
      <c r="P2062" s="15"/>
      <c r="Q2062" s="15"/>
      <c r="R2062" s="15"/>
    </row>
    <row r="2063" spans="12:18" x14ac:dyDescent="0.2">
      <c r="L2063" s="15"/>
      <c r="M2063" s="15"/>
      <c r="N2063" s="15"/>
      <c r="O2063" s="15"/>
      <c r="P2063" s="15"/>
      <c r="Q2063" s="15"/>
      <c r="R2063" s="15"/>
    </row>
    <row r="2064" spans="12:18" x14ac:dyDescent="0.2">
      <c r="L2064" s="15"/>
      <c r="M2064" s="15"/>
      <c r="N2064" s="15"/>
      <c r="O2064" s="15"/>
      <c r="P2064" s="15"/>
      <c r="Q2064" s="15"/>
      <c r="R2064" s="15"/>
    </row>
    <row r="2065" spans="12:18" x14ac:dyDescent="0.2">
      <c r="L2065" s="15"/>
      <c r="M2065" s="15"/>
      <c r="N2065" s="15"/>
      <c r="O2065" s="15"/>
      <c r="P2065" s="15"/>
      <c r="Q2065" s="15"/>
      <c r="R2065" s="15"/>
    </row>
    <row r="2066" spans="12:18" x14ac:dyDescent="0.2">
      <c r="L2066" s="15"/>
      <c r="M2066" s="15"/>
      <c r="N2066" s="15"/>
      <c r="O2066" s="15"/>
      <c r="P2066" s="15"/>
      <c r="Q2066" s="15"/>
      <c r="R2066" s="15"/>
    </row>
    <row r="2067" spans="12:18" x14ac:dyDescent="0.2">
      <c r="L2067" s="15"/>
      <c r="M2067" s="15"/>
      <c r="N2067" s="15"/>
      <c r="O2067" s="15"/>
      <c r="P2067" s="15"/>
      <c r="Q2067" s="15"/>
      <c r="R2067" s="15"/>
    </row>
    <row r="2068" spans="12:18" x14ac:dyDescent="0.2">
      <c r="L2068" s="15"/>
      <c r="M2068" s="15"/>
      <c r="N2068" s="15"/>
      <c r="O2068" s="15"/>
      <c r="P2068" s="15"/>
      <c r="Q2068" s="15"/>
      <c r="R2068" s="15"/>
    </row>
    <row r="2069" spans="12:18" x14ac:dyDescent="0.2">
      <c r="L2069" s="15"/>
      <c r="M2069" s="15"/>
      <c r="N2069" s="15"/>
      <c r="O2069" s="15"/>
      <c r="P2069" s="15"/>
      <c r="Q2069" s="15"/>
      <c r="R2069" s="15"/>
    </row>
    <row r="2070" spans="12:18" x14ac:dyDescent="0.2">
      <c r="L2070" s="15"/>
      <c r="M2070" s="15"/>
      <c r="N2070" s="15"/>
      <c r="O2070" s="15"/>
      <c r="P2070" s="15"/>
      <c r="Q2070" s="15"/>
      <c r="R2070" s="15"/>
    </row>
    <row r="2071" spans="12:18" x14ac:dyDescent="0.2">
      <c r="L2071" s="15"/>
      <c r="M2071" s="15"/>
      <c r="N2071" s="15"/>
      <c r="O2071" s="15"/>
      <c r="P2071" s="15"/>
      <c r="Q2071" s="15"/>
      <c r="R2071" s="15"/>
    </row>
    <row r="2072" spans="12:18" x14ac:dyDescent="0.2">
      <c r="L2072" s="15"/>
      <c r="M2072" s="15"/>
      <c r="N2072" s="15"/>
      <c r="O2072" s="15"/>
      <c r="P2072" s="15"/>
      <c r="Q2072" s="15"/>
      <c r="R2072" s="15"/>
    </row>
    <row r="2073" spans="12:18" x14ac:dyDescent="0.2">
      <c r="L2073" s="15"/>
      <c r="M2073" s="15"/>
      <c r="N2073" s="15"/>
      <c r="O2073" s="15"/>
      <c r="P2073" s="15"/>
      <c r="Q2073" s="15"/>
      <c r="R2073" s="15"/>
    </row>
    <row r="2074" spans="12:18" x14ac:dyDescent="0.2">
      <c r="L2074" s="15"/>
      <c r="M2074" s="15"/>
      <c r="N2074" s="15"/>
      <c r="O2074" s="15"/>
      <c r="P2074" s="15"/>
      <c r="Q2074" s="15"/>
      <c r="R2074" s="15"/>
    </row>
    <row r="2075" spans="12:18" x14ac:dyDescent="0.2">
      <c r="L2075" s="15"/>
      <c r="M2075" s="15"/>
      <c r="N2075" s="15"/>
      <c r="O2075" s="15"/>
      <c r="P2075" s="15"/>
      <c r="Q2075" s="15"/>
      <c r="R2075" s="15"/>
    </row>
    <row r="2076" spans="12:18" x14ac:dyDescent="0.2">
      <c r="L2076" s="15"/>
      <c r="M2076" s="15"/>
      <c r="N2076" s="15"/>
      <c r="O2076" s="15"/>
      <c r="P2076" s="15"/>
      <c r="Q2076" s="15"/>
      <c r="R2076" s="15"/>
    </row>
    <row r="2077" spans="12:18" x14ac:dyDescent="0.2">
      <c r="L2077" s="15"/>
      <c r="M2077" s="15"/>
      <c r="N2077" s="15"/>
      <c r="O2077" s="15"/>
      <c r="P2077" s="15"/>
      <c r="Q2077" s="15"/>
      <c r="R2077" s="15"/>
    </row>
    <row r="2078" spans="12:18" x14ac:dyDescent="0.2">
      <c r="L2078" s="15"/>
      <c r="M2078" s="15"/>
      <c r="N2078" s="15"/>
      <c r="O2078" s="15"/>
      <c r="P2078" s="15"/>
      <c r="Q2078" s="15"/>
      <c r="R2078" s="15"/>
    </row>
    <row r="2079" spans="12:18" x14ac:dyDescent="0.2">
      <c r="L2079" s="15"/>
      <c r="M2079" s="15"/>
      <c r="N2079" s="15"/>
      <c r="O2079" s="15"/>
      <c r="P2079" s="15"/>
      <c r="Q2079" s="15"/>
      <c r="R2079" s="15"/>
    </row>
    <row r="2080" spans="12:18" x14ac:dyDescent="0.2">
      <c r="L2080" s="15"/>
      <c r="M2080" s="15"/>
      <c r="N2080" s="15"/>
      <c r="O2080" s="15"/>
      <c r="P2080" s="15"/>
      <c r="Q2080" s="15"/>
      <c r="R2080" s="15"/>
    </row>
    <row r="2081" spans="12:18" x14ac:dyDescent="0.2">
      <c r="L2081" s="15"/>
      <c r="M2081" s="15"/>
      <c r="N2081" s="15"/>
      <c r="O2081" s="15"/>
      <c r="P2081" s="15"/>
      <c r="Q2081" s="15"/>
      <c r="R2081" s="15"/>
    </row>
    <row r="2082" spans="12:18" x14ac:dyDescent="0.2">
      <c r="L2082" s="15"/>
      <c r="M2082" s="15"/>
      <c r="N2082" s="15"/>
      <c r="O2082" s="15"/>
      <c r="P2082" s="15"/>
      <c r="Q2082" s="15"/>
      <c r="R2082" s="15"/>
    </row>
    <row r="2083" spans="12:18" x14ac:dyDescent="0.2">
      <c r="L2083" s="15"/>
      <c r="M2083" s="15"/>
      <c r="N2083" s="15"/>
      <c r="O2083" s="15"/>
      <c r="P2083" s="15"/>
      <c r="Q2083" s="15"/>
      <c r="R2083" s="15"/>
    </row>
    <row r="2084" spans="12:18" x14ac:dyDescent="0.2">
      <c r="L2084" s="15"/>
      <c r="M2084" s="15"/>
      <c r="N2084" s="15"/>
      <c r="O2084" s="15"/>
      <c r="P2084" s="15"/>
      <c r="Q2084" s="15"/>
      <c r="R2084" s="15"/>
    </row>
    <row r="2085" spans="12:18" x14ac:dyDescent="0.2">
      <c r="L2085" s="15"/>
      <c r="M2085" s="15"/>
      <c r="N2085" s="15"/>
      <c r="O2085" s="15"/>
      <c r="P2085" s="15"/>
      <c r="Q2085" s="15"/>
      <c r="R2085" s="15"/>
    </row>
    <row r="2086" spans="12:18" x14ac:dyDescent="0.2">
      <c r="L2086" s="15"/>
      <c r="M2086" s="15"/>
      <c r="N2086" s="15"/>
      <c r="O2086" s="15"/>
      <c r="P2086" s="15"/>
      <c r="Q2086" s="15"/>
      <c r="R2086" s="15"/>
    </row>
    <row r="2087" spans="12:18" x14ac:dyDescent="0.2">
      <c r="L2087" s="15"/>
      <c r="M2087" s="15"/>
      <c r="N2087" s="15"/>
      <c r="O2087" s="15"/>
      <c r="P2087" s="15"/>
      <c r="Q2087" s="15"/>
      <c r="R2087" s="15"/>
    </row>
    <row r="2088" spans="12:18" x14ac:dyDescent="0.2">
      <c r="L2088" s="15"/>
      <c r="M2088" s="15"/>
      <c r="N2088" s="15"/>
      <c r="O2088" s="15"/>
      <c r="P2088" s="15"/>
      <c r="Q2088" s="15"/>
      <c r="R2088" s="15"/>
    </row>
    <row r="2089" spans="12:18" x14ac:dyDescent="0.2">
      <c r="L2089" s="15"/>
      <c r="M2089" s="15"/>
      <c r="N2089" s="15"/>
      <c r="O2089" s="15"/>
      <c r="P2089" s="15"/>
      <c r="Q2089" s="15"/>
      <c r="R2089" s="15"/>
    </row>
    <row r="2090" spans="12:18" x14ac:dyDescent="0.2">
      <c r="L2090" s="15"/>
      <c r="M2090" s="15"/>
      <c r="N2090" s="15"/>
      <c r="O2090" s="15"/>
      <c r="P2090" s="15"/>
      <c r="Q2090" s="15"/>
      <c r="R2090" s="15"/>
    </row>
    <row r="2091" spans="12:18" x14ac:dyDescent="0.2">
      <c r="L2091" s="15"/>
      <c r="M2091" s="15"/>
      <c r="N2091" s="15"/>
      <c r="O2091" s="15"/>
      <c r="P2091" s="15"/>
      <c r="Q2091" s="15"/>
      <c r="R2091" s="15"/>
    </row>
    <row r="2092" spans="12:18" x14ac:dyDescent="0.2">
      <c r="L2092" s="15"/>
      <c r="M2092" s="15"/>
      <c r="N2092" s="15"/>
      <c r="O2092" s="15"/>
      <c r="P2092" s="15"/>
      <c r="Q2092" s="15"/>
      <c r="R2092" s="15"/>
    </row>
    <row r="2093" spans="12:18" x14ac:dyDescent="0.2">
      <c r="L2093" s="15"/>
      <c r="M2093" s="15"/>
      <c r="N2093" s="15"/>
      <c r="O2093" s="15"/>
      <c r="P2093" s="15"/>
      <c r="Q2093" s="15"/>
      <c r="R2093" s="15"/>
    </row>
    <row r="2094" spans="12:18" x14ac:dyDescent="0.2">
      <c r="L2094" s="15"/>
      <c r="M2094" s="15"/>
      <c r="N2094" s="15"/>
      <c r="O2094" s="15"/>
      <c r="P2094" s="15"/>
      <c r="Q2094" s="15"/>
      <c r="R2094" s="15"/>
    </row>
    <row r="2095" spans="12:18" x14ac:dyDescent="0.2">
      <c r="L2095" s="15"/>
      <c r="M2095" s="15"/>
      <c r="N2095" s="15"/>
      <c r="O2095" s="15"/>
      <c r="P2095" s="15"/>
      <c r="Q2095" s="15"/>
      <c r="R2095" s="15"/>
    </row>
    <row r="2096" spans="12:18" x14ac:dyDescent="0.2">
      <c r="L2096" s="15"/>
      <c r="M2096" s="15"/>
      <c r="N2096" s="15"/>
      <c r="O2096" s="15"/>
      <c r="P2096" s="15"/>
      <c r="Q2096" s="15"/>
      <c r="R2096" s="15"/>
    </row>
    <row r="2097" spans="12:18" x14ac:dyDescent="0.2">
      <c r="L2097" s="15"/>
      <c r="M2097" s="15"/>
      <c r="N2097" s="15"/>
      <c r="O2097" s="15"/>
      <c r="P2097" s="15"/>
      <c r="Q2097" s="15"/>
      <c r="R2097" s="15"/>
    </row>
    <row r="2098" spans="12:18" x14ac:dyDescent="0.2">
      <c r="L2098" s="15"/>
      <c r="M2098" s="15"/>
      <c r="N2098" s="15"/>
      <c r="O2098" s="15"/>
      <c r="P2098" s="15"/>
      <c r="Q2098" s="15"/>
      <c r="R2098" s="15"/>
    </row>
    <row r="2099" spans="12:18" x14ac:dyDescent="0.2">
      <c r="L2099" s="15"/>
      <c r="M2099" s="15"/>
      <c r="N2099" s="15"/>
      <c r="O2099" s="15"/>
      <c r="P2099" s="15"/>
      <c r="Q2099" s="15"/>
      <c r="R2099" s="15"/>
    </row>
    <row r="2100" spans="12:18" x14ac:dyDescent="0.2">
      <c r="L2100" s="15"/>
      <c r="M2100" s="15"/>
      <c r="N2100" s="15"/>
      <c r="O2100" s="15"/>
      <c r="P2100" s="15"/>
      <c r="Q2100" s="15"/>
      <c r="R2100" s="15"/>
    </row>
    <row r="2101" spans="12:18" x14ac:dyDescent="0.2">
      <c r="L2101" s="15"/>
      <c r="M2101" s="15"/>
      <c r="N2101" s="15"/>
      <c r="O2101" s="15"/>
      <c r="P2101" s="15"/>
      <c r="Q2101" s="15"/>
      <c r="R2101" s="15"/>
    </row>
    <row r="2102" spans="12:18" x14ac:dyDescent="0.2">
      <c r="L2102" s="15"/>
      <c r="M2102" s="15"/>
      <c r="N2102" s="15"/>
      <c r="O2102" s="15"/>
      <c r="P2102" s="15"/>
      <c r="Q2102" s="15"/>
      <c r="R2102" s="15"/>
    </row>
    <row r="2103" spans="12:18" x14ac:dyDescent="0.2">
      <c r="L2103" s="15"/>
      <c r="M2103" s="15"/>
      <c r="N2103" s="15"/>
      <c r="O2103" s="15"/>
      <c r="P2103" s="15"/>
      <c r="Q2103" s="15"/>
      <c r="R2103" s="15"/>
    </row>
    <row r="2104" spans="12:18" x14ac:dyDescent="0.2">
      <c r="L2104" s="15"/>
      <c r="M2104" s="15"/>
      <c r="N2104" s="15"/>
      <c r="O2104" s="15"/>
      <c r="P2104" s="15"/>
      <c r="Q2104" s="15"/>
      <c r="R2104" s="15"/>
    </row>
    <row r="2105" spans="12:18" x14ac:dyDescent="0.2">
      <c r="L2105" s="15"/>
      <c r="M2105" s="15"/>
      <c r="N2105" s="15"/>
      <c r="O2105" s="15"/>
      <c r="P2105" s="15"/>
      <c r="Q2105" s="15"/>
      <c r="R2105" s="15"/>
    </row>
    <row r="2106" spans="12:18" x14ac:dyDescent="0.2">
      <c r="L2106" s="15"/>
      <c r="M2106" s="15"/>
      <c r="N2106" s="15"/>
      <c r="O2106" s="15"/>
      <c r="P2106" s="15"/>
      <c r="Q2106" s="15"/>
      <c r="R2106" s="15"/>
    </row>
    <row r="2107" spans="12:18" x14ac:dyDescent="0.2">
      <c r="L2107" s="15"/>
      <c r="M2107" s="15"/>
      <c r="N2107" s="15"/>
      <c r="O2107" s="15"/>
      <c r="P2107" s="15"/>
      <c r="Q2107" s="15"/>
      <c r="R2107" s="15"/>
    </row>
    <row r="2108" spans="12:18" x14ac:dyDescent="0.2">
      <c r="L2108" s="15"/>
      <c r="M2108" s="15"/>
      <c r="N2108" s="15"/>
      <c r="O2108" s="15"/>
      <c r="P2108" s="15"/>
      <c r="Q2108" s="15"/>
      <c r="R2108" s="15"/>
    </row>
    <row r="2109" spans="12:18" x14ac:dyDescent="0.2">
      <c r="L2109" s="15"/>
      <c r="M2109" s="15"/>
      <c r="N2109" s="15"/>
      <c r="O2109" s="15"/>
      <c r="P2109" s="15"/>
      <c r="Q2109" s="15"/>
      <c r="R2109" s="15"/>
    </row>
    <row r="2110" spans="12:18" x14ac:dyDescent="0.2">
      <c r="L2110" s="15"/>
      <c r="M2110" s="15"/>
      <c r="N2110" s="15"/>
      <c r="O2110" s="15"/>
      <c r="P2110" s="15"/>
      <c r="Q2110" s="15"/>
      <c r="R2110" s="15"/>
    </row>
    <row r="2111" spans="12:18" x14ac:dyDescent="0.2">
      <c r="L2111" s="15"/>
      <c r="M2111" s="15"/>
      <c r="N2111" s="15"/>
      <c r="O2111" s="15"/>
      <c r="P2111" s="15"/>
      <c r="Q2111" s="15"/>
      <c r="R2111" s="15"/>
    </row>
    <row r="2112" spans="12:18" x14ac:dyDescent="0.2">
      <c r="L2112" s="15"/>
      <c r="M2112" s="15"/>
      <c r="N2112" s="15"/>
      <c r="O2112" s="15"/>
      <c r="P2112" s="15"/>
      <c r="Q2112" s="15"/>
      <c r="R2112" s="15"/>
    </row>
    <row r="2113" spans="12:18" x14ac:dyDescent="0.2">
      <c r="L2113" s="15"/>
      <c r="M2113" s="15"/>
      <c r="N2113" s="15"/>
      <c r="O2113" s="15"/>
      <c r="P2113" s="15"/>
      <c r="Q2113" s="15"/>
      <c r="R2113" s="15"/>
    </row>
    <row r="2114" spans="12:18" x14ac:dyDescent="0.2">
      <c r="L2114" s="15"/>
      <c r="M2114" s="15"/>
      <c r="N2114" s="15"/>
      <c r="O2114" s="15"/>
      <c r="P2114" s="15"/>
      <c r="Q2114" s="15"/>
      <c r="R2114" s="15"/>
    </row>
    <row r="2115" spans="12:18" x14ac:dyDescent="0.2">
      <c r="L2115" s="15"/>
      <c r="M2115" s="15"/>
      <c r="N2115" s="15"/>
      <c r="O2115" s="15"/>
      <c r="P2115" s="15"/>
      <c r="Q2115" s="15"/>
      <c r="R2115" s="15"/>
    </row>
    <row r="2116" spans="12:18" x14ac:dyDescent="0.2">
      <c r="L2116" s="15"/>
      <c r="M2116" s="15"/>
      <c r="N2116" s="15"/>
      <c r="O2116" s="15"/>
      <c r="P2116" s="15"/>
      <c r="Q2116" s="15"/>
      <c r="R2116" s="15"/>
    </row>
    <row r="2117" spans="12:18" x14ac:dyDescent="0.2">
      <c r="L2117" s="15"/>
      <c r="M2117" s="15"/>
      <c r="N2117" s="15"/>
      <c r="O2117" s="15"/>
      <c r="P2117" s="15"/>
      <c r="Q2117" s="15"/>
      <c r="R2117" s="15"/>
    </row>
    <row r="2118" spans="12:18" x14ac:dyDescent="0.2">
      <c r="L2118" s="15"/>
      <c r="M2118" s="15"/>
      <c r="N2118" s="15"/>
      <c r="O2118" s="15"/>
      <c r="P2118" s="15"/>
      <c r="Q2118" s="15"/>
      <c r="R2118" s="15"/>
    </row>
    <row r="2119" spans="12:18" x14ac:dyDescent="0.2">
      <c r="L2119" s="15"/>
      <c r="M2119" s="15"/>
      <c r="N2119" s="15"/>
      <c r="O2119" s="15"/>
      <c r="P2119" s="15"/>
      <c r="Q2119" s="15"/>
      <c r="R2119" s="15"/>
    </row>
    <row r="2120" spans="12:18" x14ac:dyDescent="0.2">
      <c r="L2120" s="15"/>
      <c r="M2120" s="15"/>
      <c r="N2120" s="15"/>
      <c r="O2120" s="15"/>
      <c r="P2120" s="15"/>
      <c r="Q2120" s="15"/>
      <c r="R2120" s="15"/>
    </row>
    <row r="2121" spans="12:18" x14ac:dyDescent="0.2">
      <c r="L2121" s="15"/>
      <c r="M2121" s="15"/>
      <c r="N2121" s="15"/>
      <c r="O2121" s="15"/>
      <c r="P2121" s="15"/>
      <c r="Q2121" s="15"/>
      <c r="R2121" s="15"/>
    </row>
    <row r="2122" spans="12:18" x14ac:dyDescent="0.2">
      <c r="L2122" s="15"/>
      <c r="M2122" s="15"/>
      <c r="N2122" s="15"/>
      <c r="O2122" s="15"/>
      <c r="P2122" s="15"/>
      <c r="Q2122" s="15"/>
      <c r="R2122" s="15"/>
    </row>
    <row r="2123" spans="12:18" x14ac:dyDescent="0.2">
      <c r="L2123" s="15"/>
      <c r="M2123" s="15"/>
      <c r="N2123" s="15"/>
      <c r="O2123" s="15"/>
      <c r="P2123" s="15"/>
      <c r="Q2123" s="15"/>
      <c r="R2123" s="15"/>
    </row>
    <row r="2124" spans="12:18" x14ac:dyDescent="0.2">
      <c r="L2124" s="15"/>
      <c r="M2124" s="15"/>
      <c r="N2124" s="15"/>
      <c r="O2124" s="15"/>
      <c r="P2124" s="15"/>
      <c r="Q2124" s="15"/>
      <c r="R2124" s="15"/>
    </row>
    <row r="2125" spans="12:18" x14ac:dyDescent="0.2">
      <c r="L2125" s="15"/>
      <c r="M2125" s="15"/>
      <c r="N2125" s="15"/>
      <c r="O2125" s="15"/>
      <c r="P2125" s="15"/>
      <c r="Q2125" s="15"/>
      <c r="R2125" s="15"/>
    </row>
    <row r="2126" spans="12:18" x14ac:dyDescent="0.2">
      <c r="L2126" s="15"/>
      <c r="M2126" s="15"/>
      <c r="N2126" s="15"/>
      <c r="O2126" s="15"/>
      <c r="P2126" s="15"/>
      <c r="Q2126" s="15"/>
      <c r="R2126" s="15"/>
    </row>
    <row r="2127" spans="12:18" x14ac:dyDescent="0.2">
      <c r="L2127" s="15"/>
      <c r="M2127" s="15"/>
      <c r="N2127" s="15"/>
      <c r="O2127" s="15"/>
      <c r="P2127" s="15"/>
      <c r="Q2127" s="15"/>
      <c r="R2127" s="15"/>
    </row>
    <row r="2128" spans="12:18" x14ac:dyDescent="0.2">
      <c r="L2128" s="15"/>
      <c r="M2128" s="15"/>
      <c r="N2128" s="15"/>
      <c r="O2128" s="15"/>
      <c r="P2128" s="15"/>
      <c r="Q2128" s="15"/>
      <c r="R2128" s="15"/>
    </row>
    <row r="2129" spans="12:18" x14ac:dyDescent="0.2">
      <c r="L2129" s="15"/>
      <c r="M2129" s="15"/>
      <c r="N2129" s="15"/>
      <c r="O2129" s="15"/>
      <c r="P2129" s="15"/>
      <c r="Q2129" s="15"/>
      <c r="R2129" s="15"/>
    </row>
    <row r="2130" spans="12:18" x14ac:dyDescent="0.2">
      <c r="L2130" s="15"/>
      <c r="M2130" s="15"/>
      <c r="N2130" s="15"/>
      <c r="O2130" s="15"/>
      <c r="P2130" s="15"/>
      <c r="Q2130" s="15"/>
      <c r="R2130" s="15"/>
    </row>
    <row r="2131" spans="12:18" x14ac:dyDescent="0.2">
      <c r="L2131" s="15"/>
      <c r="M2131" s="15"/>
      <c r="N2131" s="15"/>
      <c r="O2131" s="15"/>
      <c r="P2131" s="15"/>
      <c r="Q2131" s="15"/>
      <c r="R2131" s="15"/>
    </row>
    <row r="2132" spans="12:18" x14ac:dyDescent="0.2">
      <c r="L2132" s="15"/>
      <c r="M2132" s="15"/>
      <c r="N2132" s="15"/>
      <c r="O2132" s="15"/>
      <c r="P2132" s="15"/>
      <c r="Q2132" s="15"/>
      <c r="R2132" s="15"/>
    </row>
    <row r="2133" spans="12:18" x14ac:dyDescent="0.2">
      <c r="L2133" s="15"/>
      <c r="M2133" s="15"/>
      <c r="N2133" s="15"/>
      <c r="O2133" s="15"/>
      <c r="P2133" s="15"/>
      <c r="Q2133" s="15"/>
      <c r="R2133" s="15"/>
    </row>
    <row r="2134" spans="12:18" x14ac:dyDescent="0.2">
      <c r="L2134" s="15"/>
      <c r="M2134" s="15"/>
      <c r="N2134" s="15"/>
      <c r="O2134" s="15"/>
      <c r="P2134" s="15"/>
      <c r="Q2134" s="15"/>
      <c r="R2134" s="15"/>
    </row>
    <row r="2135" spans="12:18" x14ac:dyDescent="0.2">
      <c r="L2135" s="15"/>
      <c r="M2135" s="15"/>
      <c r="N2135" s="15"/>
      <c r="O2135" s="15"/>
      <c r="P2135" s="15"/>
      <c r="Q2135" s="15"/>
      <c r="R2135" s="15"/>
    </row>
    <row r="2136" spans="12:18" x14ac:dyDescent="0.2">
      <c r="L2136" s="15"/>
      <c r="M2136" s="15"/>
      <c r="N2136" s="15"/>
      <c r="O2136" s="15"/>
      <c r="P2136" s="15"/>
      <c r="Q2136" s="15"/>
      <c r="R2136" s="15"/>
    </row>
    <row r="2137" spans="12:18" x14ac:dyDescent="0.2">
      <c r="L2137" s="15"/>
      <c r="M2137" s="15"/>
      <c r="N2137" s="15"/>
      <c r="O2137" s="15"/>
      <c r="P2137" s="15"/>
      <c r="Q2137" s="15"/>
      <c r="R2137" s="15"/>
    </row>
    <row r="2138" spans="12:18" x14ac:dyDescent="0.2">
      <c r="L2138" s="15"/>
      <c r="M2138" s="15"/>
      <c r="N2138" s="15"/>
      <c r="O2138" s="15"/>
      <c r="P2138" s="15"/>
      <c r="Q2138" s="15"/>
      <c r="R2138" s="15"/>
    </row>
    <row r="2139" spans="12:18" x14ac:dyDescent="0.2">
      <c r="L2139" s="15"/>
      <c r="M2139" s="15"/>
      <c r="N2139" s="15"/>
      <c r="O2139" s="15"/>
      <c r="P2139" s="15"/>
      <c r="Q2139" s="15"/>
      <c r="R2139" s="15"/>
    </row>
    <row r="2140" spans="12:18" x14ac:dyDescent="0.2">
      <c r="L2140" s="15"/>
      <c r="M2140" s="15"/>
      <c r="N2140" s="15"/>
      <c r="O2140" s="15"/>
      <c r="P2140" s="15"/>
      <c r="Q2140" s="15"/>
      <c r="R2140" s="15"/>
    </row>
    <row r="2141" spans="12:18" x14ac:dyDescent="0.2">
      <c r="L2141" s="15"/>
      <c r="M2141" s="15"/>
      <c r="N2141" s="15"/>
      <c r="O2141" s="15"/>
      <c r="P2141" s="15"/>
      <c r="Q2141" s="15"/>
      <c r="R2141" s="15"/>
    </row>
    <row r="2142" spans="12:18" x14ac:dyDescent="0.2">
      <c r="L2142" s="15"/>
      <c r="M2142" s="15"/>
      <c r="N2142" s="15"/>
      <c r="O2142" s="15"/>
      <c r="P2142" s="15"/>
      <c r="Q2142" s="15"/>
      <c r="R2142" s="15"/>
    </row>
    <row r="2143" spans="12:18" x14ac:dyDescent="0.2">
      <c r="L2143" s="15"/>
      <c r="M2143" s="15"/>
      <c r="N2143" s="15"/>
      <c r="O2143" s="15"/>
      <c r="P2143" s="15"/>
      <c r="Q2143" s="15"/>
      <c r="R2143" s="15"/>
    </row>
    <row r="2144" spans="12:18" x14ac:dyDescent="0.2">
      <c r="L2144" s="15"/>
      <c r="M2144" s="15"/>
      <c r="N2144" s="15"/>
      <c r="O2144" s="15"/>
      <c r="P2144" s="15"/>
      <c r="Q2144" s="15"/>
      <c r="R2144" s="15"/>
    </row>
    <row r="2145" spans="12:18" x14ac:dyDescent="0.2">
      <c r="L2145" s="15"/>
      <c r="M2145" s="15"/>
      <c r="N2145" s="15"/>
      <c r="O2145" s="15"/>
      <c r="P2145" s="15"/>
      <c r="Q2145" s="15"/>
      <c r="R2145" s="15"/>
    </row>
    <row r="2146" spans="12:18" x14ac:dyDescent="0.2">
      <c r="L2146" s="15"/>
      <c r="M2146" s="15"/>
      <c r="N2146" s="15"/>
      <c r="O2146" s="15"/>
      <c r="P2146" s="15"/>
      <c r="Q2146" s="15"/>
      <c r="R2146" s="15"/>
    </row>
    <row r="2147" spans="12:18" x14ac:dyDescent="0.2">
      <c r="L2147" s="15"/>
      <c r="M2147" s="15"/>
      <c r="N2147" s="15"/>
      <c r="O2147" s="15"/>
      <c r="P2147" s="15"/>
      <c r="Q2147" s="15"/>
      <c r="R2147" s="15"/>
    </row>
    <row r="2148" spans="12:18" x14ac:dyDescent="0.2">
      <c r="L2148" s="15"/>
      <c r="M2148" s="15"/>
      <c r="N2148" s="15"/>
      <c r="O2148" s="15"/>
      <c r="P2148" s="15"/>
      <c r="Q2148" s="15"/>
      <c r="R2148" s="15"/>
    </row>
    <row r="2149" spans="12:18" x14ac:dyDescent="0.2">
      <c r="L2149" s="15"/>
      <c r="M2149" s="15"/>
      <c r="N2149" s="15"/>
      <c r="O2149" s="15"/>
      <c r="P2149" s="15"/>
      <c r="Q2149" s="15"/>
      <c r="R2149" s="15"/>
    </row>
    <row r="2150" spans="12:18" x14ac:dyDescent="0.2">
      <c r="L2150" s="15"/>
      <c r="M2150" s="15"/>
      <c r="N2150" s="15"/>
      <c r="O2150" s="15"/>
      <c r="P2150" s="15"/>
      <c r="Q2150" s="15"/>
      <c r="R2150" s="15"/>
    </row>
    <row r="2151" spans="12:18" x14ac:dyDescent="0.2">
      <c r="L2151" s="15"/>
      <c r="M2151" s="15"/>
      <c r="N2151" s="15"/>
      <c r="O2151" s="15"/>
      <c r="P2151" s="15"/>
      <c r="Q2151" s="15"/>
      <c r="R2151" s="15"/>
    </row>
    <row r="2152" spans="12:18" x14ac:dyDescent="0.2">
      <c r="L2152" s="15"/>
      <c r="M2152" s="15"/>
      <c r="N2152" s="15"/>
      <c r="O2152" s="15"/>
      <c r="P2152" s="15"/>
      <c r="Q2152" s="15"/>
      <c r="R2152" s="15"/>
    </row>
    <row r="2153" spans="12:18" x14ac:dyDescent="0.2">
      <c r="L2153" s="15"/>
      <c r="M2153" s="15"/>
      <c r="N2153" s="15"/>
      <c r="O2153" s="15"/>
      <c r="P2153" s="15"/>
      <c r="Q2153" s="15"/>
      <c r="R2153" s="15"/>
    </row>
    <row r="2154" spans="12:18" x14ac:dyDescent="0.2">
      <c r="L2154" s="15"/>
      <c r="M2154" s="15"/>
      <c r="N2154" s="15"/>
      <c r="O2154" s="15"/>
      <c r="P2154" s="15"/>
      <c r="Q2154" s="15"/>
      <c r="R2154" s="15"/>
    </row>
    <row r="2155" spans="12:18" x14ac:dyDescent="0.2">
      <c r="L2155" s="15"/>
      <c r="M2155" s="15"/>
      <c r="N2155" s="15"/>
      <c r="O2155" s="15"/>
      <c r="P2155" s="15"/>
      <c r="Q2155" s="15"/>
      <c r="R2155" s="15"/>
    </row>
    <row r="2156" spans="12:18" x14ac:dyDescent="0.2">
      <c r="L2156" s="15"/>
      <c r="M2156" s="15"/>
      <c r="N2156" s="15"/>
      <c r="O2156" s="15"/>
      <c r="P2156" s="15"/>
      <c r="Q2156" s="15"/>
      <c r="R2156" s="15"/>
    </row>
    <row r="2157" spans="12:18" x14ac:dyDescent="0.2">
      <c r="L2157" s="15"/>
      <c r="M2157" s="15"/>
      <c r="N2157" s="15"/>
      <c r="O2157" s="15"/>
      <c r="P2157" s="15"/>
      <c r="Q2157" s="15"/>
      <c r="R2157" s="15"/>
    </row>
    <row r="2158" spans="12:18" x14ac:dyDescent="0.2">
      <c r="L2158" s="15"/>
      <c r="M2158" s="15"/>
      <c r="N2158" s="15"/>
      <c r="O2158" s="15"/>
      <c r="P2158" s="15"/>
      <c r="Q2158" s="15"/>
      <c r="R2158" s="15"/>
    </row>
    <row r="2159" spans="12:18" x14ac:dyDescent="0.2">
      <c r="L2159" s="15"/>
      <c r="M2159" s="15"/>
      <c r="N2159" s="15"/>
      <c r="O2159" s="15"/>
      <c r="P2159" s="15"/>
      <c r="Q2159" s="15"/>
      <c r="R2159" s="15"/>
    </row>
    <row r="2160" spans="12:18" x14ac:dyDescent="0.2">
      <c r="L2160" s="15"/>
      <c r="M2160" s="15"/>
      <c r="N2160" s="15"/>
      <c r="O2160" s="15"/>
      <c r="P2160" s="15"/>
      <c r="Q2160" s="15"/>
      <c r="R2160" s="15"/>
    </row>
    <row r="2161" spans="12:18" x14ac:dyDescent="0.2">
      <c r="L2161" s="15"/>
      <c r="M2161" s="15"/>
      <c r="N2161" s="15"/>
      <c r="O2161" s="15"/>
      <c r="P2161" s="15"/>
      <c r="Q2161" s="15"/>
      <c r="R2161" s="15"/>
    </row>
    <row r="2162" spans="12:18" x14ac:dyDescent="0.2">
      <c r="L2162" s="15"/>
      <c r="M2162" s="15"/>
      <c r="N2162" s="15"/>
      <c r="O2162" s="15"/>
      <c r="P2162" s="15"/>
      <c r="Q2162" s="15"/>
      <c r="R2162" s="15"/>
    </row>
    <row r="2163" spans="12:18" x14ac:dyDescent="0.2">
      <c r="L2163" s="15"/>
      <c r="M2163" s="15"/>
      <c r="N2163" s="15"/>
      <c r="O2163" s="15"/>
      <c r="P2163" s="15"/>
      <c r="Q2163" s="15"/>
      <c r="R2163" s="15"/>
    </row>
    <row r="2164" spans="12:18" x14ac:dyDescent="0.2">
      <c r="L2164" s="15"/>
      <c r="M2164" s="15"/>
      <c r="N2164" s="15"/>
      <c r="O2164" s="15"/>
      <c r="P2164" s="15"/>
      <c r="Q2164" s="15"/>
      <c r="R2164" s="15"/>
    </row>
    <row r="2165" spans="12:18" x14ac:dyDescent="0.2">
      <c r="L2165" s="15"/>
      <c r="M2165" s="15"/>
      <c r="N2165" s="15"/>
      <c r="O2165" s="15"/>
      <c r="P2165" s="15"/>
      <c r="Q2165" s="15"/>
      <c r="R2165" s="15"/>
    </row>
    <row r="2166" spans="12:18" x14ac:dyDescent="0.2">
      <c r="L2166" s="15"/>
      <c r="M2166" s="15"/>
      <c r="N2166" s="15"/>
      <c r="O2166" s="15"/>
      <c r="P2166" s="15"/>
      <c r="Q2166" s="15"/>
      <c r="R2166" s="15"/>
    </row>
    <row r="2167" spans="12:18" x14ac:dyDescent="0.2">
      <c r="L2167" s="15"/>
      <c r="M2167" s="15"/>
      <c r="N2167" s="15"/>
      <c r="O2167" s="15"/>
      <c r="P2167" s="15"/>
      <c r="Q2167" s="15"/>
      <c r="R2167" s="15"/>
    </row>
    <row r="2168" spans="12:18" x14ac:dyDescent="0.2">
      <c r="L2168" s="15"/>
      <c r="M2168" s="15"/>
      <c r="N2168" s="15"/>
      <c r="O2168" s="15"/>
      <c r="P2168" s="15"/>
      <c r="Q2168" s="15"/>
      <c r="R2168" s="15"/>
    </row>
    <row r="2169" spans="12:18" x14ac:dyDescent="0.2">
      <c r="L2169" s="15"/>
      <c r="M2169" s="15"/>
      <c r="N2169" s="15"/>
      <c r="O2169" s="15"/>
      <c r="P2169" s="15"/>
      <c r="Q2169" s="15"/>
      <c r="R2169" s="15"/>
    </row>
    <row r="2170" spans="12:18" x14ac:dyDescent="0.2">
      <c r="L2170" s="15"/>
      <c r="M2170" s="15"/>
      <c r="N2170" s="15"/>
      <c r="O2170" s="15"/>
      <c r="P2170" s="15"/>
      <c r="Q2170" s="15"/>
      <c r="R2170" s="15"/>
    </row>
    <row r="2171" spans="12:18" x14ac:dyDescent="0.2">
      <c r="L2171" s="15"/>
      <c r="M2171" s="15"/>
      <c r="N2171" s="15"/>
      <c r="O2171" s="15"/>
      <c r="P2171" s="15"/>
      <c r="Q2171" s="15"/>
      <c r="R2171" s="15"/>
    </row>
    <row r="2172" spans="12:18" x14ac:dyDescent="0.2">
      <c r="L2172" s="15"/>
      <c r="M2172" s="15"/>
      <c r="N2172" s="15"/>
      <c r="O2172" s="15"/>
      <c r="P2172" s="15"/>
      <c r="Q2172" s="15"/>
      <c r="R2172" s="15"/>
    </row>
    <row r="2173" spans="12:18" x14ac:dyDescent="0.2">
      <c r="L2173" s="15"/>
      <c r="M2173" s="15"/>
      <c r="N2173" s="15"/>
      <c r="O2173" s="15"/>
      <c r="P2173" s="15"/>
      <c r="Q2173" s="15"/>
      <c r="R2173" s="15"/>
    </row>
    <row r="2174" spans="12:18" x14ac:dyDescent="0.2">
      <c r="L2174" s="15"/>
      <c r="M2174" s="15"/>
      <c r="N2174" s="15"/>
      <c r="O2174" s="15"/>
      <c r="P2174" s="15"/>
      <c r="Q2174" s="15"/>
      <c r="R2174" s="15"/>
    </row>
    <row r="2175" spans="12:18" x14ac:dyDescent="0.2">
      <c r="L2175" s="15"/>
      <c r="M2175" s="15"/>
      <c r="N2175" s="15"/>
      <c r="O2175" s="15"/>
      <c r="P2175" s="15"/>
      <c r="Q2175" s="15"/>
      <c r="R2175" s="15"/>
    </row>
    <row r="2176" spans="12:18" x14ac:dyDescent="0.2">
      <c r="L2176" s="15"/>
      <c r="M2176" s="15"/>
      <c r="N2176" s="15"/>
      <c r="O2176" s="15"/>
      <c r="P2176" s="15"/>
      <c r="Q2176" s="15"/>
      <c r="R2176" s="15"/>
    </row>
    <row r="2177" spans="12:18" x14ac:dyDescent="0.2">
      <c r="L2177" s="15"/>
      <c r="M2177" s="15"/>
      <c r="N2177" s="15"/>
      <c r="O2177" s="15"/>
      <c r="P2177" s="15"/>
      <c r="Q2177" s="15"/>
      <c r="R2177" s="15"/>
    </row>
    <row r="2178" spans="12:18" x14ac:dyDescent="0.2">
      <c r="L2178" s="15"/>
      <c r="M2178" s="15"/>
      <c r="N2178" s="15"/>
      <c r="O2178" s="15"/>
      <c r="P2178" s="15"/>
      <c r="Q2178" s="15"/>
      <c r="R2178" s="15"/>
    </row>
    <row r="2179" spans="12:18" x14ac:dyDescent="0.2">
      <c r="L2179" s="15"/>
      <c r="M2179" s="15"/>
      <c r="N2179" s="15"/>
      <c r="O2179" s="15"/>
      <c r="P2179" s="15"/>
      <c r="Q2179" s="15"/>
      <c r="R2179" s="15"/>
    </row>
    <row r="2180" spans="12:18" x14ac:dyDescent="0.2">
      <c r="L2180" s="15"/>
      <c r="M2180" s="15"/>
      <c r="N2180" s="15"/>
      <c r="O2180" s="15"/>
      <c r="P2180" s="15"/>
      <c r="Q2180" s="15"/>
      <c r="R2180" s="15"/>
    </row>
    <row r="2181" spans="12:18" x14ac:dyDescent="0.2">
      <c r="L2181" s="15"/>
      <c r="M2181" s="15"/>
      <c r="N2181" s="15"/>
      <c r="O2181" s="15"/>
      <c r="P2181" s="15"/>
      <c r="Q2181" s="15"/>
      <c r="R2181" s="15"/>
    </row>
    <row r="2182" spans="12:18" x14ac:dyDescent="0.2">
      <c r="L2182" s="15"/>
      <c r="M2182" s="15"/>
      <c r="N2182" s="15"/>
      <c r="O2182" s="15"/>
      <c r="P2182" s="15"/>
      <c r="Q2182" s="15"/>
      <c r="R2182" s="15"/>
    </row>
    <row r="2183" spans="12:18" x14ac:dyDescent="0.2">
      <c r="L2183" s="15"/>
      <c r="M2183" s="15"/>
      <c r="N2183" s="15"/>
      <c r="O2183" s="15"/>
      <c r="P2183" s="15"/>
      <c r="Q2183" s="15"/>
      <c r="R2183" s="15"/>
    </row>
    <row r="2184" spans="12:18" x14ac:dyDescent="0.2">
      <c r="L2184" s="15"/>
      <c r="M2184" s="15"/>
      <c r="N2184" s="15"/>
      <c r="O2184" s="15"/>
      <c r="P2184" s="15"/>
      <c r="Q2184" s="15"/>
      <c r="R2184" s="15"/>
    </row>
    <row r="2185" spans="12:18" x14ac:dyDescent="0.2">
      <c r="L2185" s="15"/>
      <c r="M2185" s="15"/>
      <c r="N2185" s="15"/>
      <c r="O2185" s="15"/>
      <c r="P2185" s="15"/>
      <c r="Q2185" s="15"/>
      <c r="R2185" s="15"/>
    </row>
    <row r="2186" spans="12:18" x14ac:dyDescent="0.2">
      <c r="L2186" s="15"/>
      <c r="M2186" s="15"/>
      <c r="N2186" s="15"/>
      <c r="O2186" s="15"/>
      <c r="P2186" s="15"/>
      <c r="Q2186" s="15"/>
      <c r="R2186" s="15"/>
    </row>
    <row r="2187" spans="12:18" x14ac:dyDescent="0.2">
      <c r="L2187" s="15"/>
      <c r="M2187" s="15"/>
      <c r="N2187" s="15"/>
      <c r="O2187" s="15"/>
      <c r="P2187" s="15"/>
      <c r="Q2187" s="15"/>
      <c r="R2187" s="15"/>
    </row>
    <row r="2188" spans="12:18" x14ac:dyDescent="0.2">
      <c r="L2188" s="15"/>
      <c r="M2188" s="15"/>
      <c r="N2188" s="15"/>
      <c r="O2188" s="15"/>
      <c r="P2188" s="15"/>
      <c r="Q2188" s="15"/>
      <c r="R2188" s="15"/>
    </row>
    <row r="2189" spans="12:18" x14ac:dyDescent="0.2">
      <c r="L2189" s="15"/>
      <c r="M2189" s="15"/>
      <c r="N2189" s="15"/>
      <c r="O2189" s="15"/>
      <c r="P2189" s="15"/>
      <c r="Q2189" s="15"/>
      <c r="R2189" s="15"/>
    </row>
    <row r="2190" spans="12:18" x14ac:dyDescent="0.2">
      <c r="L2190" s="15"/>
      <c r="M2190" s="15"/>
      <c r="N2190" s="15"/>
      <c r="O2190" s="15"/>
      <c r="P2190" s="15"/>
      <c r="Q2190" s="15"/>
      <c r="R2190" s="15"/>
    </row>
    <row r="2191" spans="12:18" x14ac:dyDescent="0.2">
      <c r="L2191" s="15"/>
      <c r="M2191" s="15"/>
      <c r="N2191" s="15"/>
      <c r="O2191" s="15"/>
      <c r="P2191" s="15"/>
      <c r="Q2191" s="15"/>
      <c r="R2191" s="15"/>
    </row>
    <row r="2192" spans="12:18" x14ac:dyDescent="0.2">
      <c r="L2192" s="15"/>
      <c r="M2192" s="15"/>
      <c r="N2192" s="15"/>
      <c r="O2192" s="15"/>
      <c r="P2192" s="15"/>
      <c r="Q2192" s="15"/>
      <c r="R2192" s="15"/>
    </row>
    <row r="2193" spans="12:18" x14ac:dyDescent="0.2">
      <c r="L2193" s="15"/>
      <c r="M2193" s="15"/>
      <c r="N2193" s="15"/>
      <c r="O2193" s="15"/>
      <c r="P2193" s="15"/>
      <c r="Q2193" s="15"/>
      <c r="R2193" s="15"/>
    </row>
    <row r="2194" spans="12:18" x14ac:dyDescent="0.2">
      <c r="L2194" s="15"/>
      <c r="M2194" s="15"/>
      <c r="N2194" s="15"/>
      <c r="O2194" s="15"/>
      <c r="P2194" s="15"/>
      <c r="Q2194" s="15"/>
      <c r="R2194" s="15"/>
    </row>
    <row r="2195" spans="12:18" x14ac:dyDescent="0.2">
      <c r="L2195" s="15"/>
      <c r="M2195" s="15"/>
      <c r="N2195" s="15"/>
      <c r="O2195" s="15"/>
      <c r="P2195" s="15"/>
      <c r="Q2195" s="15"/>
      <c r="R2195" s="15"/>
    </row>
    <row r="2196" spans="12:18" x14ac:dyDescent="0.2">
      <c r="L2196" s="15"/>
      <c r="M2196" s="15"/>
      <c r="N2196" s="15"/>
      <c r="O2196" s="15"/>
      <c r="P2196" s="15"/>
      <c r="Q2196" s="15"/>
      <c r="R2196" s="15"/>
    </row>
    <row r="2197" spans="12:18" x14ac:dyDescent="0.2">
      <c r="L2197" s="15"/>
      <c r="M2197" s="15"/>
      <c r="N2197" s="15"/>
      <c r="O2197" s="15"/>
      <c r="P2197" s="15"/>
      <c r="Q2197" s="15"/>
      <c r="R2197" s="15"/>
    </row>
    <row r="2198" spans="12:18" x14ac:dyDescent="0.2">
      <c r="L2198" s="15"/>
      <c r="M2198" s="15"/>
      <c r="N2198" s="15"/>
      <c r="O2198" s="15"/>
      <c r="P2198" s="15"/>
      <c r="Q2198" s="15"/>
      <c r="R2198" s="15"/>
    </row>
    <row r="2199" spans="12:18" x14ac:dyDescent="0.2">
      <c r="L2199" s="15"/>
      <c r="M2199" s="15"/>
      <c r="N2199" s="15"/>
      <c r="O2199" s="15"/>
      <c r="P2199" s="15"/>
      <c r="Q2199" s="15"/>
      <c r="R2199" s="15"/>
    </row>
    <row r="2200" spans="12:18" x14ac:dyDescent="0.2">
      <c r="L2200" s="15"/>
      <c r="M2200" s="15"/>
      <c r="N2200" s="15"/>
      <c r="O2200" s="15"/>
      <c r="P2200" s="15"/>
      <c r="Q2200" s="15"/>
      <c r="R2200" s="15"/>
    </row>
    <row r="2201" spans="12:18" x14ac:dyDescent="0.2">
      <c r="L2201" s="15"/>
      <c r="M2201" s="15"/>
      <c r="N2201" s="15"/>
      <c r="O2201" s="15"/>
      <c r="P2201" s="15"/>
      <c r="Q2201" s="15"/>
      <c r="R2201" s="15"/>
    </row>
    <row r="2202" spans="12:18" x14ac:dyDescent="0.2">
      <c r="L2202" s="15"/>
      <c r="M2202" s="15"/>
      <c r="N2202" s="15"/>
      <c r="O2202" s="15"/>
      <c r="P2202" s="15"/>
      <c r="Q2202" s="15"/>
      <c r="R2202" s="15"/>
    </row>
    <row r="2203" spans="12:18" x14ac:dyDescent="0.2">
      <c r="L2203" s="15"/>
      <c r="M2203" s="15"/>
      <c r="N2203" s="15"/>
      <c r="O2203" s="15"/>
      <c r="P2203" s="15"/>
      <c r="Q2203" s="15"/>
      <c r="R2203" s="15"/>
    </row>
    <row r="2204" spans="12:18" x14ac:dyDescent="0.2">
      <c r="L2204" s="15"/>
      <c r="M2204" s="15"/>
      <c r="N2204" s="15"/>
      <c r="O2204" s="15"/>
      <c r="P2204" s="15"/>
      <c r="Q2204" s="15"/>
      <c r="R2204" s="15"/>
    </row>
    <row r="2205" spans="12:18" x14ac:dyDescent="0.2">
      <c r="L2205" s="15"/>
      <c r="M2205" s="15"/>
      <c r="N2205" s="15"/>
      <c r="O2205" s="15"/>
      <c r="P2205" s="15"/>
      <c r="Q2205" s="15"/>
      <c r="R2205" s="15"/>
    </row>
    <row r="2206" spans="12:18" x14ac:dyDescent="0.2">
      <c r="L2206" s="15"/>
      <c r="M2206" s="15"/>
      <c r="N2206" s="15"/>
      <c r="O2206" s="15"/>
      <c r="P2206" s="15"/>
      <c r="Q2206" s="15"/>
      <c r="R2206" s="15"/>
    </row>
    <row r="2207" spans="12:18" x14ac:dyDescent="0.2">
      <c r="L2207" s="15"/>
      <c r="M2207" s="15"/>
      <c r="N2207" s="15"/>
      <c r="O2207" s="15"/>
      <c r="P2207" s="15"/>
      <c r="Q2207" s="15"/>
      <c r="R2207" s="15"/>
    </row>
    <row r="2208" spans="12:18" x14ac:dyDescent="0.2">
      <c r="L2208" s="15"/>
      <c r="M2208" s="15"/>
      <c r="N2208" s="15"/>
      <c r="O2208" s="15"/>
      <c r="P2208" s="15"/>
      <c r="Q2208" s="15"/>
      <c r="R2208" s="15"/>
    </row>
    <row r="2209" spans="12:18" x14ac:dyDescent="0.2">
      <c r="L2209" s="15"/>
      <c r="M2209" s="15"/>
      <c r="N2209" s="15"/>
      <c r="O2209" s="15"/>
      <c r="P2209" s="15"/>
      <c r="Q2209" s="15"/>
      <c r="R2209" s="15"/>
    </row>
    <row r="2210" spans="12:18" x14ac:dyDescent="0.2">
      <c r="L2210" s="15"/>
      <c r="M2210" s="15"/>
      <c r="N2210" s="15"/>
      <c r="O2210" s="15"/>
      <c r="P2210" s="15"/>
      <c r="Q2210" s="15"/>
      <c r="R2210" s="15"/>
    </row>
    <row r="2211" spans="12:18" x14ac:dyDescent="0.2">
      <c r="L2211" s="15"/>
      <c r="M2211" s="15"/>
      <c r="N2211" s="15"/>
      <c r="O2211" s="15"/>
      <c r="P2211" s="15"/>
      <c r="Q2211" s="15"/>
      <c r="R2211" s="15"/>
    </row>
    <row r="2212" spans="12:18" x14ac:dyDescent="0.2">
      <c r="L2212" s="15"/>
      <c r="M2212" s="15"/>
      <c r="N2212" s="15"/>
      <c r="O2212" s="15"/>
      <c r="P2212" s="15"/>
      <c r="Q2212" s="15"/>
      <c r="R2212" s="15"/>
    </row>
    <row r="2213" spans="12:18" x14ac:dyDescent="0.2">
      <c r="L2213" s="15"/>
      <c r="M2213" s="15"/>
      <c r="N2213" s="15"/>
      <c r="O2213" s="15"/>
      <c r="P2213" s="15"/>
      <c r="Q2213" s="15"/>
      <c r="R2213" s="15"/>
    </row>
    <row r="2214" spans="12:18" x14ac:dyDescent="0.2">
      <c r="L2214" s="15"/>
      <c r="M2214" s="15"/>
      <c r="N2214" s="15"/>
      <c r="O2214" s="15"/>
      <c r="P2214" s="15"/>
      <c r="Q2214" s="15"/>
      <c r="R2214" s="15"/>
    </row>
    <row r="2215" spans="12:18" x14ac:dyDescent="0.2">
      <c r="L2215" s="15"/>
      <c r="M2215" s="15"/>
      <c r="N2215" s="15"/>
      <c r="O2215" s="15"/>
      <c r="P2215" s="15"/>
      <c r="Q2215" s="15"/>
      <c r="R2215" s="15"/>
    </row>
    <row r="2216" spans="12:18" x14ac:dyDescent="0.2">
      <c r="L2216" s="15"/>
      <c r="M2216" s="15"/>
      <c r="N2216" s="15"/>
      <c r="O2216" s="15"/>
      <c r="P2216" s="15"/>
      <c r="Q2216" s="15"/>
      <c r="R2216" s="15"/>
    </row>
    <row r="2217" spans="12:18" x14ac:dyDescent="0.2">
      <c r="L2217" s="15"/>
      <c r="M2217" s="15"/>
      <c r="N2217" s="15"/>
      <c r="O2217" s="15"/>
      <c r="P2217" s="15"/>
      <c r="Q2217" s="15"/>
      <c r="R2217" s="15"/>
    </row>
    <row r="2218" spans="12:18" x14ac:dyDescent="0.2">
      <c r="L2218" s="15"/>
      <c r="M2218" s="15"/>
      <c r="N2218" s="15"/>
      <c r="O2218" s="15"/>
      <c r="P2218" s="15"/>
      <c r="Q2218" s="15"/>
      <c r="R2218" s="15"/>
    </row>
    <row r="2219" spans="12:18" x14ac:dyDescent="0.2">
      <c r="L2219" s="15"/>
      <c r="M2219" s="15"/>
      <c r="N2219" s="15"/>
      <c r="O2219" s="15"/>
      <c r="P2219" s="15"/>
      <c r="Q2219" s="15"/>
      <c r="R2219" s="15"/>
    </row>
    <row r="2220" spans="12:18" x14ac:dyDescent="0.2">
      <c r="L2220" s="15"/>
      <c r="M2220" s="15"/>
      <c r="N2220" s="15"/>
      <c r="O2220" s="15"/>
      <c r="P2220" s="15"/>
      <c r="Q2220" s="15"/>
      <c r="R2220" s="15"/>
    </row>
    <row r="2221" spans="12:18" x14ac:dyDescent="0.2">
      <c r="L2221" s="15"/>
      <c r="M2221" s="15"/>
      <c r="N2221" s="15"/>
      <c r="O2221" s="15"/>
      <c r="P2221" s="15"/>
      <c r="Q2221" s="15"/>
      <c r="R2221" s="15"/>
    </row>
    <row r="2222" spans="12:18" x14ac:dyDescent="0.2">
      <c r="L2222" s="15"/>
      <c r="M2222" s="15"/>
      <c r="N2222" s="15"/>
      <c r="O2222" s="15"/>
      <c r="P2222" s="15"/>
      <c r="Q2222" s="15"/>
      <c r="R2222" s="15"/>
    </row>
    <row r="2223" spans="12:18" x14ac:dyDescent="0.2">
      <c r="L2223" s="15"/>
      <c r="M2223" s="15"/>
      <c r="N2223" s="15"/>
      <c r="O2223" s="15"/>
      <c r="P2223" s="15"/>
      <c r="Q2223" s="15"/>
      <c r="R2223" s="15"/>
    </row>
    <row r="2224" spans="12:18" x14ac:dyDescent="0.2">
      <c r="L2224" s="15"/>
      <c r="M2224" s="15"/>
      <c r="N2224" s="15"/>
      <c r="O2224" s="15"/>
      <c r="P2224" s="15"/>
      <c r="Q2224" s="15"/>
      <c r="R2224" s="15"/>
    </row>
    <row r="2225" spans="12:18" x14ac:dyDescent="0.2">
      <c r="L2225" s="15"/>
      <c r="M2225" s="15"/>
      <c r="N2225" s="15"/>
      <c r="O2225" s="15"/>
      <c r="P2225" s="15"/>
      <c r="Q2225" s="15"/>
      <c r="R2225" s="15"/>
    </row>
    <row r="2226" spans="12:18" x14ac:dyDescent="0.2">
      <c r="L2226" s="15"/>
      <c r="M2226" s="15"/>
      <c r="N2226" s="15"/>
      <c r="O2226" s="15"/>
      <c r="P2226" s="15"/>
      <c r="Q2226" s="15"/>
      <c r="R2226" s="15"/>
    </row>
    <row r="2227" spans="12:18" x14ac:dyDescent="0.2">
      <c r="L2227" s="15"/>
      <c r="M2227" s="15"/>
      <c r="N2227" s="15"/>
      <c r="O2227" s="15"/>
      <c r="P2227" s="15"/>
      <c r="Q2227" s="15"/>
      <c r="R2227" s="15"/>
    </row>
    <row r="2228" spans="12:18" x14ac:dyDescent="0.2">
      <c r="L2228" s="15"/>
      <c r="M2228" s="15"/>
      <c r="N2228" s="15"/>
      <c r="O2228" s="15"/>
      <c r="P2228" s="15"/>
      <c r="Q2228" s="15"/>
      <c r="R2228" s="15"/>
    </row>
    <row r="2229" spans="12:18" x14ac:dyDescent="0.2">
      <c r="L2229" s="15"/>
      <c r="M2229" s="15"/>
      <c r="N2229" s="15"/>
      <c r="O2229" s="15"/>
      <c r="P2229" s="15"/>
      <c r="Q2229" s="15"/>
      <c r="R2229" s="15"/>
    </row>
    <row r="2230" spans="12:18" x14ac:dyDescent="0.2">
      <c r="L2230" s="15"/>
      <c r="M2230" s="15"/>
      <c r="N2230" s="15"/>
      <c r="O2230" s="15"/>
      <c r="P2230" s="15"/>
      <c r="Q2230" s="15"/>
      <c r="R2230" s="15"/>
    </row>
    <row r="2231" spans="12:18" x14ac:dyDescent="0.2">
      <c r="L2231" s="15"/>
      <c r="M2231" s="15"/>
      <c r="N2231" s="15"/>
      <c r="O2231" s="15"/>
      <c r="P2231" s="15"/>
      <c r="Q2231" s="15"/>
      <c r="R2231" s="15"/>
    </row>
    <row r="2232" spans="12:18" x14ac:dyDescent="0.2">
      <c r="L2232" s="15"/>
      <c r="M2232" s="15"/>
      <c r="N2232" s="15"/>
      <c r="O2232" s="15"/>
      <c r="P2232" s="15"/>
      <c r="Q2232" s="15"/>
      <c r="R2232" s="15"/>
    </row>
    <row r="2233" spans="12:18" x14ac:dyDescent="0.2">
      <c r="L2233" s="15"/>
      <c r="M2233" s="15"/>
      <c r="N2233" s="15"/>
      <c r="O2233" s="15"/>
      <c r="P2233" s="15"/>
      <c r="Q2233" s="15"/>
      <c r="R2233" s="15"/>
    </row>
    <row r="2234" spans="12:18" x14ac:dyDescent="0.2">
      <c r="L2234" s="15"/>
      <c r="M2234" s="15"/>
      <c r="N2234" s="15"/>
      <c r="O2234" s="15"/>
      <c r="P2234" s="15"/>
      <c r="Q2234" s="15"/>
      <c r="R2234" s="15"/>
    </row>
    <row r="2235" spans="12:18" x14ac:dyDescent="0.2">
      <c r="L2235" s="15"/>
      <c r="M2235" s="15"/>
      <c r="N2235" s="15"/>
      <c r="O2235" s="15"/>
      <c r="P2235" s="15"/>
      <c r="Q2235" s="15"/>
      <c r="R2235" s="15"/>
    </row>
    <row r="2236" spans="12:18" x14ac:dyDescent="0.2">
      <c r="L2236" s="15"/>
      <c r="M2236" s="15"/>
      <c r="N2236" s="15"/>
      <c r="O2236" s="15"/>
      <c r="P2236" s="15"/>
      <c r="Q2236" s="15"/>
      <c r="R2236" s="15"/>
    </row>
    <row r="2237" spans="12:18" x14ac:dyDescent="0.2">
      <c r="L2237" s="15"/>
      <c r="M2237" s="15"/>
      <c r="N2237" s="15"/>
      <c r="O2237" s="15"/>
      <c r="P2237" s="15"/>
      <c r="Q2237" s="15"/>
      <c r="R2237" s="15"/>
    </row>
    <row r="2238" spans="12:18" x14ac:dyDescent="0.2">
      <c r="L2238" s="15"/>
      <c r="M2238" s="15"/>
      <c r="N2238" s="15"/>
      <c r="O2238" s="15"/>
      <c r="P2238" s="15"/>
      <c r="Q2238" s="15"/>
      <c r="R2238" s="15"/>
    </row>
    <row r="2239" spans="12:18" x14ac:dyDescent="0.2">
      <c r="L2239" s="15"/>
      <c r="M2239" s="15"/>
      <c r="N2239" s="15"/>
      <c r="O2239" s="15"/>
      <c r="P2239" s="15"/>
      <c r="Q2239" s="15"/>
      <c r="R2239" s="15"/>
    </row>
    <row r="2240" spans="12:18" x14ac:dyDescent="0.2">
      <c r="L2240" s="15"/>
      <c r="M2240" s="15"/>
      <c r="N2240" s="15"/>
      <c r="O2240" s="15"/>
      <c r="P2240" s="15"/>
      <c r="Q2240" s="15"/>
      <c r="R2240" s="15"/>
    </row>
    <row r="2241" spans="12:18" x14ac:dyDescent="0.2">
      <c r="L2241" s="15"/>
      <c r="M2241" s="15"/>
      <c r="N2241" s="15"/>
      <c r="O2241" s="15"/>
      <c r="P2241" s="15"/>
      <c r="Q2241" s="15"/>
      <c r="R2241" s="15"/>
    </row>
    <row r="2242" spans="12:18" x14ac:dyDescent="0.2">
      <c r="L2242" s="15"/>
      <c r="M2242" s="15"/>
      <c r="N2242" s="15"/>
      <c r="O2242" s="15"/>
      <c r="P2242" s="15"/>
      <c r="Q2242" s="15"/>
      <c r="R2242" s="15"/>
    </row>
    <row r="2243" spans="12:18" x14ac:dyDescent="0.2">
      <c r="L2243" s="15"/>
      <c r="M2243" s="15"/>
      <c r="N2243" s="15"/>
      <c r="O2243" s="15"/>
      <c r="P2243" s="15"/>
      <c r="Q2243" s="15"/>
      <c r="R2243" s="15"/>
    </row>
    <row r="2244" spans="12:18" x14ac:dyDescent="0.2">
      <c r="L2244" s="15"/>
      <c r="M2244" s="15"/>
      <c r="N2244" s="15"/>
      <c r="O2244" s="15"/>
      <c r="P2244" s="15"/>
      <c r="Q2244" s="15"/>
      <c r="R2244" s="15"/>
    </row>
    <row r="2245" spans="12:18" x14ac:dyDescent="0.2">
      <c r="L2245" s="15"/>
      <c r="M2245" s="15"/>
      <c r="N2245" s="15"/>
      <c r="O2245" s="15"/>
      <c r="P2245" s="15"/>
      <c r="Q2245" s="15"/>
      <c r="R2245" s="15"/>
    </row>
    <row r="2246" spans="12:18" x14ac:dyDescent="0.2">
      <c r="L2246" s="15"/>
      <c r="M2246" s="15"/>
      <c r="N2246" s="15"/>
      <c r="O2246" s="15"/>
      <c r="P2246" s="15"/>
      <c r="Q2246" s="15"/>
      <c r="R2246" s="15"/>
    </row>
    <row r="2247" spans="12:18" x14ac:dyDescent="0.2">
      <c r="L2247" s="15"/>
      <c r="M2247" s="15"/>
      <c r="N2247" s="15"/>
      <c r="O2247" s="15"/>
      <c r="P2247" s="15"/>
      <c r="Q2247" s="15"/>
      <c r="R2247" s="15"/>
    </row>
    <row r="2248" spans="12:18" x14ac:dyDescent="0.2">
      <c r="L2248" s="15"/>
      <c r="M2248" s="15"/>
      <c r="N2248" s="15"/>
      <c r="O2248" s="15"/>
      <c r="P2248" s="15"/>
      <c r="Q2248" s="15"/>
      <c r="R2248" s="15"/>
    </row>
    <row r="2249" spans="12:18" x14ac:dyDescent="0.2">
      <c r="L2249" s="15"/>
      <c r="M2249" s="15"/>
      <c r="N2249" s="15"/>
      <c r="O2249" s="15"/>
      <c r="P2249" s="15"/>
      <c r="Q2249" s="15"/>
      <c r="R2249" s="15"/>
    </row>
    <row r="2250" spans="12:18" x14ac:dyDescent="0.2">
      <c r="L2250" s="15"/>
      <c r="M2250" s="15"/>
      <c r="N2250" s="15"/>
      <c r="O2250" s="15"/>
      <c r="P2250" s="15"/>
      <c r="Q2250" s="15"/>
      <c r="R2250" s="15"/>
    </row>
    <row r="2251" spans="12:18" x14ac:dyDescent="0.2">
      <c r="L2251" s="15"/>
      <c r="M2251" s="15"/>
      <c r="N2251" s="15"/>
      <c r="O2251" s="15"/>
      <c r="P2251" s="15"/>
      <c r="Q2251" s="15"/>
      <c r="R2251" s="15"/>
    </row>
    <row r="2252" spans="12:18" x14ac:dyDescent="0.2">
      <c r="L2252" s="15"/>
      <c r="M2252" s="15"/>
      <c r="N2252" s="15"/>
      <c r="O2252" s="15"/>
      <c r="P2252" s="15"/>
      <c r="Q2252" s="15"/>
      <c r="R2252" s="15"/>
    </row>
    <row r="2253" spans="12:18" x14ac:dyDescent="0.2">
      <c r="L2253" s="15"/>
      <c r="M2253" s="15"/>
      <c r="N2253" s="15"/>
      <c r="O2253" s="15"/>
      <c r="P2253" s="15"/>
      <c r="Q2253" s="15"/>
      <c r="R2253" s="15"/>
    </row>
    <row r="2254" spans="12:18" x14ac:dyDescent="0.2">
      <c r="L2254" s="15"/>
      <c r="M2254" s="15"/>
      <c r="N2254" s="15"/>
      <c r="O2254" s="15"/>
      <c r="P2254" s="15"/>
      <c r="Q2254" s="15"/>
      <c r="R2254" s="15"/>
    </row>
    <row r="2255" spans="12:18" x14ac:dyDescent="0.2">
      <c r="L2255" s="15"/>
      <c r="M2255" s="15"/>
      <c r="N2255" s="15"/>
      <c r="O2255" s="15"/>
      <c r="P2255" s="15"/>
      <c r="Q2255" s="15"/>
      <c r="R2255" s="15"/>
    </row>
    <row r="2256" spans="12:18" x14ac:dyDescent="0.2">
      <c r="L2256" s="15"/>
      <c r="M2256" s="15"/>
      <c r="N2256" s="15"/>
      <c r="O2256" s="15"/>
      <c r="P2256" s="15"/>
      <c r="Q2256" s="15"/>
      <c r="R2256" s="15"/>
    </row>
    <row r="2257" spans="12:18" x14ac:dyDescent="0.2">
      <c r="L2257" s="15"/>
      <c r="M2257" s="15"/>
      <c r="N2257" s="15"/>
      <c r="O2257" s="15"/>
      <c r="P2257" s="15"/>
      <c r="Q2257" s="15"/>
      <c r="R2257" s="15"/>
    </row>
    <row r="2258" spans="12:18" x14ac:dyDescent="0.2">
      <c r="L2258" s="15"/>
      <c r="M2258" s="15"/>
      <c r="N2258" s="15"/>
      <c r="O2258" s="15"/>
      <c r="P2258" s="15"/>
      <c r="Q2258" s="15"/>
      <c r="R2258" s="15"/>
    </row>
    <row r="2259" spans="12:18" x14ac:dyDescent="0.2">
      <c r="L2259" s="15"/>
      <c r="M2259" s="15"/>
      <c r="N2259" s="15"/>
      <c r="O2259" s="15"/>
      <c r="P2259" s="15"/>
      <c r="Q2259" s="15"/>
      <c r="R2259" s="15"/>
    </row>
    <row r="2260" spans="12:18" x14ac:dyDescent="0.2">
      <c r="L2260" s="15"/>
      <c r="M2260" s="15"/>
      <c r="N2260" s="15"/>
      <c r="O2260" s="15"/>
      <c r="P2260" s="15"/>
      <c r="Q2260" s="15"/>
      <c r="R2260" s="15"/>
    </row>
    <row r="2261" spans="12:18" x14ac:dyDescent="0.2">
      <c r="L2261" s="15"/>
      <c r="M2261" s="15"/>
      <c r="N2261" s="15"/>
      <c r="O2261" s="15"/>
      <c r="P2261" s="15"/>
      <c r="Q2261" s="15"/>
      <c r="R2261" s="15"/>
    </row>
    <row r="2262" spans="12:18" x14ac:dyDescent="0.2">
      <c r="L2262" s="15"/>
      <c r="M2262" s="15"/>
      <c r="N2262" s="15"/>
      <c r="O2262" s="15"/>
      <c r="P2262" s="15"/>
      <c r="Q2262" s="15"/>
      <c r="R2262" s="15"/>
    </row>
    <row r="2263" spans="12:18" x14ac:dyDescent="0.2">
      <c r="L2263" s="15"/>
      <c r="M2263" s="15"/>
      <c r="N2263" s="15"/>
      <c r="O2263" s="15"/>
      <c r="P2263" s="15"/>
      <c r="Q2263" s="15"/>
      <c r="R2263" s="15"/>
    </row>
    <row r="2264" spans="12:18" x14ac:dyDescent="0.2">
      <c r="L2264" s="15"/>
      <c r="M2264" s="15"/>
      <c r="N2264" s="15"/>
      <c r="O2264" s="15"/>
      <c r="P2264" s="15"/>
      <c r="Q2264" s="15"/>
      <c r="R2264" s="15"/>
    </row>
    <row r="2265" spans="12:18" x14ac:dyDescent="0.2">
      <c r="L2265" s="15"/>
      <c r="M2265" s="15"/>
      <c r="N2265" s="15"/>
      <c r="O2265" s="15"/>
      <c r="P2265" s="15"/>
      <c r="Q2265" s="15"/>
      <c r="R2265" s="15"/>
    </row>
    <row r="2266" spans="12:18" x14ac:dyDescent="0.2">
      <c r="L2266" s="15"/>
      <c r="M2266" s="15"/>
      <c r="N2266" s="15"/>
      <c r="O2266" s="15"/>
      <c r="P2266" s="15"/>
      <c r="Q2266" s="15"/>
      <c r="R2266" s="15"/>
    </row>
    <row r="2267" spans="12:18" x14ac:dyDescent="0.2">
      <c r="L2267" s="15"/>
      <c r="M2267" s="15"/>
      <c r="N2267" s="15"/>
      <c r="O2267" s="15"/>
      <c r="P2267" s="15"/>
      <c r="Q2267" s="15"/>
      <c r="R2267" s="15"/>
    </row>
    <row r="2268" spans="12:18" x14ac:dyDescent="0.2">
      <c r="L2268" s="15"/>
      <c r="M2268" s="15"/>
      <c r="N2268" s="15"/>
      <c r="O2268" s="15"/>
      <c r="P2268" s="15"/>
      <c r="Q2268" s="15"/>
      <c r="R2268" s="15"/>
    </row>
    <row r="2269" spans="12:18" x14ac:dyDescent="0.2">
      <c r="L2269" s="15"/>
      <c r="M2269" s="15"/>
      <c r="N2269" s="15"/>
      <c r="O2269" s="15"/>
      <c r="P2269" s="15"/>
      <c r="Q2269" s="15"/>
      <c r="R2269" s="15"/>
    </row>
    <row r="2270" spans="12:18" x14ac:dyDescent="0.2">
      <c r="L2270" s="15"/>
      <c r="M2270" s="15"/>
      <c r="N2270" s="15"/>
      <c r="O2270" s="15"/>
      <c r="P2270" s="15"/>
      <c r="Q2270" s="15"/>
      <c r="R2270" s="15"/>
    </row>
    <row r="2271" spans="12:18" x14ac:dyDescent="0.2">
      <c r="L2271" s="15"/>
      <c r="M2271" s="15"/>
      <c r="N2271" s="15"/>
      <c r="O2271" s="15"/>
      <c r="P2271" s="15"/>
      <c r="Q2271" s="15"/>
      <c r="R2271" s="15"/>
    </row>
    <row r="2272" spans="12:18" x14ac:dyDescent="0.2">
      <c r="L2272" s="15"/>
      <c r="M2272" s="15"/>
      <c r="N2272" s="15"/>
      <c r="O2272" s="15"/>
      <c r="P2272" s="15"/>
      <c r="Q2272" s="15"/>
      <c r="R2272" s="15"/>
    </row>
    <row r="2273" spans="12:18" x14ac:dyDescent="0.2">
      <c r="L2273" s="15"/>
      <c r="M2273" s="15"/>
      <c r="N2273" s="15"/>
      <c r="O2273" s="15"/>
      <c r="P2273" s="15"/>
      <c r="Q2273" s="15"/>
      <c r="R2273" s="15"/>
    </row>
    <row r="2274" spans="12:18" x14ac:dyDescent="0.2">
      <c r="L2274" s="15"/>
      <c r="M2274" s="15"/>
      <c r="N2274" s="15"/>
      <c r="O2274" s="15"/>
      <c r="P2274" s="15"/>
      <c r="Q2274" s="15"/>
      <c r="R2274" s="15"/>
    </row>
    <row r="2275" spans="12:18" x14ac:dyDescent="0.2">
      <c r="L2275" s="15"/>
      <c r="M2275" s="15"/>
      <c r="N2275" s="15"/>
      <c r="O2275" s="15"/>
      <c r="P2275" s="15"/>
      <c r="Q2275" s="15"/>
      <c r="R2275" s="15"/>
    </row>
    <row r="2276" spans="12:18" x14ac:dyDescent="0.2">
      <c r="L2276" s="15"/>
      <c r="M2276" s="15"/>
      <c r="N2276" s="15"/>
      <c r="O2276" s="15"/>
      <c r="P2276" s="15"/>
      <c r="Q2276" s="15"/>
      <c r="R2276" s="15"/>
    </row>
    <row r="2277" spans="12:18" x14ac:dyDescent="0.2">
      <c r="L2277" s="15"/>
      <c r="M2277" s="15"/>
      <c r="N2277" s="15"/>
      <c r="O2277" s="15"/>
      <c r="P2277" s="15"/>
      <c r="Q2277" s="15"/>
      <c r="R2277" s="15"/>
    </row>
    <row r="2278" spans="12:18" x14ac:dyDescent="0.2">
      <c r="L2278" s="15"/>
      <c r="M2278" s="15"/>
      <c r="N2278" s="15"/>
      <c r="O2278" s="15"/>
      <c r="P2278" s="15"/>
      <c r="Q2278" s="15"/>
      <c r="R2278" s="15"/>
    </row>
    <row r="2279" spans="12:18" x14ac:dyDescent="0.2">
      <c r="L2279" s="15"/>
      <c r="M2279" s="15"/>
      <c r="N2279" s="15"/>
      <c r="O2279" s="15"/>
      <c r="P2279" s="15"/>
      <c r="Q2279" s="15"/>
      <c r="R2279" s="15"/>
    </row>
    <row r="2280" spans="12:18" x14ac:dyDescent="0.2">
      <c r="L2280" s="15"/>
      <c r="M2280" s="15"/>
      <c r="N2280" s="15"/>
      <c r="O2280" s="15"/>
      <c r="P2280" s="15"/>
      <c r="Q2280" s="15"/>
      <c r="R2280" s="15"/>
    </row>
    <row r="2281" spans="12:18" x14ac:dyDescent="0.2">
      <c r="L2281" s="15"/>
      <c r="M2281" s="15"/>
      <c r="N2281" s="15"/>
      <c r="O2281" s="15"/>
      <c r="P2281" s="15"/>
      <c r="Q2281" s="15"/>
      <c r="R2281" s="15"/>
    </row>
    <row r="2282" spans="12:18" x14ac:dyDescent="0.2">
      <c r="L2282" s="15"/>
      <c r="M2282" s="15"/>
      <c r="N2282" s="15"/>
      <c r="O2282" s="15"/>
      <c r="P2282" s="15"/>
      <c r="Q2282" s="15"/>
      <c r="R2282" s="15"/>
    </row>
    <row r="2283" spans="12:18" x14ac:dyDescent="0.2">
      <c r="L2283" s="15"/>
      <c r="M2283" s="15"/>
      <c r="N2283" s="15"/>
      <c r="O2283" s="15"/>
      <c r="P2283" s="15"/>
      <c r="Q2283" s="15"/>
      <c r="R2283" s="15"/>
    </row>
    <row r="2284" spans="12:18" x14ac:dyDescent="0.2">
      <c r="L2284" s="15"/>
      <c r="M2284" s="15"/>
      <c r="N2284" s="15"/>
      <c r="O2284" s="15"/>
      <c r="P2284" s="15"/>
      <c r="Q2284" s="15"/>
      <c r="R2284" s="15"/>
    </row>
    <row r="2285" spans="12:18" x14ac:dyDescent="0.2">
      <c r="L2285" s="15"/>
      <c r="M2285" s="15"/>
      <c r="N2285" s="15"/>
      <c r="O2285" s="15"/>
      <c r="P2285" s="15"/>
      <c r="Q2285" s="15"/>
      <c r="R2285" s="15"/>
    </row>
    <row r="2286" spans="12:18" x14ac:dyDescent="0.2">
      <c r="L2286" s="15"/>
      <c r="M2286" s="15"/>
      <c r="N2286" s="15"/>
      <c r="O2286" s="15"/>
      <c r="P2286" s="15"/>
      <c r="Q2286" s="15"/>
      <c r="R2286" s="15"/>
    </row>
    <row r="2287" spans="12:18" x14ac:dyDescent="0.2">
      <c r="L2287" s="15"/>
      <c r="M2287" s="15"/>
      <c r="N2287" s="15"/>
      <c r="O2287" s="15"/>
      <c r="P2287" s="15"/>
      <c r="Q2287" s="15"/>
      <c r="R2287" s="15"/>
    </row>
    <row r="2288" spans="12:18" x14ac:dyDescent="0.2">
      <c r="L2288" s="15"/>
      <c r="M2288" s="15"/>
      <c r="N2288" s="15"/>
      <c r="O2288" s="15"/>
      <c r="P2288" s="15"/>
      <c r="Q2288" s="15"/>
      <c r="R2288" s="15"/>
    </row>
    <row r="2289" spans="12:18" x14ac:dyDescent="0.2">
      <c r="L2289" s="15"/>
      <c r="M2289" s="15"/>
      <c r="N2289" s="15"/>
      <c r="O2289" s="15"/>
      <c r="P2289" s="15"/>
      <c r="Q2289" s="15"/>
      <c r="R2289" s="15"/>
    </row>
    <row r="2290" spans="12:18" x14ac:dyDescent="0.2">
      <c r="L2290" s="15"/>
      <c r="M2290" s="15"/>
      <c r="N2290" s="15"/>
      <c r="O2290" s="15"/>
      <c r="P2290" s="15"/>
      <c r="Q2290" s="15"/>
      <c r="R2290" s="15"/>
    </row>
    <row r="2291" spans="12:18" x14ac:dyDescent="0.2">
      <c r="L2291" s="15"/>
      <c r="M2291" s="15"/>
      <c r="N2291" s="15"/>
      <c r="O2291" s="15"/>
      <c r="P2291" s="15"/>
      <c r="Q2291" s="15"/>
      <c r="R2291" s="15"/>
    </row>
    <row r="2292" spans="12:18" x14ac:dyDescent="0.2">
      <c r="L2292" s="15"/>
      <c r="M2292" s="15"/>
      <c r="N2292" s="15"/>
      <c r="O2292" s="15"/>
      <c r="P2292" s="15"/>
      <c r="Q2292" s="15"/>
      <c r="R2292" s="15"/>
    </row>
    <row r="2293" spans="12:18" x14ac:dyDescent="0.2">
      <c r="L2293" s="15"/>
      <c r="M2293" s="15"/>
      <c r="N2293" s="15"/>
      <c r="O2293" s="15"/>
      <c r="P2293" s="15"/>
      <c r="Q2293" s="15"/>
      <c r="R2293" s="15"/>
    </row>
    <row r="2294" spans="12:18" x14ac:dyDescent="0.2">
      <c r="L2294" s="15"/>
      <c r="M2294" s="15"/>
      <c r="N2294" s="15"/>
      <c r="O2294" s="15"/>
      <c r="P2294" s="15"/>
      <c r="Q2294" s="15"/>
      <c r="R2294" s="15"/>
    </row>
    <row r="2295" spans="12:18" x14ac:dyDescent="0.2">
      <c r="L2295" s="15"/>
      <c r="M2295" s="15"/>
      <c r="N2295" s="15"/>
      <c r="O2295" s="15"/>
      <c r="P2295" s="15"/>
      <c r="Q2295" s="15"/>
      <c r="R2295" s="15"/>
    </row>
    <row r="2296" spans="12:18" x14ac:dyDescent="0.2">
      <c r="L2296" s="15"/>
      <c r="M2296" s="15"/>
      <c r="N2296" s="15"/>
      <c r="O2296" s="15"/>
      <c r="P2296" s="15"/>
      <c r="Q2296" s="15"/>
      <c r="R2296" s="15"/>
    </row>
    <row r="2297" spans="12:18" x14ac:dyDescent="0.2">
      <c r="L2297" s="15"/>
      <c r="M2297" s="15"/>
      <c r="N2297" s="15"/>
      <c r="O2297" s="15"/>
      <c r="P2297" s="15"/>
      <c r="Q2297" s="15"/>
      <c r="R2297" s="15"/>
    </row>
    <row r="2298" spans="12:18" x14ac:dyDescent="0.2">
      <c r="L2298" s="15"/>
      <c r="M2298" s="15"/>
      <c r="N2298" s="15"/>
      <c r="O2298" s="15"/>
      <c r="P2298" s="15"/>
      <c r="Q2298" s="15"/>
      <c r="R2298" s="15"/>
    </row>
    <row r="2299" spans="12:18" x14ac:dyDescent="0.2">
      <c r="L2299" s="15"/>
      <c r="M2299" s="15"/>
      <c r="N2299" s="15"/>
      <c r="O2299" s="15"/>
      <c r="P2299" s="15"/>
      <c r="Q2299" s="15"/>
      <c r="R2299" s="15"/>
    </row>
    <row r="2300" spans="12:18" x14ac:dyDescent="0.2">
      <c r="L2300" s="15"/>
      <c r="M2300" s="15"/>
      <c r="N2300" s="15"/>
      <c r="O2300" s="15"/>
      <c r="P2300" s="15"/>
      <c r="Q2300" s="15"/>
      <c r="R2300" s="15"/>
    </row>
    <row r="2301" spans="12:18" x14ac:dyDescent="0.2">
      <c r="L2301" s="15"/>
      <c r="M2301" s="15"/>
      <c r="N2301" s="15"/>
      <c r="O2301" s="15"/>
      <c r="P2301" s="15"/>
      <c r="Q2301" s="15"/>
      <c r="R2301" s="15"/>
    </row>
    <row r="2302" spans="12:18" x14ac:dyDescent="0.2">
      <c r="L2302" s="15"/>
      <c r="M2302" s="15"/>
      <c r="N2302" s="15"/>
      <c r="O2302" s="15"/>
      <c r="P2302" s="15"/>
      <c r="Q2302" s="15"/>
      <c r="R2302" s="15"/>
    </row>
    <row r="2303" spans="12:18" x14ac:dyDescent="0.2">
      <c r="L2303" s="15"/>
      <c r="M2303" s="15"/>
      <c r="N2303" s="15"/>
      <c r="O2303" s="15"/>
      <c r="P2303" s="15"/>
      <c r="Q2303" s="15"/>
      <c r="R2303" s="15"/>
    </row>
    <row r="2304" spans="12:18" x14ac:dyDescent="0.2">
      <c r="L2304" s="15"/>
      <c r="M2304" s="15"/>
      <c r="N2304" s="15"/>
      <c r="O2304" s="15"/>
      <c r="P2304" s="15"/>
      <c r="Q2304" s="15"/>
      <c r="R2304" s="15"/>
    </row>
    <row r="2305" spans="12:18" x14ac:dyDescent="0.2">
      <c r="L2305" s="15"/>
      <c r="M2305" s="15"/>
      <c r="N2305" s="15"/>
      <c r="O2305" s="15"/>
      <c r="P2305" s="15"/>
      <c r="Q2305" s="15"/>
      <c r="R2305" s="15"/>
    </row>
    <row r="2306" spans="12:18" x14ac:dyDescent="0.2">
      <c r="L2306" s="15"/>
      <c r="M2306" s="15"/>
      <c r="N2306" s="15"/>
      <c r="O2306" s="15"/>
      <c r="P2306" s="15"/>
      <c r="Q2306" s="15"/>
      <c r="R2306" s="15"/>
    </row>
    <row r="2307" spans="12:18" x14ac:dyDescent="0.2">
      <c r="L2307" s="15"/>
      <c r="M2307" s="15"/>
      <c r="N2307" s="15"/>
      <c r="O2307" s="15"/>
      <c r="P2307" s="15"/>
      <c r="Q2307" s="15"/>
      <c r="R2307" s="15"/>
    </row>
    <row r="2308" spans="12:18" x14ac:dyDescent="0.2">
      <c r="L2308" s="15"/>
      <c r="M2308" s="15"/>
      <c r="N2308" s="15"/>
      <c r="O2308" s="15"/>
      <c r="P2308" s="15"/>
      <c r="Q2308" s="15"/>
      <c r="R2308" s="15"/>
    </row>
    <row r="2309" spans="12:18" x14ac:dyDescent="0.2">
      <c r="L2309" s="15"/>
      <c r="M2309" s="15"/>
      <c r="N2309" s="15"/>
      <c r="O2309" s="15"/>
      <c r="P2309" s="15"/>
      <c r="Q2309" s="15"/>
      <c r="R2309" s="15"/>
    </row>
    <row r="2310" spans="12:18" x14ac:dyDescent="0.2">
      <c r="L2310" s="15"/>
      <c r="M2310" s="15"/>
      <c r="N2310" s="15"/>
      <c r="O2310" s="15"/>
      <c r="P2310" s="15"/>
      <c r="Q2310" s="15"/>
      <c r="R2310" s="15"/>
    </row>
    <row r="2311" spans="12:18" x14ac:dyDescent="0.2">
      <c r="L2311" s="15"/>
      <c r="M2311" s="15"/>
      <c r="N2311" s="15"/>
      <c r="O2311" s="15"/>
      <c r="P2311" s="15"/>
      <c r="Q2311" s="15"/>
      <c r="R2311" s="15"/>
    </row>
    <row r="2312" spans="12:18" x14ac:dyDescent="0.2">
      <c r="L2312" s="15"/>
      <c r="M2312" s="15"/>
      <c r="N2312" s="15"/>
      <c r="O2312" s="15"/>
      <c r="P2312" s="15"/>
      <c r="Q2312" s="15"/>
      <c r="R2312" s="15"/>
    </row>
    <row r="2313" spans="12:18" x14ac:dyDescent="0.2">
      <c r="L2313" s="15"/>
      <c r="M2313" s="15"/>
      <c r="N2313" s="15"/>
      <c r="O2313" s="15"/>
      <c r="P2313" s="15"/>
      <c r="Q2313" s="15"/>
      <c r="R2313" s="15"/>
    </row>
    <row r="2314" spans="12:18" x14ac:dyDescent="0.2">
      <c r="L2314" s="15"/>
      <c r="M2314" s="15"/>
      <c r="N2314" s="15"/>
      <c r="O2314" s="15"/>
      <c r="P2314" s="15"/>
      <c r="Q2314" s="15"/>
      <c r="R2314" s="15"/>
    </row>
    <row r="2315" spans="12:18" x14ac:dyDescent="0.2">
      <c r="L2315" s="15"/>
      <c r="M2315" s="15"/>
      <c r="N2315" s="15"/>
      <c r="O2315" s="15"/>
      <c r="P2315" s="15"/>
      <c r="Q2315" s="15"/>
      <c r="R2315" s="15"/>
    </row>
    <row r="2316" spans="12:18" x14ac:dyDescent="0.2">
      <c r="L2316" s="15"/>
      <c r="M2316" s="15"/>
      <c r="N2316" s="15"/>
      <c r="O2316" s="15"/>
      <c r="P2316" s="15"/>
      <c r="Q2316" s="15"/>
      <c r="R2316" s="15"/>
    </row>
    <row r="2317" spans="12:18" x14ac:dyDescent="0.2">
      <c r="L2317" s="15"/>
      <c r="M2317" s="15"/>
      <c r="N2317" s="15"/>
      <c r="O2317" s="15"/>
      <c r="P2317" s="15"/>
      <c r="Q2317" s="15"/>
      <c r="R2317" s="15"/>
    </row>
    <row r="2318" spans="12:18" x14ac:dyDescent="0.2">
      <c r="L2318" s="15"/>
      <c r="M2318" s="15"/>
      <c r="N2318" s="15"/>
      <c r="O2318" s="15"/>
      <c r="P2318" s="15"/>
      <c r="Q2318" s="15"/>
      <c r="R2318" s="15"/>
    </row>
    <row r="2319" spans="12:18" x14ac:dyDescent="0.2">
      <c r="L2319" s="15"/>
      <c r="M2319" s="15"/>
      <c r="N2319" s="15"/>
      <c r="O2319" s="15"/>
      <c r="P2319" s="15"/>
      <c r="Q2319" s="15"/>
      <c r="R2319" s="15"/>
    </row>
    <row r="2320" spans="12:18" x14ac:dyDescent="0.2">
      <c r="L2320" s="15"/>
      <c r="M2320" s="15"/>
      <c r="N2320" s="15"/>
      <c r="O2320" s="15"/>
      <c r="P2320" s="15"/>
      <c r="Q2320" s="15"/>
      <c r="R2320" s="15"/>
    </row>
    <row r="2321" spans="12:18" x14ac:dyDescent="0.2">
      <c r="L2321" s="15"/>
      <c r="M2321" s="15"/>
      <c r="N2321" s="15"/>
      <c r="O2321" s="15"/>
      <c r="P2321" s="15"/>
      <c r="Q2321" s="15"/>
      <c r="R2321" s="15"/>
    </row>
    <row r="2322" spans="12:18" x14ac:dyDescent="0.2">
      <c r="L2322" s="15"/>
      <c r="M2322" s="15"/>
      <c r="N2322" s="15"/>
      <c r="O2322" s="15"/>
      <c r="P2322" s="15"/>
      <c r="Q2322" s="15"/>
      <c r="R2322" s="15"/>
    </row>
    <row r="2323" spans="12:18" x14ac:dyDescent="0.2">
      <c r="L2323" s="15"/>
      <c r="M2323" s="15"/>
      <c r="N2323" s="15"/>
      <c r="O2323" s="15"/>
      <c r="P2323" s="15"/>
      <c r="Q2323" s="15"/>
      <c r="R2323" s="15"/>
    </row>
    <row r="2324" spans="12:18" x14ac:dyDescent="0.2">
      <c r="L2324" s="15"/>
      <c r="M2324" s="15"/>
      <c r="N2324" s="15"/>
      <c r="O2324" s="15"/>
      <c r="P2324" s="15"/>
      <c r="Q2324" s="15"/>
      <c r="R2324" s="15"/>
    </row>
    <row r="2325" spans="12:18" x14ac:dyDescent="0.2">
      <c r="L2325" s="15"/>
      <c r="M2325" s="15"/>
      <c r="N2325" s="15"/>
      <c r="O2325" s="15"/>
      <c r="P2325" s="15"/>
      <c r="Q2325" s="15"/>
      <c r="R2325" s="15"/>
    </row>
    <row r="2326" spans="12:18" x14ac:dyDescent="0.2">
      <c r="L2326" s="15"/>
      <c r="M2326" s="15"/>
      <c r="N2326" s="15"/>
      <c r="O2326" s="15"/>
      <c r="P2326" s="15"/>
      <c r="Q2326" s="15"/>
      <c r="R2326" s="15"/>
    </row>
    <row r="2327" spans="12:18" x14ac:dyDescent="0.2">
      <c r="L2327" s="15"/>
      <c r="M2327" s="15"/>
      <c r="N2327" s="15"/>
      <c r="O2327" s="15"/>
      <c r="P2327" s="15"/>
      <c r="Q2327" s="15"/>
      <c r="R2327" s="15"/>
    </row>
    <row r="2328" spans="12:18" x14ac:dyDescent="0.2">
      <c r="L2328" s="15"/>
      <c r="M2328" s="15"/>
      <c r="N2328" s="15"/>
      <c r="O2328" s="15"/>
      <c r="P2328" s="15"/>
      <c r="Q2328" s="15"/>
      <c r="R2328" s="15"/>
    </row>
    <row r="2329" spans="12:18" x14ac:dyDescent="0.2">
      <c r="L2329" s="15"/>
      <c r="M2329" s="15"/>
      <c r="N2329" s="15"/>
      <c r="O2329" s="15"/>
      <c r="P2329" s="15"/>
      <c r="Q2329" s="15"/>
      <c r="R2329" s="15"/>
    </row>
    <row r="2330" spans="12:18" x14ac:dyDescent="0.2">
      <c r="L2330" s="15"/>
      <c r="M2330" s="15"/>
      <c r="N2330" s="15"/>
      <c r="O2330" s="15"/>
      <c r="P2330" s="15"/>
      <c r="Q2330" s="15"/>
      <c r="R2330" s="15"/>
    </row>
    <row r="2331" spans="12:18" x14ac:dyDescent="0.2">
      <c r="L2331" s="15"/>
      <c r="M2331" s="15"/>
      <c r="N2331" s="15"/>
      <c r="O2331" s="15"/>
      <c r="P2331" s="15"/>
      <c r="Q2331" s="15"/>
      <c r="R2331" s="15"/>
    </row>
    <row r="2332" spans="12:18" x14ac:dyDescent="0.2">
      <c r="L2332" s="15"/>
      <c r="M2332" s="15"/>
      <c r="N2332" s="15"/>
      <c r="O2332" s="15"/>
      <c r="P2332" s="15"/>
      <c r="Q2332" s="15"/>
      <c r="R2332" s="15"/>
    </row>
    <row r="2333" spans="12:18" x14ac:dyDescent="0.2">
      <c r="L2333" s="15"/>
      <c r="M2333" s="15"/>
      <c r="N2333" s="15"/>
      <c r="O2333" s="15"/>
      <c r="P2333" s="15"/>
      <c r="Q2333" s="15"/>
      <c r="R2333" s="15"/>
    </row>
    <row r="2334" spans="12:18" x14ac:dyDescent="0.2">
      <c r="L2334" s="15"/>
      <c r="M2334" s="15"/>
      <c r="N2334" s="15"/>
      <c r="O2334" s="15"/>
      <c r="P2334" s="15"/>
      <c r="Q2334" s="15"/>
      <c r="R2334" s="15"/>
    </row>
    <row r="2335" spans="12:18" x14ac:dyDescent="0.2">
      <c r="L2335" s="15"/>
      <c r="M2335" s="15"/>
      <c r="N2335" s="15"/>
      <c r="O2335" s="15"/>
      <c r="P2335" s="15"/>
      <c r="Q2335" s="15"/>
      <c r="R2335" s="15"/>
    </row>
    <row r="2336" spans="12:18" x14ac:dyDescent="0.2">
      <c r="L2336" s="15"/>
      <c r="M2336" s="15"/>
      <c r="N2336" s="15"/>
      <c r="O2336" s="15"/>
      <c r="P2336" s="15"/>
      <c r="Q2336" s="15"/>
      <c r="R2336" s="15"/>
    </row>
    <row r="2337" spans="12:18" x14ac:dyDescent="0.2">
      <c r="L2337" s="15"/>
      <c r="M2337" s="15"/>
      <c r="N2337" s="15"/>
      <c r="O2337" s="15"/>
      <c r="P2337" s="15"/>
      <c r="Q2337" s="15"/>
      <c r="R2337" s="15"/>
    </row>
    <row r="2338" spans="12:18" x14ac:dyDescent="0.2">
      <c r="L2338" s="15"/>
      <c r="M2338" s="15"/>
      <c r="N2338" s="15"/>
      <c r="O2338" s="15"/>
      <c r="P2338" s="15"/>
      <c r="Q2338" s="15"/>
      <c r="R2338" s="15"/>
    </row>
    <row r="2339" spans="12:18" x14ac:dyDescent="0.2">
      <c r="L2339" s="15"/>
      <c r="M2339" s="15"/>
      <c r="N2339" s="15"/>
      <c r="O2339" s="15"/>
      <c r="P2339" s="15"/>
      <c r="Q2339" s="15"/>
      <c r="R2339" s="15"/>
    </row>
    <row r="2340" spans="12:18" x14ac:dyDescent="0.2">
      <c r="L2340" s="15"/>
      <c r="M2340" s="15"/>
      <c r="N2340" s="15"/>
      <c r="O2340" s="15"/>
      <c r="P2340" s="15"/>
      <c r="Q2340" s="15"/>
      <c r="R2340" s="15"/>
    </row>
    <row r="2341" spans="12:18" x14ac:dyDescent="0.2">
      <c r="L2341" s="15"/>
      <c r="M2341" s="15"/>
      <c r="N2341" s="15"/>
      <c r="O2341" s="15"/>
      <c r="P2341" s="15"/>
      <c r="Q2341" s="15"/>
      <c r="R2341" s="15"/>
    </row>
    <row r="2342" spans="12:18" x14ac:dyDescent="0.2">
      <c r="L2342" s="15"/>
      <c r="M2342" s="15"/>
      <c r="N2342" s="15"/>
      <c r="O2342" s="15"/>
      <c r="P2342" s="15"/>
      <c r="Q2342" s="15"/>
      <c r="R2342" s="15"/>
    </row>
    <row r="2343" spans="12:18" x14ac:dyDescent="0.2">
      <c r="L2343" s="15"/>
      <c r="M2343" s="15"/>
      <c r="N2343" s="15"/>
      <c r="O2343" s="15"/>
      <c r="P2343" s="15"/>
      <c r="Q2343" s="15"/>
      <c r="R2343" s="15"/>
    </row>
    <row r="2344" spans="12:18" x14ac:dyDescent="0.2">
      <c r="L2344" s="15"/>
      <c r="M2344" s="15"/>
      <c r="N2344" s="15"/>
      <c r="O2344" s="15"/>
      <c r="P2344" s="15"/>
      <c r="Q2344" s="15"/>
      <c r="R2344" s="15"/>
    </row>
    <row r="2345" spans="12:18" x14ac:dyDescent="0.2">
      <c r="L2345" s="15"/>
      <c r="M2345" s="15"/>
      <c r="N2345" s="15"/>
      <c r="O2345" s="15"/>
      <c r="P2345" s="15"/>
      <c r="Q2345" s="15"/>
      <c r="R2345" s="15"/>
    </row>
    <row r="2346" spans="12:18" x14ac:dyDescent="0.2">
      <c r="L2346" s="15"/>
      <c r="M2346" s="15"/>
      <c r="N2346" s="15"/>
      <c r="O2346" s="15"/>
      <c r="P2346" s="15"/>
      <c r="Q2346" s="15"/>
      <c r="R2346" s="15"/>
    </row>
    <row r="2347" spans="12:18" x14ac:dyDescent="0.2">
      <c r="L2347" s="15"/>
      <c r="M2347" s="15"/>
      <c r="N2347" s="15"/>
      <c r="O2347" s="15"/>
      <c r="P2347" s="15"/>
      <c r="Q2347" s="15"/>
      <c r="R2347" s="15"/>
    </row>
    <row r="2348" spans="12:18" x14ac:dyDescent="0.2">
      <c r="L2348" s="15"/>
      <c r="M2348" s="15"/>
      <c r="N2348" s="15"/>
      <c r="O2348" s="15"/>
      <c r="P2348" s="15"/>
      <c r="Q2348" s="15"/>
      <c r="R2348" s="15"/>
    </row>
    <row r="2349" spans="12:18" x14ac:dyDescent="0.2">
      <c r="L2349" s="15"/>
      <c r="M2349" s="15"/>
      <c r="N2349" s="15"/>
      <c r="O2349" s="15"/>
      <c r="P2349" s="15"/>
      <c r="Q2349" s="15"/>
      <c r="R2349" s="15"/>
    </row>
    <row r="2350" spans="12:18" x14ac:dyDescent="0.2">
      <c r="L2350" s="15"/>
      <c r="M2350" s="15"/>
      <c r="N2350" s="15"/>
      <c r="O2350" s="15"/>
      <c r="P2350" s="15"/>
      <c r="Q2350" s="15"/>
      <c r="R2350" s="15"/>
    </row>
    <row r="2351" spans="12:18" x14ac:dyDescent="0.2">
      <c r="L2351" s="15"/>
      <c r="M2351" s="15"/>
      <c r="N2351" s="15"/>
      <c r="O2351" s="15"/>
      <c r="P2351" s="15"/>
      <c r="Q2351" s="15"/>
      <c r="R2351" s="15"/>
    </row>
    <row r="2352" spans="12:18" x14ac:dyDescent="0.2">
      <c r="L2352" s="15"/>
      <c r="M2352" s="15"/>
      <c r="N2352" s="15"/>
      <c r="O2352" s="15"/>
      <c r="P2352" s="15"/>
      <c r="Q2352" s="15"/>
      <c r="R2352" s="15"/>
    </row>
    <row r="2353" spans="12:18" x14ac:dyDescent="0.2">
      <c r="L2353" s="15"/>
      <c r="M2353" s="15"/>
      <c r="N2353" s="15"/>
      <c r="O2353" s="15"/>
      <c r="P2353" s="15"/>
      <c r="Q2353" s="15"/>
      <c r="R2353" s="15"/>
    </row>
    <row r="2354" spans="12:18" x14ac:dyDescent="0.2">
      <c r="L2354" s="15"/>
      <c r="M2354" s="15"/>
      <c r="N2354" s="15"/>
      <c r="O2354" s="15"/>
      <c r="P2354" s="15"/>
      <c r="Q2354" s="15"/>
      <c r="R2354" s="15"/>
    </row>
    <row r="2355" spans="12:18" x14ac:dyDescent="0.2">
      <c r="L2355" s="15"/>
      <c r="M2355" s="15"/>
      <c r="N2355" s="15"/>
      <c r="O2355" s="15"/>
      <c r="P2355" s="15"/>
      <c r="Q2355" s="15"/>
      <c r="R2355" s="15"/>
    </row>
    <row r="2356" spans="12:18" x14ac:dyDescent="0.2">
      <c r="L2356" s="15"/>
      <c r="M2356" s="15"/>
      <c r="N2356" s="15"/>
      <c r="O2356" s="15"/>
      <c r="P2356" s="15"/>
      <c r="Q2356" s="15"/>
      <c r="R2356" s="15"/>
    </row>
    <row r="2357" spans="12:18" x14ac:dyDescent="0.2">
      <c r="L2357" s="15"/>
      <c r="M2357" s="15"/>
      <c r="N2357" s="15"/>
      <c r="O2357" s="15"/>
      <c r="P2357" s="15"/>
      <c r="Q2357" s="15"/>
      <c r="R2357" s="15"/>
    </row>
    <row r="2358" spans="12:18" x14ac:dyDescent="0.2">
      <c r="L2358" s="15"/>
      <c r="M2358" s="15"/>
      <c r="N2358" s="15"/>
      <c r="O2358" s="15"/>
      <c r="P2358" s="15"/>
      <c r="Q2358" s="15"/>
      <c r="R2358" s="15"/>
    </row>
    <row r="2359" spans="12:18" x14ac:dyDescent="0.2">
      <c r="L2359" s="15"/>
      <c r="M2359" s="15"/>
      <c r="N2359" s="15"/>
      <c r="O2359" s="15"/>
      <c r="P2359" s="15"/>
      <c r="Q2359" s="15"/>
      <c r="R2359" s="15"/>
    </row>
    <row r="2360" spans="12:18" x14ac:dyDescent="0.2">
      <c r="L2360" s="15"/>
      <c r="M2360" s="15"/>
      <c r="N2360" s="15"/>
      <c r="O2360" s="15"/>
      <c r="P2360" s="15"/>
      <c r="Q2360" s="15"/>
      <c r="R2360" s="15"/>
    </row>
    <row r="2361" spans="12:18" x14ac:dyDescent="0.2">
      <c r="L2361" s="15"/>
      <c r="M2361" s="15"/>
      <c r="N2361" s="15"/>
      <c r="O2361" s="15"/>
      <c r="P2361" s="15"/>
      <c r="Q2361" s="15"/>
      <c r="R2361" s="15"/>
    </row>
    <row r="2362" spans="12:18" x14ac:dyDescent="0.2">
      <c r="L2362" s="15"/>
      <c r="M2362" s="15"/>
      <c r="N2362" s="15"/>
      <c r="O2362" s="15"/>
      <c r="P2362" s="15"/>
      <c r="Q2362" s="15"/>
      <c r="R2362" s="15"/>
    </row>
    <row r="2363" spans="12:18" x14ac:dyDescent="0.2">
      <c r="L2363" s="15"/>
      <c r="M2363" s="15"/>
      <c r="N2363" s="15"/>
      <c r="O2363" s="15"/>
      <c r="P2363" s="15"/>
      <c r="Q2363" s="15"/>
      <c r="R2363" s="15"/>
    </row>
    <row r="2364" spans="12:18" x14ac:dyDescent="0.2">
      <c r="L2364" s="15"/>
      <c r="M2364" s="15"/>
      <c r="N2364" s="15"/>
      <c r="O2364" s="15"/>
      <c r="P2364" s="15"/>
      <c r="Q2364" s="15"/>
      <c r="R2364" s="15"/>
    </row>
    <row r="2365" spans="12:18" x14ac:dyDescent="0.2">
      <c r="L2365" s="15"/>
      <c r="M2365" s="15"/>
      <c r="N2365" s="15"/>
      <c r="O2365" s="15"/>
      <c r="P2365" s="15"/>
      <c r="Q2365" s="15"/>
      <c r="R2365" s="15"/>
    </row>
    <row r="2366" spans="12:18" x14ac:dyDescent="0.2">
      <c r="L2366" s="15"/>
      <c r="M2366" s="15"/>
      <c r="N2366" s="15"/>
      <c r="O2366" s="15"/>
      <c r="P2366" s="15"/>
      <c r="Q2366" s="15"/>
      <c r="R2366" s="15"/>
    </row>
    <row r="2367" spans="12:18" x14ac:dyDescent="0.2">
      <c r="L2367" s="15"/>
      <c r="M2367" s="15"/>
      <c r="N2367" s="15"/>
      <c r="O2367" s="15"/>
      <c r="P2367" s="15"/>
      <c r="Q2367" s="15"/>
      <c r="R2367" s="15"/>
    </row>
    <row r="2368" spans="12:18" x14ac:dyDescent="0.2">
      <c r="L2368" s="15"/>
      <c r="M2368" s="15"/>
      <c r="N2368" s="15"/>
      <c r="O2368" s="15"/>
      <c r="P2368" s="15"/>
      <c r="Q2368" s="15"/>
      <c r="R2368" s="15"/>
    </row>
    <row r="2369" spans="12:18" x14ac:dyDescent="0.2">
      <c r="L2369" s="15"/>
      <c r="M2369" s="15"/>
      <c r="N2369" s="15"/>
      <c r="O2369" s="15"/>
      <c r="P2369" s="15"/>
      <c r="Q2369" s="15"/>
      <c r="R2369" s="15"/>
    </row>
    <row r="2370" spans="12:18" x14ac:dyDescent="0.2">
      <c r="L2370" s="15"/>
      <c r="M2370" s="15"/>
      <c r="N2370" s="15"/>
      <c r="O2370" s="15"/>
      <c r="P2370" s="15"/>
      <c r="Q2370" s="15"/>
      <c r="R2370" s="15"/>
    </row>
    <row r="2371" spans="12:18" x14ac:dyDescent="0.2">
      <c r="L2371" s="15"/>
      <c r="M2371" s="15"/>
      <c r="N2371" s="15"/>
      <c r="O2371" s="15"/>
      <c r="P2371" s="15"/>
      <c r="Q2371" s="15"/>
      <c r="R2371" s="15"/>
    </row>
    <row r="2372" spans="12:18" x14ac:dyDescent="0.2">
      <c r="L2372" s="15"/>
      <c r="M2372" s="15"/>
      <c r="N2372" s="15"/>
      <c r="O2372" s="15"/>
      <c r="P2372" s="15"/>
      <c r="Q2372" s="15"/>
      <c r="R2372" s="15"/>
    </row>
    <row r="2373" spans="12:18" x14ac:dyDescent="0.2">
      <c r="L2373" s="15"/>
      <c r="M2373" s="15"/>
      <c r="N2373" s="15"/>
      <c r="O2373" s="15"/>
      <c r="P2373" s="15"/>
      <c r="Q2373" s="15"/>
      <c r="R2373" s="15"/>
    </row>
    <row r="2374" spans="12:18" x14ac:dyDescent="0.2">
      <c r="L2374" s="15"/>
      <c r="M2374" s="15"/>
      <c r="N2374" s="15"/>
      <c r="O2374" s="15"/>
      <c r="P2374" s="15"/>
      <c r="Q2374" s="15"/>
      <c r="R2374" s="15"/>
    </row>
    <row r="2375" spans="12:18" x14ac:dyDescent="0.2">
      <c r="L2375" s="15"/>
      <c r="M2375" s="15"/>
      <c r="N2375" s="15"/>
      <c r="O2375" s="15"/>
      <c r="P2375" s="15"/>
      <c r="Q2375" s="15"/>
      <c r="R2375" s="15"/>
    </row>
    <row r="2376" spans="12:18" x14ac:dyDescent="0.2">
      <c r="L2376" s="15"/>
      <c r="M2376" s="15"/>
      <c r="N2376" s="15"/>
      <c r="O2376" s="15"/>
      <c r="P2376" s="15"/>
      <c r="Q2376" s="15"/>
      <c r="R2376" s="15"/>
    </row>
    <row r="2377" spans="12:18" x14ac:dyDescent="0.2">
      <c r="L2377" s="15"/>
      <c r="M2377" s="15"/>
      <c r="N2377" s="15"/>
      <c r="O2377" s="15"/>
      <c r="P2377" s="15"/>
      <c r="Q2377" s="15"/>
      <c r="R2377" s="15"/>
    </row>
    <row r="2378" spans="12:18" x14ac:dyDescent="0.2">
      <c r="L2378" s="15"/>
      <c r="M2378" s="15"/>
      <c r="N2378" s="15"/>
      <c r="O2378" s="15"/>
      <c r="P2378" s="15"/>
      <c r="Q2378" s="15"/>
      <c r="R2378" s="15"/>
    </row>
    <row r="2379" spans="12:18" x14ac:dyDescent="0.2">
      <c r="L2379" s="15"/>
      <c r="M2379" s="15"/>
      <c r="N2379" s="15"/>
      <c r="O2379" s="15"/>
      <c r="P2379" s="15"/>
      <c r="Q2379" s="15"/>
      <c r="R2379" s="15"/>
    </row>
    <row r="2380" spans="12:18" x14ac:dyDescent="0.2">
      <c r="L2380" s="15"/>
      <c r="M2380" s="15"/>
      <c r="N2380" s="15"/>
      <c r="O2380" s="15"/>
      <c r="P2380" s="15"/>
      <c r="Q2380" s="15"/>
      <c r="R2380" s="15"/>
    </row>
    <row r="2381" spans="12:18" x14ac:dyDescent="0.2">
      <c r="L2381" s="15"/>
      <c r="M2381" s="15"/>
      <c r="N2381" s="15"/>
      <c r="O2381" s="15"/>
      <c r="P2381" s="15"/>
      <c r="Q2381" s="15"/>
      <c r="R2381" s="15"/>
    </row>
    <row r="2382" spans="12:18" x14ac:dyDescent="0.2">
      <c r="L2382" s="15"/>
      <c r="M2382" s="15"/>
      <c r="N2382" s="15"/>
      <c r="O2382" s="15"/>
      <c r="P2382" s="15"/>
      <c r="Q2382" s="15"/>
      <c r="R2382" s="15"/>
    </row>
    <row r="2383" spans="12:18" x14ac:dyDescent="0.2">
      <c r="L2383" s="15"/>
      <c r="M2383" s="15"/>
      <c r="N2383" s="15"/>
      <c r="O2383" s="15"/>
      <c r="P2383" s="15"/>
      <c r="Q2383" s="15"/>
      <c r="R2383" s="15"/>
    </row>
    <row r="2384" spans="12:18" x14ac:dyDescent="0.2">
      <c r="L2384" s="15"/>
      <c r="M2384" s="15"/>
      <c r="N2384" s="15"/>
      <c r="O2384" s="15"/>
      <c r="P2384" s="15"/>
      <c r="Q2384" s="15"/>
      <c r="R2384" s="15"/>
    </row>
    <row r="2385" spans="12:18" x14ac:dyDescent="0.2">
      <c r="L2385" s="15"/>
      <c r="M2385" s="15"/>
      <c r="N2385" s="15"/>
      <c r="O2385" s="15"/>
      <c r="P2385" s="15"/>
      <c r="Q2385" s="15"/>
      <c r="R2385" s="15"/>
    </row>
    <row r="2386" spans="12:18" x14ac:dyDescent="0.2">
      <c r="L2386" s="15"/>
      <c r="M2386" s="15"/>
      <c r="N2386" s="15"/>
      <c r="O2386" s="15"/>
      <c r="P2386" s="15"/>
      <c r="Q2386" s="15"/>
      <c r="R2386" s="15"/>
    </row>
    <row r="2387" spans="12:18" x14ac:dyDescent="0.2">
      <c r="L2387" s="15"/>
      <c r="M2387" s="15"/>
      <c r="N2387" s="15"/>
      <c r="O2387" s="15"/>
      <c r="P2387" s="15"/>
      <c r="Q2387" s="15"/>
      <c r="R2387" s="15"/>
    </row>
    <row r="2388" spans="12:18" x14ac:dyDescent="0.2">
      <c r="L2388" s="15"/>
      <c r="M2388" s="15"/>
      <c r="N2388" s="15"/>
      <c r="O2388" s="15"/>
      <c r="P2388" s="15"/>
      <c r="Q2388" s="15"/>
      <c r="R2388" s="15"/>
    </row>
    <row r="2389" spans="12:18" x14ac:dyDescent="0.2">
      <c r="L2389" s="15"/>
      <c r="M2389" s="15"/>
      <c r="N2389" s="15"/>
      <c r="O2389" s="15"/>
      <c r="P2389" s="15"/>
      <c r="Q2389" s="15"/>
      <c r="R2389" s="15"/>
    </row>
    <row r="2390" spans="12:18" x14ac:dyDescent="0.2">
      <c r="L2390" s="15"/>
      <c r="M2390" s="15"/>
      <c r="N2390" s="15"/>
      <c r="O2390" s="15"/>
      <c r="P2390" s="15"/>
      <c r="Q2390" s="15"/>
      <c r="R2390" s="15"/>
    </row>
    <row r="2391" spans="12:18" x14ac:dyDescent="0.2">
      <c r="L2391" s="15"/>
      <c r="M2391" s="15"/>
      <c r="N2391" s="15"/>
      <c r="O2391" s="15"/>
      <c r="P2391" s="15"/>
      <c r="Q2391" s="15"/>
      <c r="R2391" s="15"/>
    </row>
    <row r="2392" spans="12:18" x14ac:dyDescent="0.2">
      <c r="L2392" s="15"/>
      <c r="M2392" s="15"/>
      <c r="N2392" s="15"/>
      <c r="O2392" s="15"/>
      <c r="P2392" s="15"/>
      <c r="Q2392" s="15"/>
      <c r="R2392" s="15"/>
    </row>
    <row r="2393" spans="12:18" x14ac:dyDescent="0.2">
      <c r="L2393" s="15"/>
      <c r="M2393" s="15"/>
      <c r="N2393" s="15"/>
      <c r="O2393" s="15"/>
      <c r="P2393" s="15"/>
      <c r="Q2393" s="15"/>
      <c r="R2393" s="15"/>
    </row>
    <row r="2394" spans="12:18" x14ac:dyDescent="0.2">
      <c r="L2394" s="15"/>
      <c r="M2394" s="15"/>
      <c r="N2394" s="15"/>
      <c r="O2394" s="15"/>
      <c r="P2394" s="15"/>
      <c r="Q2394" s="15"/>
      <c r="R2394" s="15"/>
    </row>
    <row r="2395" spans="12:18" x14ac:dyDescent="0.2">
      <c r="L2395" s="15"/>
      <c r="M2395" s="15"/>
      <c r="N2395" s="15"/>
      <c r="O2395" s="15"/>
      <c r="P2395" s="15"/>
      <c r="Q2395" s="15"/>
      <c r="R2395" s="15"/>
    </row>
    <row r="2396" spans="12:18" x14ac:dyDescent="0.2">
      <c r="L2396" s="15"/>
      <c r="M2396" s="15"/>
      <c r="N2396" s="15"/>
      <c r="O2396" s="15"/>
      <c r="P2396" s="15"/>
      <c r="Q2396" s="15"/>
      <c r="R2396" s="15"/>
    </row>
    <row r="2397" spans="12:18" x14ac:dyDescent="0.2">
      <c r="L2397" s="15"/>
      <c r="M2397" s="15"/>
      <c r="N2397" s="15"/>
      <c r="O2397" s="15"/>
      <c r="P2397" s="15"/>
      <c r="Q2397" s="15"/>
      <c r="R2397" s="15"/>
    </row>
    <row r="2398" spans="12:18" x14ac:dyDescent="0.2">
      <c r="L2398" s="15"/>
      <c r="M2398" s="15"/>
      <c r="N2398" s="15"/>
      <c r="O2398" s="15"/>
      <c r="P2398" s="15"/>
      <c r="Q2398" s="15"/>
      <c r="R2398" s="15"/>
    </row>
    <row r="2399" spans="12:18" x14ac:dyDescent="0.2">
      <c r="L2399" s="15"/>
      <c r="M2399" s="15"/>
      <c r="N2399" s="15"/>
      <c r="O2399" s="15"/>
      <c r="P2399" s="15"/>
      <c r="Q2399" s="15"/>
      <c r="R2399" s="15"/>
    </row>
    <row r="2400" spans="12:18" x14ac:dyDescent="0.2">
      <c r="L2400" s="15"/>
      <c r="M2400" s="15"/>
      <c r="N2400" s="15"/>
      <c r="O2400" s="15"/>
      <c r="P2400" s="15"/>
      <c r="Q2400" s="15"/>
      <c r="R2400" s="15"/>
    </row>
    <row r="2401" spans="12:18" x14ac:dyDescent="0.2">
      <c r="L2401" s="15"/>
      <c r="M2401" s="15"/>
      <c r="N2401" s="15"/>
      <c r="O2401" s="15"/>
      <c r="P2401" s="15"/>
      <c r="Q2401" s="15"/>
      <c r="R2401" s="15"/>
    </row>
    <row r="2402" spans="12:18" x14ac:dyDescent="0.2">
      <c r="L2402" s="15"/>
      <c r="M2402" s="15"/>
      <c r="N2402" s="15"/>
      <c r="O2402" s="15"/>
      <c r="P2402" s="15"/>
      <c r="Q2402" s="15"/>
      <c r="R2402" s="15"/>
    </row>
    <row r="2403" spans="12:18" x14ac:dyDescent="0.2">
      <c r="L2403" s="15"/>
      <c r="M2403" s="15"/>
      <c r="N2403" s="15"/>
      <c r="O2403" s="15"/>
      <c r="P2403" s="15"/>
      <c r="Q2403" s="15"/>
      <c r="R2403" s="15"/>
    </row>
    <row r="2404" spans="12:18" x14ac:dyDescent="0.2">
      <c r="L2404" s="15"/>
      <c r="M2404" s="15"/>
      <c r="N2404" s="15"/>
      <c r="O2404" s="15"/>
      <c r="P2404" s="15"/>
      <c r="Q2404" s="15"/>
      <c r="R2404" s="15"/>
    </row>
    <row r="2405" spans="12:18" x14ac:dyDescent="0.2">
      <c r="L2405" s="15"/>
      <c r="M2405" s="15"/>
      <c r="N2405" s="15"/>
      <c r="O2405" s="15"/>
      <c r="P2405" s="15"/>
      <c r="Q2405" s="15"/>
      <c r="R2405" s="15"/>
    </row>
    <row r="2406" spans="12:18" x14ac:dyDescent="0.2">
      <c r="L2406" s="15"/>
      <c r="M2406" s="15"/>
      <c r="N2406" s="15"/>
      <c r="O2406" s="15"/>
      <c r="P2406" s="15"/>
      <c r="Q2406" s="15"/>
      <c r="R2406" s="15"/>
    </row>
    <row r="2407" spans="12:18" x14ac:dyDescent="0.2">
      <c r="L2407" s="15"/>
      <c r="M2407" s="15"/>
      <c r="N2407" s="15"/>
      <c r="O2407" s="15"/>
      <c r="P2407" s="15"/>
      <c r="Q2407" s="15"/>
      <c r="R2407" s="15"/>
    </row>
    <row r="2408" spans="12:18" x14ac:dyDescent="0.2">
      <c r="L2408" s="15"/>
      <c r="M2408" s="15"/>
      <c r="N2408" s="15"/>
      <c r="O2408" s="15"/>
      <c r="P2408" s="15"/>
      <c r="Q2408" s="15"/>
      <c r="R2408" s="15"/>
    </row>
    <row r="2409" spans="12:18" x14ac:dyDescent="0.2">
      <c r="L2409" s="15"/>
      <c r="M2409" s="15"/>
      <c r="N2409" s="15"/>
      <c r="O2409" s="15"/>
      <c r="P2409" s="15"/>
      <c r="Q2409" s="15"/>
      <c r="R2409" s="15"/>
    </row>
    <row r="2410" spans="12:18" x14ac:dyDescent="0.2">
      <c r="L2410" s="15"/>
      <c r="M2410" s="15"/>
      <c r="N2410" s="15"/>
      <c r="O2410" s="15"/>
      <c r="P2410" s="15"/>
      <c r="Q2410" s="15"/>
      <c r="R2410" s="15"/>
    </row>
    <row r="2411" spans="12:18" x14ac:dyDescent="0.2">
      <c r="L2411" s="15"/>
      <c r="M2411" s="15"/>
      <c r="N2411" s="15"/>
      <c r="O2411" s="15"/>
      <c r="P2411" s="15"/>
      <c r="Q2411" s="15"/>
      <c r="R2411" s="15"/>
    </row>
    <row r="2412" spans="12:18" x14ac:dyDescent="0.2">
      <c r="L2412" s="15"/>
      <c r="M2412" s="15"/>
      <c r="N2412" s="15"/>
      <c r="O2412" s="15"/>
      <c r="P2412" s="15"/>
      <c r="Q2412" s="15"/>
      <c r="R2412" s="15"/>
    </row>
    <row r="2413" spans="12:18" x14ac:dyDescent="0.2">
      <c r="L2413" s="15"/>
      <c r="M2413" s="15"/>
      <c r="N2413" s="15"/>
      <c r="O2413" s="15"/>
      <c r="P2413" s="15"/>
      <c r="Q2413" s="15"/>
      <c r="R2413" s="15"/>
    </row>
    <row r="2414" spans="12:18" x14ac:dyDescent="0.2">
      <c r="L2414" s="15"/>
      <c r="M2414" s="15"/>
      <c r="N2414" s="15"/>
      <c r="O2414" s="15"/>
      <c r="P2414" s="15"/>
      <c r="Q2414" s="15"/>
      <c r="R2414" s="15"/>
    </row>
    <row r="2415" spans="12:18" x14ac:dyDescent="0.2">
      <c r="L2415" s="15"/>
      <c r="M2415" s="15"/>
      <c r="N2415" s="15"/>
      <c r="O2415" s="15"/>
      <c r="P2415" s="15"/>
      <c r="Q2415" s="15"/>
      <c r="R2415" s="15"/>
    </row>
    <row r="2416" spans="12:18" x14ac:dyDescent="0.2">
      <c r="L2416" s="15"/>
      <c r="M2416" s="15"/>
      <c r="N2416" s="15"/>
      <c r="O2416" s="15"/>
      <c r="P2416" s="15"/>
      <c r="Q2416" s="15"/>
      <c r="R2416" s="15"/>
    </row>
    <row r="2417" spans="12:18" x14ac:dyDescent="0.2">
      <c r="L2417" s="15"/>
      <c r="M2417" s="15"/>
      <c r="N2417" s="15"/>
      <c r="O2417" s="15"/>
      <c r="P2417" s="15"/>
      <c r="Q2417" s="15"/>
      <c r="R2417" s="15"/>
    </row>
    <row r="2418" spans="12:18" x14ac:dyDescent="0.2">
      <c r="L2418" s="15"/>
      <c r="M2418" s="15"/>
      <c r="N2418" s="15"/>
      <c r="O2418" s="15"/>
      <c r="P2418" s="15"/>
      <c r="Q2418" s="15"/>
      <c r="R2418" s="15"/>
    </row>
    <row r="2419" spans="12:18" x14ac:dyDescent="0.2">
      <c r="L2419" s="15"/>
      <c r="M2419" s="15"/>
      <c r="N2419" s="15"/>
      <c r="O2419" s="15"/>
      <c r="P2419" s="15"/>
      <c r="Q2419" s="15"/>
      <c r="R2419" s="15"/>
    </row>
    <row r="2420" spans="12:18" x14ac:dyDescent="0.2">
      <c r="L2420" s="15"/>
      <c r="M2420" s="15"/>
      <c r="N2420" s="15"/>
      <c r="O2420" s="15"/>
      <c r="P2420" s="15"/>
      <c r="Q2420" s="15"/>
      <c r="R2420" s="15"/>
    </row>
    <row r="2421" spans="12:18" x14ac:dyDescent="0.2">
      <c r="L2421" s="15"/>
      <c r="M2421" s="15"/>
      <c r="N2421" s="15"/>
      <c r="O2421" s="15"/>
      <c r="P2421" s="15"/>
      <c r="Q2421" s="15"/>
      <c r="R2421" s="15"/>
    </row>
    <row r="2422" spans="12:18" x14ac:dyDescent="0.2">
      <c r="L2422" s="15"/>
      <c r="M2422" s="15"/>
      <c r="N2422" s="15"/>
      <c r="O2422" s="15"/>
      <c r="P2422" s="15"/>
      <c r="Q2422" s="15"/>
      <c r="R2422" s="15"/>
    </row>
    <row r="2423" spans="12:18" x14ac:dyDescent="0.2">
      <c r="L2423" s="15"/>
      <c r="M2423" s="15"/>
      <c r="N2423" s="15"/>
      <c r="O2423" s="15"/>
      <c r="P2423" s="15"/>
      <c r="Q2423" s="15"/>
      <c r="R2423" s="15"/>
    </row>
    <row r="2424" spans="12:18" x14ac:dyDescent="0.2">
      <c r="L2424" s="15"/>
      <c r="M2424" s="15"/>
      <c r="N2424" s="15"/>
      <c r="O2424" s="15"/>
      <c r="P2424" s="15"/>
      <c r="Q2424" s="15"/>
      <c r="R2424" s="15"/>
    </row>
    <row r="2425" spans="12:18" x14ac:dyDescent="0.2">
      <c r="L2425" s="15"/>
      <c r="M2425" s="15"/>
      <c r="N2425" s="15"/>
      <c r="O2425" s="15"/>
      <c r="P2425" s="15"/>
      <c r="Q2425" s="15"/>
      <c r="R2425" s="15"/>
    </row>
    <row r="2426" spans="12:18" x14ac:dyDescent="0.2">
      <c r="L2426" s="15"/>
      <c r="M2426" s="15"/>
      <c r="N2426" s="15"/>
      <c r="O2426" s="15"/>
      <c r="P2426" s="15"/>
      <c r="Q2426" s="15"/>
      <c r="R2426" s="15"/>
    </row>
    <row r="2427" spans="12:18" x14ac:dyDescent="0.2">
      <c r="L2427" s="15"/>
      <c r="M2427" s="15"/>
      <c r="N2427" s="15"/>
      <c r="O2427" s="15"/>
      <c r="P2427" s="15"/>
      <c r="Q2427" s="15"/>
      <c r="R2427" s="15"/>
    </row>
    <row r="2428" spans="12:18" x14ac:dyDescent="0.2">
      <c r="L2428" s="15"/>
      <c r="M2428" s="15"/>
      <c r="N2428" s="15"/>
      <c r="O2428" s="15"/>
      <c r="P2428" s="15"/>
      <c r="Q2428" s="15"/>
      <c r="R2428" s="15"/>
    </row>
    <row r="2429" spans="12:18" x14ac:dyDescent="0.2">
      <c r="L2429" s="15"/>
      <c r="M2429" s="15"/>
      <c r="N2429" s="15"/>
      <c r="O2429" s="15"/>
      <c r="P2429" s="15"/>
      <c r="Q2429" s="15"/>
      <c r="R2429" s="15"/>
    </row>
    <row r="10491" spans="20:22" x14ac:dyDescent="0.2">
      <c r="U10491" s="16" t="s">
        <v>1554</v>
      </c>
    </row>
    <row r="10492" spans="20:22" x14ac:dyDescent="0.2">
      <c r="T10492" t="s">
        <v>1555</v>
      </c>
      <c r="U10492" s="21">
        <f>SUMIF($B:$B,T10492,$R:$R)</f>
        <v>0</v>
      </c>
      <c r="V10492" s="15">
        <v>8599.3919916615996</v>
      </c>
    </row>
    <row r="10493" spans="20:22" x14ac:dyDescent="0.2">
      <c r="T10493" t="s">
        <v>1556</v>
      </c>
      <c r="U10493" s="20">
        <f>SUMIF($B:$B,T10493,$R:$R)</f>
        <v>0</v>
      </c>
      <c r="V10493" s="15">
        <v>41252</v>
      </c>
    </row>
    <row r="10494" spans="20:22" x14ac:dyDescent="0.2">
      <c r="T10494" t="s">
        <v>1557</v>
      </c>
      <c r="U10494" s="20">
        <f>SUMIF($B:$B,T10494,$R:$R)</f>
        <v>0</v>
      </c>
      <c r="V10494" s="15">
        <v>46404.56207042851</v>
      </c>
    </row>
    <row r="10495" spans="20:22" x14ac:dyDescent="0.2">
      <c r="T10495" t="s">
        <v>1558</v>
      </c>
      <c r="U10495" s="20">
        <f>SUMIF($B:$B,T10495,$R:$R)</f>
        <v>0</v>
      </c>
      <c r="V10495" s="15">
        <v>53028</v>
      </c>
    </row>
    <row r="10496" spans="20:22" x14ac:dyDescent="0.2">
      <c r="T10496" t="s">
        <v>1559</v>
      </c>
      <c r="U10496" s="20">
        <f>SUMIF($B:$B,T10496,$R:$R)</f>
        <v>0</v>
      </c>
      <c r="V10496" s="15">
        <v>59200.786483153934</v>
      </c>
    </row>
    <row r="10497" spans="20:22" x14ac:dyDescent="0.2">
      <c r="T10497" t="s">
        <v>1560</v>
      </c>
      <c r="U10497" s="20">
        <f>SUMIF($B:$B,T10497,$R:$R)</f>
        <v>0</v>
      </c>
      <c r="V10497" s="15">
        <v>67000</v>
      </c>
    </row>
    <row r="10498" spans="20:22" x14ac:dyDescent="0.2">
      <c r="T10498" t="s">
        <v>1561</v>
      </c>
      <c r="U10498" s="20">
        <f>SUMIF($B:$B,T10498,$R:$R)</f>
        <v>0</v>
      </c>
      <c r="V10498" s="15">
        <v>75546.434710141155</v>
      </c>
    </row>
    <row r="10499" spans="20:22" x14ac:dyDescent="0.2">
      <c r="T10499" t="s">
        <v>1562</v>
      </c>
      <c r="U10499" s="20">
        <f>SUMIF($B:$B,T10499,$R:$R)</f>
        <v>0</v>
      </c>
      <c r="V10499" s="15">
        <v>86592</v>
      </c>
    </row>
    <row r="10500" spans="20:22" x14ac:dyDescent="0.2">
      <c r="T10500" t="s">
        <v>1563</v>
      </c>
      <c r="U10500" s="20">
        <f>SUMIF($B:$B,T10500,$R:$R)</f>
        <v>0</v>
      </c>
      <c r="V10500" s="15">
        <v>144411.04524209703</v>
      </c>
    </row>
    <row r="10501" spans="20:22" x14ac:dyDescent="0.2">
      <c r="T10501" t="s">
        <v>1564</v>
      </c>
      <c r="U10501" s="20">
        <f>SUMIF($B:$B,T10501,$R:$R)</f>
        <v>0</v>
      </c>
      <c r="V10501" s="15">
        <v>8599.3919916615996</v>
      </c>
    </row>
    <row r="10502" spans="20:22" x14ac:dyDescent="0.2">
      <c r="T10502" t="s">
        <v>1565</v>
      </c>
      <c r="U10502" s="20">
        <f>SUMIF($B:$B,T10502,$R:$R)</f>
        <v>0</v>
      </c>
      <c r="V10502" s="15">
        <v>41252</v>
      </c>
    </row>
    <row r="10503" spans="20:22" x14ac:dyDescent="0.2">
      <c r="T10503" t="s">
        <v>1566</v>
      </c>
      <c r="U10503" s="20">
        <f>SUMIF($B:$B,T10503,$R:$R)</f>
        <v>0</v>
      </c>
      <c r="V10503" s="15">
        <v>46404.56207042851</v>
      </c>
    </row>
    <row r="10504" spans="20:22" x14ac:dyDescent="0.2">
      <c r="T10504" t="s">
        <v>1567</v>
      </c>
      <c r="U10504" s="20">
        <f>SUMIF($B:$B,T10504,$R:$R)</f>
        <v>0</v>
      </c>
      <c r="V10504" s="15">
        <v>53028</v>
      </c>
    </row>
    <row r="10505" spans="20:22" x14ac:dyDescent="0.2">
      <c r="T10505" t="s">
        <v>1568</v>
      </c>
      <c r="U10505" s="20">
        <f>SUMIF($B:$B,T10505,$R:$R)</f>
        <v>0</v>
      </c>
      <c r="V10505" s="15">
        <v>59200.786483153934</v>
      </c>
    </row>
    <row r="10506" spans="20:22" x14ac:dyDescent="0.2">
      <c r="T10506" t="s">
        <v>1569</v>
      </c>
      <c r="U10506" s="20">
        <f>SUMIF($B:$B,T10506,$R:$R)</f>
        <v>0</v>
      </c>
      <c r="V10506" s="15">
        <v>67000</v>
      </c>
    </row>
    <row r="10507" spans="20:22" x14ac:dyDescent="0.2">
      <c r="T10507" t="s">
        <v>1570</v>
      </c>
      <c r="U10507" s="20">
        <f>SUMIF($B:$B,T10507,$R:$R)</f>
        <v>0</v>
      </c>
      <c r="V10507" s="15">
        <v>75546.434710141155</v>
      </c>
    </row>
    <row r="10508" spans="20:22" x14ac:dyDescent="0.2">
      <c r="T10508" t="s">
        <v>1571</v>
      </c>
      <c r="U10508" s="20">
        <f>SUMIF($B:$B,T10508,$R:$R)</f>
        <v>0</v>
      </c>
      <c r="V10508" s="15">
        <v>86592</v>
      </c>
    </row>
    <row r="10509" spans="20:22" x14ac:dyDescent="0.2">
      <c r="T10509" t="s">
        <v>1572</v>
      </c>
      <c r="U10509" s="20">
        <f>SUMIF($B:$B,T10509,$R:$R)</f>
        <v>0</v>
      </c>
      <c r="V10509" s="15">
        <v>144411.04524209703</v>
      </c>
    </row>
    <row r="10510" spans="20:22" x14ac:dyDescent="0.2">
      <c r="T10510" t="s">
        <v>1573</v>
      </c>
      <c r="U10510" s="20">
        <f>SUMIF($B:$B,T10510,$R:$R)</f>
        <v>0</v>
      </c>
      <c r="V10510" s="15">
        <v>8599.3919916615996</v>
      </c>
    </row>
    <row r="10511" spans="20:22" x14ac:dyDescent="0.2">
      <c r="T10511" t="s">
        <v>1574</v>
      </c>
      <c r="U10511" s="20">
        <f>SUMIF($B:$B,T10511,$R:$R)</f>
        <v>0</v>
      </c>
      <c r="V10511" s="15">
        <v>41252</v>
      </c>
    </row>
    <row r="10512" spans="20:22" x14ac:dyDescent="0.2">
      <c r="T10512" t="s">
        <v>1575</v>
      </c>
      <c r="U10512" s="20">
        <f>SUMIF($B:$B,T10512,$R:$R)</f>
        <v>0</v>
      </c>
      <c r="V10512" s="15">
        <v>46404.56207042851</v>
      </c>
    </row>
    <row r="10513" spans="19:22" x14ac:dyDescent="0.2">
      <c r="T10513" t="s">
        <v>1576</v>
      </c>
      <c r="U10513" s="20">
        <f>SUMIF($B:$B,T10513,$R:$R)</f>
        <v>0</v>
      </c>
      <c r="V10513" s="15">
        <v>53028</v>
      </c>
    </row>
    <row r="10514" spans="19:22" x14ac:dyDescent="0.2">
      <c r="T10514" t="s">
        <v>1577</v>
      </c>
      <c r="U10514" s="20">
        <f>SUMIF($B:$B,T10514,$R:$R)</f>
        <v>0</v>
      </c>
      <c r="V10514" s="15">
        <v>59200.786483153934</v>
      </c>
    </row>
    <row r="10515" spans="19:22" x14ac:dyDescent="0.2">
      <c r="T10515" t="s">
        <v>1578</v>
      </c>
      <c r="U10515" s="20">
        <f>SUMIF($B:$B,T10515,$R:$R)</f>
        <v>0</v>
      </c>
      <c r="V10515" s="15">
        <v>67000</v>
      </c>
    </row>
    <row r="10516" spans="19:22" x14ac:dyDescent="0.2">
      <c r="T10516" t="s">
        <v>1579</v>
      </c>
      <c r="U10516" s="20">
        <f>SUMIF($B:$B,T10516,$R:$R)</f>
        <v>0</v>
      </c>
      <c r="V10516" s="15">
        <v>75546.434710141155</v>
      </c>
    </row>
    <row r="10517" spans="19:22" x14ac:dyDescent="0.2">
      <c r="T10517" t="s">
        <v>1580</v>
      </c>
      <c r="U10517" s="20">
        <f>SUMIF($B:$B,T10517,$R:$R)</f>
        <v>0</v>
      </c>
      <c r="V10517" s="15">
        <v>86592</v>
      </c>
    </row>
    <row r="10518" spans="19:22" x14ac:dyDescent="0.2">
      <c r="T10518" t="s">
        <v>1581</v>
      </c>
      <c r="U10518" s="20">
        <f>SUMIF($B:$B,T10518,$R:$R)</f>
        <v>0</v>
      </c>
      <c r="V10518" s="15">
        <v>144411.04524209703</v>
      </c>
    </row>
    <row r="10519" spans="19:22" x14ac:dyDescent="0.2">
      <c r="S10519" s="15"/>
      <c r="T10519" t="s">
        <v>1582</v>
      </c>
      <c r="U10519" s="20">
        <f>SUMIF($B:$B,T10519,$R:$R)</f>
        <v>0</v>
      </c>
      <c r="V10519" s="15">
        <v>51377.990898375509</v>
      </c>
    </row>
    <row r="10520" spans="19:22" x14ac:dyDescent="0.2">
      <c r="S10520" s="15"/>
      <c r="T10520" t="s">
        <v>1583</v>
      </c>
      <c r="U10520" s="20">
        <f>SUMIF($B:$B,T10520,$R:$R)</f>
        <v>0</v>
      </c>
      <c r="V10520" s="15">
        <v>619678</v>
      </c>
    </row>
    <row r="10521" spans="19:22" x14ac:dyDescent="0.2">
      <c r="S10521" s="15"/>
      <c r="T10521" t="s">
        <v>1584</v>
      </c>
      <c r="U10521" s="20">
        <f>SUMIF($B:$B,T10521,$R:$R)</f>
        <v>0</v>
      </c>
      <c r="V10521" s="15">
        <v>619678</v>
      </c>
    </row>
    <row r="10522" spans="19:22" x14ac:dyDescent="0.2">
      <c r="S10522" s="15"/>
      <c r="T10522" t="s">
        <v>1585</v>
      </c>
      <c r="U10522" s="20">
        <f>SUMIF($B:$B,T10522,$R:$R)</f>
        <v>0</v>
      </c>
      <c r="V10522" s="15">
        <v>619678</v>
      </c>
    </row>
    <row r="10523" spans="19:22" x14ac:dyDescent="0.2">
      <c r="S10523" s="15"/>
      <c r="T10523" t="s">
        <v>1586</v>
      </c>
      <c r="U10523" s="20">
        <f>SUMIF($B:$B,T10523,$R:$R)</f>
        <v>0</v>
      </c>
      <c r="V10523" s="15">
        <v>619678</v>
      </c>
    </row>
    <row r="10524" spans="19:22" x14ac:dyDescent="0.2">
      <c r="S10524" s="15"/>
      <c r="T10524" t="s">
        <v>1587</v>
      </c>
      <c r="U10524" s="20">
        <f>SUMIF($B:$B,T10524,$R:$R)</f>
        <v>0</v>
      </c>
      <c r="V10524" s="15">
        <v>619678</v>
      </c>
    </row>
    <row r="10525" spans="19:22" x14ac:dyDescent="0.2">
      <c r="S10525" s="15"/>
      <c r="T10525" t="s">
        <v>1588</v>
      </c>
      <c r="U10525" s="20">
        <f>SUMIF($B:$B,T10525,$R:$R)</f>
        <v>0</v>
      </c>
      <c r="V10525" s="15">
        <v>619678</v>
      </c>
    </row>
    <row r="10526" spans="19:22" x14ac:dyDescent="0.2">
      <c r="S10526" s="15"/>
      <c r="T10526" t="s">
        <v>1589</v>
      </c>
      <c r="U10526" s="20">
        <f>SUMIF($B:$B,T10526,$R:$R)</f>
        <v>0</v>
      </c>
      <c r="V10526" s="15">
        <v>619678</v>
      </c>
    </row>
    <row r="10527" spans="19:22" x14ac:dyDescent="0.2">
      <c r="S10527" s="15"/>
      <c r="T10527" t="s">
        <v>1590</v>
      </c>
      <c r="U10527" s="20">
        <f>SUMIF($B:$B,T10527,$R:$R)</f>
        <v>0</v>
      </c>
      <c r="V10527" s="15">
        <v>1148034.7197773287</v>
      </c>
    </row>
    <row r="10528" spans="19:22" x14ac:dyDescent="0.2">
      <c r="S10528" s="15"/>
      <c r="T10528" s="22" t="s">
        <v>1591</v>
      </c>
      <c r="U10528" s="20">
        <f>SUMIF($B:$B,T10528,$R:$R)</f>
        <v>0</v>
      </c>
    </row>
    <row r="10529" spans="19:21" x14ac:dyDescent="0.2">
      <c r="S10529" s="15"/>
      <c r="T10529" s="22" t="s">
        <v>1592</v>
      </c>
      <c r="U10529" s="20">
        <f>SUMIF($B:$B,T10529,$R:$R)</f>
        <v>0</v>
      </c>
    </row>
    <row r="10530" spans="19:21" x14ac:dyDescent="0.2">
      <c r="S10530" s="15"/>
      <c r="T10530" s="22" t="s">
        <v>1593</v>
      </c>
      <c r="U10530" s="20">
        <f>SUMIF($B:$B,T10530,$R:$R)</f>
        <v>0</v>
      </c>
    </row>
    <row r="10531" spans="19:21" x14ac:dyDescent="0.2">
      <c r="S10531" s="15"/>
      <c r="T10531" s="22" t="s">
        <v>1594</v>
      </c>
      <c r="U10531" s="20">
        <f>SUMIF($B:$B,T10531,$R:$R)</f>
        <v>0</v>
      </c>
    </row>
    <row r="10532" spans="19:21" x14ac:dyDescent="0.2">
      <c r="S10532" s="15"/>
      <c r="T10532" s="22" t="s">
        <v>1595</v>
      </c>
      <c r="U10532" s="20">
        <f>SUMIF($B:$B,T10532,$R:$R)</f>
        <v>0</v>
      </c>
    </row>
    <row r="10533" spans="19:21" x14ac:dyDescent="0.2">
      <c r="S10533" s="15"/>
      <c r="T10533" s="22" t="s">
        <v>1596</v>
      </c>
      <c r="U10533" s="20">
        <f>SUMIF($B:$B,T10533,$R:$R)</f>
        <v>0</v>
      </c>
    </row>
    <row r="10534" spans="19:21" x14ac:dyDescent="0.2">
      <c r="T10534" s="22" t="s">
        <v>1597</v>
      </c>
      <c r="U10534" s="20">
        <f>SUMIF($B:$B,T10534,$R:$R)</f>
        <v>0</v>
      </c>
    </row>
    <row r="10535" spans="19:21" x14ac:dyDescent="0.2">
      <c r="T10535" s="22" t="s">
        <v>1598</v>
      </c>
      <c r="U10535" s="20">
        <f>SUMIF($B:$B,T10535,$R:$R)</f>
        <v>0</v>
      </c>
    </row>
    <row r="10536" spans="19:21" x14ac:dyDescent="0.2">
      <c r="T10536" s="22" t="s">
        <v>1599</v>
      </c>
      <c r="U10536" s="20">
        <f>SUMIF($B:$B,T10536,$R:$R)</f>
        <v>0</v>
      </c>
    </row>
    <row r="10537" spans="19:21" x14ac:dyDescent="0.2">
      <c r="T10537" s="22" t="s">
        <v>1600</v>
      </c>
      <c r="U10537" s="20">
        <f>SUMIF($B:$B,T10537,$R:$R)</f>
        <v>0</v>
      </c>
    </row>
    <row r="10538" spans="19:21" x14ac:dyDescent="0.2">
      <c r="T10538" s="22" t="s">
        <v>1601</v>
      </c>
      <c r="U10538" s="20">
        <f>SUMIF($B:$B,T10538,$R:$R)</f>
        <v>0</v>
      </c>
    </row>
    <row r="10539" spans="19:21" x14ac:dyDescent="0.2">
      <c r="T10539" s="22" t="s">
        <v>1602</v>
      </c>
      <c r="U10539" s="20">
        <f>SUMIF($B:$B,T10539,$R:$R)</f>
        <v>0</v>
      </c>
    </row>
    <row r="10540" spans="19:21" x14ac:dyDescent="0.2">
      <c r="T10540" s="22" t="s">
        <v>1603</v>
      </c>
      <c r="U10540" s="20">
        <f>SUMIF($B:$B,T10540,$R:$R)</f>
        <v>0</v>
      </c>
    </row>
    <row r="10541" spans="19:21" x14ac:dyDescent="0.2">
      <c r="T10541" s="22" t="s">
        <v>1604</v>
      </c>
      <c r="U10541" s="20">
        <f>SUMIF($B:$B,T10541,$R:$R)</f>
        <v>0</v>
      </c>
    </row>
    <row r="10542" spans="19:21" x14ac:dyDescent="0.2">
      <c r="T10542" s="22" t="s">
        <v>1605</v>
      </c>
      <c r="U10542" s="20">
        <f>SUMIF($B:$B,T10542,$R:$R)</f>
        <v>0</v>
      </c>
    </row>
    <row r="10543" spans="19:21" x14ac:dyDescent="0.2">
      <c r="T10543" s="22" t="s">
        <v>1606</v>
      </c>
      <c r="U10543" s="20">
        <f>SUMIF($B:$B,T10543,$R:$R)</f>
        <v>0</v>
      </c>
    </row>
    <row r="10544" spans="19:21" x14ac:dyDescent="0.2">
      <c r="T10544" s="22" t="s">
        <v>1607</v>
      </c>
      <c r="U10544" s="20">
        <f>SUMIF($B:$B,T10544,$R:$R)</f>
        <v>0</v>
      </c>
    </row>
    <row r="10545" spans="20:21" x14ac:dyDescent="0.2">
      <c r="T10545" s="22" t="s">
        <v>1608</v>
      </c>
      <c r="U10545" s="20">
        <f>SUMIF($B:$B,T10545,$R:$R)</f>
        <v>0</v>
      </c>
    </row>
    <row r="10546" spans="20:21" x14ac:dyDescent="0.2">
      <c r="T10546" s="15"/>
      <c r="U10546" s="15"/>
    </row>
    <row r="10547" spans="20:21" x14ac:dyDescent="0.2">
      <c r="T10547" s="15"/>
      <c r="U10547" s="15"/>
    </row>
    <row r="10548" spans="20:21" x14ac:dyDescent="0.2">
      <c r="T10548" s="15"/>
      <c r="U10548" s="15"/>
    </row>
    <row r="10549" spans="20:21" x14ac:dyDescent="0.2">
      <c r="T10549" s="15"/>
      <c r="U10549" s="15"/>
    </row>
    <row r="10550" spans="20:21" x14ac:dyDescent="0.2">
      <c r="T10550" s="15"/>
      <c r="U10550" s="15"/>
    </row>
    <row r="10551" spans="20:21" x14ac:dyDescent="0.2">
      <c r="T10551" s="15"/>
      <c r="U10551" s="15"/>
    </row>
    <row r="10570" spans="20:27" x14ac:dyDescent="0.2">
      <c r="T10570">
        <v>1</v>
      </c>
      <c r="U10570">
        <v>10</v>
      </c>
      <c r="W10570" s="15">
        <v>30</v>
      </c>
      <c r="X10570" s="15">
        <v>21</v>
      </c>
      <c r="Y10570" s="15">
        <f t="shared" ref="Y10570:Y10580" si="50">ROUNDUP(X10570,-1)</f>
        <v>30</v>
      </c>
      <c r="Z10570" s="15">
        <f t="shared" ref="Z10570:Z10580" si="51">Y10570-X10570</f>
        <v>9</v>
      </c>
    </row>
    <row r="10571" spans="20:27" x14ac:dyDescent="0.2">
      <c r="T10571">
        <v>11</v>
      </c>
      <c r="U10571">
        <v>20</v>
      </c>
      <c r="W10571" s="15">
        <v>30</v>
      </c>
      <c r="X10571" s="15">
        <v>25</v>
      </c>
      <c r="Y10571" s="15">
        <f t="shared" si="50"/>
        <v>30</v>
      </c>
      <c r="Z10571" s="15">
        <f t="shared" si="51"/>
        <v>5</v>
      </c>
    </row>
    <row r="10572" spans="20:27" x14ac:dyDescent="0.2">
      <c r="T10572">
        <v>21</v>
      </c>
      <c r="U10572">
        <v>30</v>
      </c>
      <c r="W10572" s="15">
        <v>30</v>
      </c>
      <c r="X10572" s="15">
        <v>29</v>
      </c>
      <c r="Y10572" s="15">
        <f t="shared" si="50"/>
        <v>30</v>
      </c>
      <c r="Z10572" s="15">
        <f t="shared" si="51"/>
        <v>1</v>
      </c>
    </row>
    <row r="10573" spans="20:27" x14ac:dyDescent="0.2">
      <c r="T10573">
        <v>31</v>
      </c>
      <c r="U10573">
        <v>35</v>
      </c>
      <c r="W10573" s="15">
        <v>30</v>
      </c>
      <c r="X10573" s="15">
        <v>30</v>
      </c>
      <c r="Y10573" s="15">
        <f t="shared" si="50"/>
        <v>30</v>
      </c>
      <c r="Z10573" s="15">
        <f t="shared" si="51"/>
        <v>0</v>
      </c>
    </row>
    <row r="10574" spans="20:27" x14ac:dyDescent="0.2">
      <c r="T10574">
        <v>36</v>
      </c>
      <c r="U10574">
        <v>40</v>
      </c>
      <c r="W10574" s="15">
        <v>35</v>
      </c>
      <c r="X10574" s="15">
        <v>31</v>
      </c>
      <c r="Y10574" s="15">
        <f t="shared" si="50"/>
        <v>40</v>
      </c>
      <c r="Z10574" s="15">
        <f t="shared" si="51"/>
        <v>9</v>
      </c>
      <c r="AA10574" s="15">
        <f t="shared" ref="AA10574:AA10580" si="52">IF(Z10574&gt;=5,Y10574-5,Y10574)</f>
        <v>35</v>
      </c>
    </row>
    <row r="10575" spans="20:27" x14ac:dyDescent="0.2">
      <c r="T10575">
        <v>41</v>
      </c>
      <c r="U10575">
        <v>45</v>
      </c>
      <c r="W10575" s="15">
        <v>35</v>
      </c>
      <c r="X10575" s="15">
        <v>35</v>
      </c>
      <c r="Y10575" s="15">
        <f t="shared" si="50"/>
        <v>40</v>
      </c>
      <c r="Z10575" s="15">
        <f t="shared" si="51"/>
        <v>5</v>
      </c>
      <c r="AA10575" s="15">
        <f t="shared" si="52"/>
        <v>35</v>
      </c>
    </row>
    <row r="10576" spans="20:27" x14ac:dyDescent="0.2">
      <c r="T10576">
        <v>46</v>
      </c>
      <c r="U10576">
        <v>50</v>
      </c>
      <c r="W10576" s="15">
        <v>40</v>
      </c>
      <c r="X10576" s="15">
        <v>36</v>
      </c>
      <c r="Y10576" s="15">
        <f t="shared" si="50"/>
        <v>40</v>
      </c>
      <c r="Z10576" s="15">
        <f t="shared" si="51"/>
        <v>4</v>
      </c>
      <c r="AA10576" s="15">
        <f t="shared" si="52"/>
        <v>40</v>
      </c>
    </row>
    <row r="10577" spans="20:27" x14ac:dyDescent="0.2">
      <c r="T10577">
        <v>51</v>
      </c>
      <c r="U10577">
        <v>55</v>
      </c>
      <c r="W10577" s="15">
        <v>40</v>
      </c>
      <c r="X10577" s="15">
        <v>40</v>
      </c>
      <c r="Y10577" s="15">
        <f t="shared" si="50"/>
        <v>40</v>
      </c>
      <c r="Z10577" s="15">
        <f t="shared" si="51"/>
        <v>0</v>
      </c>
      <c r="AA10577" s="15">
        <f t="shared" si="52"/>
        <v>40</v>
      </c>
    </row>
    <row r="10578" spans="20:27" x14ac:dyDescent="0.2">
      <c r="T10578">
        <v>56</v>
      </c>
      <c r="U10578">
        <v>60</v>
      </c>
      <c r="W10578" s="15">
        <v>45</v>
      </c>
      <c r="X10578" s="15">
        <v>41</v>
      </c>
      <c r="Y10578" s="15">
        <f t="shared" si="50"/>
        <v>50</v>
      </c>
      <c r="Z10578" s="15">
        <f t="shared" si="51"/>
        <v>9</v>
      </c>
      <c r="AA10578" s="15">
        <f t="shared" si="52"/>
        <v>45</v>
      </c>
    </row>
    <row r="10579" spans="20:27" x14ac:dyDescent="0.2">
      <c r="W10579" s="15">
        <v>45</v>
      </c>
      <c r="X10579" s="15">
        <v>45</v>
      </c>
      <c r="Y10579" s="15">
        <f t="shared" si="50"/>
        <v>50</v>
      </c>
      <c r="Z10579" s="15">
        <f t="shared" si="51"/>
        <v>5</v>
      </c>
      <c r="AA10579" s="15">
        <f t="shared" si="52"/>
        <v>45</v>
      </c>
    </row>
    <row r="10580" spans="20:27" x14ac:dyDescent="0.2">
      <c r="W10580" s="15">
        <v>50</v>
      </c>
      <c r="X10580" s="15">
        <v>46</v>
      </c>
      <c r="Y10580" s="15">
        <f t="shared" si="50"/>
        <v>50</v>
      </c>
      <c r="Z10580" s="15">
        <f t="shared" si="51"/>
        <v>4</v>
      </c>
      <c r="AA10580" s="15">
        <f t="shared" si="52"/>
        <v>50</v>
      </c>
    </row>
    <row r="10605" spans="23:27" x14ac:dyDescent="0.2">
      <c r="W10605" s="15">
        <v>50</v>
      </c>
      <c r="X10605" s="15">
        <v>50</v>
      </c>
      <c r="Y10605" s="15">
        <f>ROUNDUP(X10605,-1)</f>
        <v>50</v>
      </c>
      <c r="Z10605" s="15">
        <f>Y10605-X10605</f>
        <v>0</v>
      </c>
      <c r="AA10605" s="15">
        <f>IF(Z10605&gt;=5,Y10605-5,Y10605)</f>
        <v>50</v>
      </c>
    </row>
    <row r="10648" spans="20:21" x14ac:dyDescent="0.2">
      <c r="T10648" s="15"/>
      <c r="U10648" s="15"/>
    </row>
    <row r="10649" spans="20:21" x14ac:dyDescent="0.2">
      <c r="T10649" s="15"/>
      <c r="U10649" s="15"/>
    </row>
    <row r="10650" spans="20:21" x14ac:dyDescent="0.2">
      <c r="T10650" s="17" t="s">
        <v>1612</v>
      </c>
      <c r="U10650" s="20">
        <f>SUMIF($B:$B,T10650,$R:$R)</f>
        <v>62843.244939589007</v>
      </c>
    </row>
    <row r="10651" spans="20:21" ht="13.5" x14ac:dyDescent="0.25">
      <c r="T10651" s="9" t="s">
        <v>1613</v>
      </c>
      <c r="U10651" s="20">
        <f>SUMIF($B:$B,T10651,$R:$R)</f>
        <v>0</v>
      </c>
    </row>
    <row r="10652" spans="20:21" ht="13.5" x14ac:dyDescent="0.25">
      <c r="T10652" s="9" t="s">
        <v>1614</v>
      </c>
      <c r="U10652" s="20">
        <f>SUMIF($B:$B,T10652,$R:$R)</f>
        <v>0</v>
      </c>
    </row>
    <row r="10653" spans="20:21" ht="13.5" x14ac:dyDescent="0.25">
      <c r="T10653" s="9" t="s">
        <v>1615</v>
      </c>
      <c r="U10653" s="20">
        <f>SUMIF($B:$B,T10653,$R:$R)</f>
        <v>0</v>
      </c>
    </row>
    <row r="10654" spans="20:21" ht="13.5" x14ac:dyDescent="0.25">
      <c r="T10654" s="9" t="s">
        <v>1616</v>
      </c>
      <c r="U10654" s="20">
        <f>SUMIF($B:$B,T10654,$R:$R)</f>
        <v>0</v>
      </c>
    </row>
    <row r="10655" spans="20:21" x14ac:dyDescent="0.2">
      <c r="T10655" t="s">
        <v>1147</v>
      </c>
      <c r="U10655" s="20">
        <f>SUMIF($B:$B,T10655,$R:$R)</f>
        <v>0</v>
      </c>
    </row>
    <row r="10656" spans="20:21" x14ac:dyDescent="0.2">
      <c r="T10656" t="s">
        <v>1157</v>
      </c>
      <c r="U10656" s="20">
        <f>SUMIF($B:$B,T10656,$R:$R)</f>
        <v>0</v>
      </c>
    </row>
    <row r="10657" spans="20:27" x14ac:dyDescent="0.2">
      <c r="T10657" t="s">
        <v>1158</v>
      </c>
      <c r="U10657" s="20">
        <f>SUMIF($B:$B,T10657,$R:$R)</f>
        <v>0</v>
      </c>
    </row>
    <row r="10658" spans="20:27" x14ac:dyDescent="0.2">
      <c r="T10658" t="s">
        <v>1163</v>
      </c>
      <c r="U10658" s="20">
        <f>SUMIF($B:$B,T10658,$R:$R)</f>
        <v>0</v>
      </c>
    </row>
    <row r="10659" spans="20:27" x14ac:dyDescent="0.2">
      <c r="T10659" t="s">
        <v>1164</v>
      </c>
      <c r="U10659" s="20">
        <f>SUMIF($B:$B,T10659,$R:$R)</f>
        <v>0</v>
      </c>
    </row>
    <row r="10660" spans="20:27" x14ac:dyDescent="0.2">
      <c r="T10660" t="s">
        <v>1201</v>
      </c>
      <c r="U10660" s="20">
        <f>SUMIF($B:$B,T10660,$R:$R)</f>
        <v>0</v>
      </c>
    </row>
    <row r="10661" spans="20:27" x14ac:dyDescent="0.2">
      <c r="T10661" t="s">
        <v>1204</v>
      </c>
      <c r="U10661" s="20">
        <f>SUMIF($B:$B,T10661,$R:$R)</f>
        <v>0</v>
      </c>
    </row>
    <row r="10662" spans="20:27" x14ac:dyDescent="0.2">
      <c r="T10662" t="s">
        <v>1206</v>
      </c>
      <c r="U10662" s="20">
        <f>SUMIF($B:$B,T10662,$R:$R)</f>
        <v>0</v>
      </c>
    </row>
    <row r="10663" spans="20:27" x14ac:dyDescent="0.2">
      <c r="T10663" t="s">
        <v>1207</v>
      </c>
      <c r="U10663" s="20">
        <f>SUMIF($B:$B,T10663,$R:$R)</f>
        <v>0</v>
      </c>
    </row>
    <row r="10664" spans="20:27" x14ac:dyDescent="0.2">
      <c r="T10664" t="s">
        <v>1210</v>
      </c>
      <c r="U10664" s="20">
        <f>SUMIF($B:$B,T10664,$R:$R)</f>
        <v>0</v>
      </c>
    </row>
    <row r="10665" spans="20:27" x14ac:dyDescent="0.2">
      <c r="T10665" t="s">
        <v>1211</v>
      </c>
      <c r="U10665" s="20">
        <f>SUMIF($B:$B,T10665,$R:$R)</f>
        <v>0</v>
      </c>
    </row>
    <row r="10666" spans="20:27" x14ac:dyDescent="0.2">
      <c r="T10666" t="s">
        <v>1215</v>
      </c>
      <c r="U10666" s="20">
        <f>SUMIF($B:$B,T10666,$R:$R)</f>
        <v>0</v>
      </c>
      <c r="W10666" s="15">
        <v>50</v>
      </c>
      <c r="X10666" s="15">
        <v>50</v>
      </c>
      <c r="Y10666" s="15">
        <f>ROUNDUP(X10666,-1)</f>
        <v>50</v>
      </c>
      <c r="Z10666" s="15">
        <f>Y10666-X10666</f>
        <v>0</v>
      </c>
      <c r="AA10666" s="15">
        <f>IF(Z10666&gt;=5,Y10666-5,Y10666)</f>
        <v>50</v>
      </c>
    </row>
    <row r="10667" spans="20:27" x14ac:dyDescent="0.2">
      <c r="T10667" t="s">
        <v>1216</v>
      </c>
      <c r="U10667" s="20">
        <f>SUMIF($B:$B,T10667,$R:$R)</f>
        <v>0</v>
      </c>
    </row>
    <row r="10668" spans="20:27" x14ac:dyDescent="0.2">
      <c r="T10668" t="s">
        <v>1219</v>
      </c>
      <c r="U10668" s="20">
        <f>SUMIF($B:$B,T10668,$R:$R)</f>
        <v>0</v>
      </c>
    </row>
    <row r="10669" spans="20:27" x14ac:dyDescent="0.2">
      <c r="T10669" t="s">
        <v>1220</v>
      </c>
      <c r="U10669" s="20">
        <f>SUMIF($B:$B,T10669,$R:$R)</f>
        <v>0</v>
      </c>
    </row>
    <row r="10670" spans="20:27" x14ac:dyDescent="0.2">
      <c r="T10670" t="s">
        <v>1222</v>
      </c>
      <c r="U10670" s="20">
        <f>SUMIF($B:$B,T10670,$R:$R)</f>
        <v>0</v>
      </c>
    </row>
    <row r="10671" spans="20:27" x14ac:dyDescent="0.2">
      <c r="T10671" t="s">
        <v>1223</v>
      </c>
      <c r="U10671" s="20">
        <f>SUMIF($B:$B,T10671,$R:$R)</f>
        <v>0</v>
      </c>
    </row>
    <row r="10672" spans="20:27" x14ac:dyDescent="0.2">
      <c r="T10672" t="s">
        <v>1230</v>
      </c>
      <c r="U10672" s="20">
        <f>SUMIF($B:$B,T10672,$R:$R)</f>
        <v>0</v>
      </c>
    </row>
    <row r="10673" spans="20:21" x14ac:dyDescent="0.2">
      <c r="T10673" t="s">
        <v>1231</v>
      </c>
      <c r="U10673" s="20">
        <f>SUMIF($B:$B,T10673,$R:$R)</f>
        <v>0</v>
      </c>
    </row>
    <row r="10674" spans="20:21" x14ac:dyDescent="0.2">
      <c r="T10674" t="s">
        <v>1236</v>
      </c>
      <c r="U10674" s="20">
        <f>SUMIF($B:$B,T10674,$R:$R)</f>
        <v>0</v>
      </c>
    </row>
    <row r="10675" spans="20:21" x14ac:dyDescent="0.2">
      <c r="T10675" t="s">
        <v>1238</v>
      </c>
      <c r="U10675" s="20">
        <f>SUMIF($B:$B,T10675,$R:$R)</f>
        <v>0</v>
      </c>
    </row>
    <row r="10676" spans="20:21" x14ac:dyDescent="0.2">
      <c r="T10676" t="s">
        <v>1239</v>
      </c>
      <c r="U10676" s="20">
        <f>SUMIF($B:$B,T10676,$R:$R)</f>
        <v>0</v>
      </c>
    </row>
    <row r="10677" spans="20:21" x14ac:dyDescent="0.2">
      <c r="T10677" t="s">
        <v>1240</v>
      </c>
      <c r="U10677" s="20">
        <f>SUMIF($B:$B,T10677,$R:$R)</f>
        <v>0</v>
      </c>
    </row>
    <row r="10678" spans="20:21" x14ac:dyDescent="0.2">
      <c r="T10678" t="s">
        <v>1248</v>
      </c>
      <c r="U10678" s="20">
        <f>SUMIF($B:$B,T10678,$R:$R)</f>
        <v>0</v>
      </c>
    </row>
    <row r="10679" spans="20:21" x14ac:dyDescent="0.2">
      <c r="T10679" t="s">
        <v>1249</v>
      </c>
      <c r="U10679" s="20">
        <f>SUMIF($B:$B,T10679,$R:$R)</f>
        <v>0</v>
      </c>
    </row>
    <row r="10680" spans="20:21" x14ac:dyDescent="0.2">
      <c r="T10680" t="s">
        <v>1256</v>
      </c>
      <c r="U10680" s="20">
        <f>SUMIF($B:$B,T10680,$R:$R)</f>
        <v>0</v>
      </c>
    </row>
    <row r="10681" spans="20:21" x14ac:dyDescent="0.2">
      <c r="T10681" t="s">
        <v>1257</v>
      </c>
      <c r="U10681" s="20">
        <f>SUMIF($B:$B,T10681,$R:$R)</f>
        <v>0</v>
      </c>
    </row>
    <row r="10682" spans="20:21" x14ac:dyDescent="0.2">
      <c r="T10682" t="s">
        <v>1260</v>
      </c>
      <c r="U10682" s="20">
        <f>SUMIF($B:$B,T10682,$R:$R)</f>
        <v>0</v>
      </c>
    </row>
    <row r="10683" spans="20:21" x14ac:dyDescent="0.2">
      <c r="T10683" t="s">
        <v>1261</v>
      </c>
      <c r="U10683" s="20">
        <f>SUMIF($B:$B,T10683,$R:$R)</f>
        <v>0</v>
      </c>
    </row>
    <row r="10684" spans="20:21" x14ac:dyDescent="0.2">
      <c r="T10684" t="s">
        <v>1297</v>
      </c>
      <c r="U10684" s="20">
        <f>SUMIF($B:$B,T10684,$R:$R)</f>
        <v>0</v>
      </c>
    </row>
    <row r="10685" spans="20:21" ht="13.5" x14ac:dyDescent="0.25">
      <c r="T10685" s="9" t="s">
        <v>1617</v>
      </c>
      <c r="U10685" s="20">
        <f>SUMIF($B:$B,T10685,$R:$R)</f>
        <v>0</v>
      </c>
    </row>
    <row r="10686" spans="20:21" ht="13.5" x14ac:dyDescent="0.25">
      <c r="T10686" s="9" t="s">
        <v>1618</v>
      </c>
      <c r="U10686" s="20">
        <f>SUMIF($B:$B,T10686,$R:$R)</f>
        <v>0</v>
      </c>
    </row>
    <row r="10687" spans="20:21" ht="13.5" x14ac:dyDescent="0.25">
      <c r="T10687" s="9" t="s">
        <v>1619</v>
      </c>
      <c r="U10687" s="20">
        <f>SUMIF($B:$B,T10687,$R:$R)</f>
        <v>0</v>
      </c>
    </row>
    <row r="10688" spans="20:21" ht="13.5" x14ac:dyDescent="0.25">
      <c r="T10688" s="9" t="s">
        <v>1620</v>
      </c>
      <c r="U10688" s="20">
        <f>SUMIF($B:$B,T10688,$R:$R)</f>
        <v>0</v>
      </c>
    </row>
    <row r="10689" spans="20:21" x14ac:dyDescent="0.2">
      <c r="T10689" t="s">
        <v>1621</v>
      </c>
      <c r="U10689" s="20">
        <f>SUMIF($B:$B,T10689,$R:$R)</f>
        <v>0</v>
      </c>
    </row>
    <row r="10690" spans="20:21" x14ac:dyDescent="0.2">
      <c r="T10690" t="s">
        <v>1622</v>
      </c>
      <c r="U10690" s="20">
        <f>SUMIF($B:$B,T10690,$R:$R)</f>
        <v>0</v>
      </c>
    </row>
    <row r="10691" spans="20:21" x14ac:dyDescent="0.2">
      <c r="T10691" t="s">
        <v>1623</v>
      </c>
      <c r="U10691" s="20">
        <f>SUMIF($B:$B,T10691,$R:$R)</f>
        <v>0</v>
      </c>
    </row>
    <row r="10692" spans="20:21" x14ac:dyDescent="0.2">
      <c r="T10692" t="s">
        <v>1624</v>
      </c>
      <c r="U10692" s="20">
        <f>SUMIF($B:$B,T10692,$R:$R)</f>
        <v>0</v>
      </c>
    </row>
    <row r="10693" spans="20:21" x14ac:dyDescent="0.2">
      <c r="T10693" t="s">
        <v>1625</v>
      </c>
      <c r="U10693" s="20">
        <f>SUMIF($B:$B,T10693,$R:$R)</f>
        <v>0</v>
      </c>
    </row>
    <row r="10694" spans="20:21" x14ac:dyDescent="0.2">
      <c r="T10694" t="s">
        <v>1626</v>
      </c>
      <c r="U10694" s="20">
        <f>SUMIF($B:$B,T10694,$R:$R)</f>
        <v>0</v>
      </c>
    </row>
    <row r="10695" spans="20:21" x14ac:dyDescent="0.2">
      <c r="T10695" t="s">
        <v>1627</v>
      </c>
      <c r="U10695" s="20">
        <f>SUMIF($B:$B,T10695,$R:$R)</f>
        <v>0</v>
      </c>
    </row>
    <row r="10696" spans="20:21" x14ac:dyDescent="0.2">
      <c r="T10696" t="s">
        <v>1628</v>
      </c>
      <c r="U10696" s="20">
        <f>SUMIF($B:$B,T10696,$R:$R)</f>
        <v>0</v>
      </c>
    </row>
    <row r="10697" spans="20:21" x14ac:dyDescent="0.2">
      <c r="T10697" t="s">
        <v>1629</v>
      </c>
      <c r="U10697" s="20">
        <f>SUMIF($B:$B,T10697,$R:$R)</f>
        <v>0</v>
      </c>
    </row>
    <row r="10698" spans="20:21" x14ac:dyDescent="0.2">
      <c r="T10698" t="s">
        <v>1630</v>
      </c>
      <c r="U10698" s="20">
        <f>SUMIF($B:$B,T10698,$R:$R)</f>
        <v>0</v>
      </c>
    </row>
    <row r="10699" spans="20:21" x14ac:dyDescent="0.2">
      <c r="T10699" t="s">
        <v>1631</v>
      </c>
      <c r="U10699" s="20">
        <f>SUMIF($B:$B,T10699,$R:$R)</f>
        <v>0</v>
      </c>
    </row>
    <row r="10700" spans="20:21" x14ac:dyDescent="0.2">
      <c r="T10700" t="s">
        <v>1632</v>
      </c>
      <c r="U10700" s="20">
        <f>SUMIF($B:$B,T10700,$R:$R)</f>
        <v>0</v>
      </c>
    </row>
    <row r="10701" spans="20:21" x14ac:dyDescent="0.2">
      <c r="T10701" t="s">
        <v>1633</v>
      </c>
      <c r="U10701" s="20">
        <f>SUMIF($B:$B,T10701,$R:$R)</f>
        <v>0</v>
      </c>
    </row>
    <row r="10702" spans="20:21" x14ac:dyDescent="0.2">
      <c r="T10702" t="s">
        <v>1634</v>
      </c>
      <c r="U10702" s="20">
        <f>SUMIF($B:$B,T10702,$R:$R)</f>
        <v>0</v>
      </c>
    </row>
    <row r="10703" spans="20:21" x14ac:dyDescent="0.2">
      <c r="T10703" t="s">
        <v>1635</v>
      </c>
      <c r="U10703" s="20">
        <f>SUMIF($B:$B,T10703,$R:$R)</f>
        <v>0</v>
      </c>
    </row>
    <row r="10704" spans="20:21" x14ac:dyDescent="0.2">
      <c r="T10704" t="s">
        <v>1636</v>
      </c>
      <c r="U10704" s="20">
        <f>SUMIF($B:$B,T10704,$R:$R)</f>
        <v>0</v>
      </c>
    </row>
    <row r="10705" spans="20:21" x14ac:dyDescent="0.2">
      <c r="T10705" t="s">
        <v>1637</v>
      </c>
      <c r="U10705" s="20">
        <f>SUMIF($B:$B,T10705,$R:$R)</f>
        <v>0</v>
      </c>
    </row>
    <row r="10706" spans="20:21" x14ac:dyDescent="0.2">
      <c r="T10706" t="s">
        <v>1638</v>
      </c>
      <c r="U10706" s="20">
        <f>SUMIF($B:$B,T10706,$R:$R)</f>
        <v>0</v>
      </c>
    </row>
    <row r="10707" spans="20:21" x14ac:dyDescent="0.2">
      <c r="T10707" s="24" t="s">
        <v>1400</v>
      </c>
      <c r="U10707" s="20">
        <f>SUMIF($B:$B,T10707,$R:$R)</f>
        <v>0</v>
      </c>
    </row>
    <row r="10708" spans="20:21" x14ac:dyDescent="0.2">
      <c r="T10708" s="24" t="s">
        <v>1401</v>
      </c>
      <c r="U10708" s="20">
        <f>SUMIF($B:$B,T10708,$R:$R)</f>
        <v>0</v>
      </c>
    </row>
    <row r="10709" spans="20:21" x14ac:dyDescent="0.2">
      <c r="T10709" s="24" t="s">
        <v>1403</v>
      </c>
      <c r="U10709" s="20">
        <f>SUMIF($B:$B,T10709,$R:$R)</f>
        <v>0</v>
      </c>
    </row>
    <row r="10710" spans="20:21" x14ac:dyDescent="0.2">
      <c r="T10710" s="24" t="s">
        <v>1404</v>
      </c>
      <c r="U10710" s="20">
        <f>SUMIF($B:$B,T10710,$R:$R)</f>
        <v>0</v>
      </c>
    </row>
    <row r="10711" spans="20:21" x14ac:dyDescent="0.2">
      <c r="T10711" s="24" t="s">
        <v>1405</v>
      </c>
      <c r="U10711" s="20">
        <f>SUMIF($B:$B,T10711,$R:$R)</f>
        <v>0</v>
      </c>
    </row>
    <row r="10712" spans="20:21" x14ac:dyDescent="0.2">
      <c r="T10712" s="24" t="s">
        <v>1406</v>
      </c>
      <c r="U10712" s="20">
        <f>SUMIF($B:$B,T10712,$R:$R)</f>
        <v>0</v>
      </c>
    </row>
    <row r="10713" spans="20:21" x14ac:dyDescent="0.2">
      <c r="T10713" s="24" t="s">
        <v>1407</v>
      </c>
      <c r="U10713" s="20">
        <f>SUMIF($B:$B,T10713,$R:$R)</f>
        <v>0</v>
      </c>
    </row>
    <row r="10714" spans="20:21" x14ac:dyDescent="0.2">
      <c r="T10714" s="24" t="s">
        <v>1408</v>
      </c>
      <c r="U10714" s="20">
        <f>SUMIF($B:$B,T10714,$R:$R)</f>
        <v>0</v>
      </c>
    </row>
    <row r="10715" spans="20:21" x14ac:dyDescent="0.2">
      <c r="T10715" s="24" t="s">
        <v>1409</v>
      </c>
      <c r="U10715" s="20">
        <f>SUMIF($B:$B,T10715,$R:$R)</f>
        <v>0</v>
      </c>
    </row>
    <row r="10716" spans="20:21" x14ac:dyDescent="0.2">
      <c r="T10716" s="24" t="s">
        <v>1410</v>
      </c>
      <c r="U10716" s="20">
        <f>SUMIF($B:$B,T10716,$R:$R)</f>
        <v>0</v>
      </c>
    </row>
    <row r="10717" spans="20:21" x14ac:dyDescent="0.2">
      <c r="T10717" s="24" t="s">
        <v>1639</v>
      </c>
      <c r="U10717" s="20">
        <f>SUMIF($B:$B,T10717,$R:$R)</f>
        <v>0</v>
      </c>
    </row>
    <row r="10718" spans="20:21" x14ac:dyDescent="0.2">
      <c r="T10718" s="24" t="s">
        <v>1411</v>
      </c>
      <c r="U10718" s="20">
        <f>SUMIF($B:$B,T10718,$R:$R)</f>
        <v>0</v>
      </c>
    </row>
    <row r="10719" spans="20:21" x14ac:dyDescent="0.2">
      <c r="T10719" s="24" t="s">
        <v>1412</v>
      </c>
      <c r="U10719" s="20">
        <f>SUMIF($B:$B,T10719,$R:$R)</f>
        <v>0</v>
      </c>
    </row>
    <row r="10720" spans="20:21" x14ac:dyDescent="0.2">
      <c r="T10720" s="24" t="s">
        <v>1413</v>
      </c>
      <c r="U10720" s="20">
        <f>SUMIF($B:$B,T10720,$R:$R)</f>
        <v>0</v>
      </c>
    </row>
    <row r="10721" spans="20:21" x14ac:dyDescent="0.2">
      <c r="T10721" s="24" t="s">
        <v>1414</v>
      </c>
      <c r="U10721" s="20">
        <f>SUMIF($B:$B,T10721,$R:$R)</f>
        <v>0</v>
      </c>
    </row>
    <row r="10722" spans="20:21" x14ac:dyDescent="0.2">
      <c r="T10722" s="24" t="s">
        <v>1415</v>
      </c>
      <c r="U10722" s="20">
        <f>SUMIF($B:$B,T10722,$R:$R)</f>
        <v>0</v>
      </c>
    </row>
    <row r="10723" spans="20:21" x14ac:dyDescent="0.2">
      <c r="T10723" s="24" t="s">
        <v>1416</v>
      </c>
      <c r="U10723" s="20">
        <f>SUMIF($B:$B,T10723,$R:$R)</f>
        <v>0</v>
      </c>
    </row>
    <row r="10724" spans="20:21" x14ac:dyDescent="0.2">
      <c r="T10724" s="24" t="s">
        <v>1417</v>
      </c>
      <c r="U10724" s="20">
        <f>SUMIF($B:$B,T10724,$R:$R)</f>
        <v>0</v>
      </c>
    </row>
    <row r="10725" spans="20:21" x14ac:dyDescent="0.2">
      <c r="T10725" s="24" t="s">
        <v>1418</v>
      </c>
      <c r="U10725" s="20">
        <f>SUMIF($B:$B,T10725,$R:$R)</f>
        <v>0</v>
      </c>
    </row>
    <row r="10726" spans="20:21" x14ac:dyDescent="0.2">
      <c r="T10726" s="24" t="s">
        <v>1419</v>
      </c>
      <c r="U10726" s="20">
        <f>SUMIF($B:$B,T10726,$R:$R)</f>
        <v>0</v>
      </c>
    </row>
    <row r="10727" spans="20:21" x14ac:dyDescent="0.2">
      <c r="T10727" s="24" t="s">
        <v>1420</v>
      </c>
      <c r="U10727" s="20">
        <f>SUMIF($B:$B,T10727,$R:$R)</f>
        <v>0</v>
      </c>
    </row>
    <row r="10728" spans="20:21" x14ac:dyDescent="0.2">
      <c r="T10728" s="24" t="s">
        <v>1640</v>
      </c>
      <c r="U10728" s="20">
        <f>SUMIF($B:$B,T10728,$R:$R)</f>
        <v>0</v>
      </c>
    </row>
    <row r="10729" spans="20:21" x14ac:dyDescent="0.2">
      <c r="T10729" s="24" t="s">
        <v>1421</v>
      </c>
      <c r="U10729" s="20">
        <f>SUMIF($B:$B,T10729,$R:$R)</f>
        <v>0</v>
      </c>
    </row>
    <row r="10730" spans="20:21" x14ac:dyDescent="0.2">
      <c r="T10730" s="24" t="s">
        <v>1422</v>
      </c>
      <c r="U10730" s="20">
        <f>SUMIF($B:$B,T10730,$R:$R)</f>
        <v>0</v>
      </c>
    </row>
    <row r="10731" spans="20:21" x14ac:dyDescent="0.2">
      <c r="T10731" s="24" t="s">
        <v>1423</v>
      </c>
      <c r="U10731" s="20">
        <f>SUMIF($B:$B,T10731,$R:$R)</f>
        <v>0</v>
      </c>
    </row>
    <row r="10732" spans="20:21" x14ac:dyDescent="0.2">
      <c r="T10732" s="24" t="s">
        <v>1424</v>
      </c>
      <c r="U10732" s="20">
        <f>SUMIF($B:$B,T10732,$R:$R)</f>
        <v>0</v>
      </c>
    </row>
    <row r="10733" spans="20:21" x14ac:dyDescent="0.2">
      <c r="T10733" s="24" t="s">
        <v>1425</v>
      </c>
      <c r="U10733" s="20">
        <f>SUMIF($B:$B,T10733,$R:$R)</f>
        <v>0</v>
      </c>
    </row>
    <row r="10734" spans="20:21" x14ac:dyDescent="0.2">
      <c r="T10734" s="24" t="s">
        <v>1426</v>
      </c>
      <c r="U10734" s="20">
        <f>SUMIF($B:$B,T10734,$R:$R)</f>
        <v>0</v>
      </c>
    </row>
    <row r="10735" spans="20:21" x14ac:dyDescent="0.2">
      <c r="T10735" s="24" t="s">
        <v>1427</v>
      </c>
      <c r="U10735" s="20">
        <f>SUMIF($B:$B,T10735,$R:$R)</f>
        <v>0</v>
      </c>
    </row>
    <row r="10736" spans="20:21" x14ac:dyDescent="0.2">
      <c r="T10736" s="24" t="s">
        <v>1428</v>
      </c>
      <c r="U10736" s="20">
        <f>SUMIF($B:$B,T10736,$R:$R)</f>
        <v>0</v>
      </c>
    </row>
    <row r="10737" spans="20:21" x14ac:dyDescent="0.2">
      <c r="T10737" s="24" t="s">
        <v>1429</v>
      </c>
      <c r="U10737" s="20">
        <f>SUMIF($B:$B,T10737,$R:$R)</f>
        <v>0</v>
      </c>
    </row>
    <row r="10738" spans="20:21" x14ac:dyDescent="0.2">
      <c r="T10738" s="24" t="s">
        <v>1430</v>
      </c>
      <c r="U10738" s="20">
        <f>SUMIF($B:$B,T10738,$R:$R)</f>
        <v>0</v>
      </c>
    </row>
    <row r="10739" spans="20:21" x14ac:dyDescent="0.2">
      <c r="T10739" s="24" t="s">
        <v>1641</v>
      </c>
      <c r="U10739" s="20">
        <f>SUMIF($B:$B,T10739,$R:$R)</f>
        <v>0</v>
      </c>
    </row>
    <row r="10740" spans="20:21" x14ac:dyDescent="0.2">
      <c r="T10740" s="24" t="s">
        <v>1431</v>
      </c>
      <c r="U10740" s="20">
        <f>SUMIF($B:$B,T10740,$R:$R)</f>
        <v>0</v>
      </c>
    </row>
    <row r="10741" spans="20:21" x14ac:dyDescent="0.2">
      <c r="T10741" s="24" t="s">
        <v>1433</v>
      </c>
      <c r="U10741" s="20">
        <f>SUMIF($B:$B,T10741,$R:$R)</f>
        <v>0</v>
      </c>
    </row>
    <row r="10742" spans="20:21" x14ac:dyDescent="0.2">
      <c r="T10742" s="24" t="s">
        <v>1434</v>
      </c>
      <c r="U10742" s="20">
        <f>SUMIF($B:$B,T10742,$R:$R)</f>
        <v>0</v>
      </c>
    </row>
    <row r="10743" spans="20:21" x14ac:dyDescent="0.2">
      <c r="T10743" s="24" t="s">
        <v>1435</v>
      </c>
      <c r="U10743" s="20">
        <f>SUMIF($B:$B,T10743,$R:$R)</f>
        <v>0</v>
      </c>
    </row>
    <row r="10744" spans="20:21" x14ac:dyDescent="0.2">
      <c r="T10744" s="24" t="s">
        <v>1436</v>
      </c>
      <c r="U10744" s="20">
        <f>SUMIF($B:$B,T10744,$R:$R)</f>
        <v>0</v>
      </c>
    </row>
    <row r="10745" spans="20:21" x14ac:dyDescent="0.2">
      <c r="T10745" s="24" t="s">
        <v>1437</v>
      </c>
      <c r="U10745" s="20">
        <f>SUMIF($B:$B,T10745,$R:$R)</f>
        <v>0</v>
      </c>
    </row>
    <row r="10746" spans="20:21" x14ac:dyDescent="0.2">
      <c r="T10746" s="24" t="s">
        <v>1438</v>
      </c>
      <c r="U10746" s="20">
        <f>SUMIF($B:$B,T10746,$R:$R)</f>
        <v>0</v>
      </c>
    </row>
    <row r="10747" spans="20:21" x14ac:dyDescent="0.2">
      <c r="T10747" s="24" t="s">
        <v>1439</v>
      </c>
      <c r="U10747" s="20">
        <f>SUMIF($B:$B,T10747,$R:$R)</f>
        <v>0</v>
      </c>
    </row>
    <row r="10748" spans="20:21" x14ac:dyDescent="0.2">
      <c r="T10748" s="24" t="s">
        <v>1440</v>
      </c>
      <c r="U10748" s="20">
        <f>SUMIF($B:$B,T10748,$R:$R)</f>
        <v>0</v>
      </c>
    </row>
    <row r="10749" spans="20:21" x14ac:dyDescent="0.2">
      <c r="T10749" s="24" t="s">
        <v>1441</v>
      </c>
      <c r="U10749" s="20">
        <f>SUMIF($B:$B,T10749,$R:$R)</f>
        <v>0</v>
      </c>
    </row>
    <row r="10750" spans="20:21" x14ac:dyDescent="0.2">
      <c r="T10750" s="24" t="s">
        <v>1642</v>
      </c>
      <c r="U10750" s="20">
        <f>SUMIF($B:$B,T10750,$R:$R)</f>
        <v>0</v>
      </c>
    </row>
    <row r="10751" spans="20:21" x14ac:dyDescent="0.2">
      <c r="T10751" s="24" t="s">
        <v>1442</v>
      </c>
      <c r="U10751" s="20">
        <f>SUMIF($B:$B,T10751,$R:$R)</f>
        <v>0</v>
      </c>
    </row>
    <row r="10752" spans="20:21" x14ac:dyDescent="0.2">
      <c r="T10752" s="24" t="s">
        <v>1443</v>
      </c>
      <c r="U10752" s="20">
        <f>SUMIF($B:$B,T10752,$R:$R)</f>
        <v>0</v>
      </c>
    </row>
    <row r="10753" spans="20:21" x14ac:dyDescent="0.2">
      <c r="T10753" s="24" t="s">
        <v>1444</v>
      </c>
      <c r="U10753" s="20">
        <f>SUMIF($B:$B,T10753,$R:$R)</f>
        <v>0</v>
      </c>
    </row>
    <row r="10754" spans="20:21" x14ac:dyDescent="0.2">
      <c r="T10754" s="24" t="s">
        <v>1445</v>
      </c>
      <c r="U10754" s="20">
        <f>SUMIF($B:$B,T10754,$R:$R)</f>
        <v>0</v>
      </c>
    </row>
    <row r="10755" spans="20:21" x14ac:dyDescent="0.2">
      <c r="T10755" s="24" t="s">
        <v>1446</v>
      </c>
      <c r="U10755" s="20">
        <f>SUMIF($B:$B,T10755,$R:$R)</f>
        <v>0</v>
      </c>
    </row>
    <row r="10756" spans="20:21" x14ac:dyDescent="0.2">
      <c r="T10756" s="24" t="s">
        <v>1447</v>
      </c>
      <c r="U10756" s="20">
        <f>SUMIF($B:$B,T10756,$R:$R)</f>
        <v>0</v>
      </c>
    </row>
    <row r="10757" spans="20:21" x14ac:dyDescent="0.2">
      <c r="T10757" s="24" t="s">
        <v>1448</v>
      </c>
      <c r="U10757" s="20">
        <f>SUMIF($B:$B,T10757,$R:$R)</f>
        <v>0</v>
      </c>
    </row>
    <row r="10758" spans="20:21" x14ac:dyDescent="0.2">
      <c r="T10758" s="24" t="s">
        <v>1449</v>
      </c>
      <c r="U10758" s="20">
        <f>SUMIF($B:$B,T10758,$R:$R)</f>
        <v>0</v>
      </c>
    </row>
    <row r="10759" spans="20:21" x14ac:dyDescent="0.2">
      <c r="T10759" s="24" t="s">
        <v>1450</v>
      </c>
      <c r="U10759" s="20">
        <f>SUMIF($B:$B,T10759,$R:$R)</f>
        <v>0</v>
      </c>
    </row>
    <row r="10760" spans="20:21" x14ac:dyDescent="0.2">
      <c r="T10760" s="24" t="s">
        <v>1451</v>
      </c>
      <c r="U10760" s="20">
        <f>SUMIF($B:$B,T10760,$R:$R)</f>
        <v>0</v>
      </c>
    </row>
    <row r="10761" spans="20:21" x14ac:dyDescent="0.2">
      <c r="T10761" s="24" t="s">
        <v>1643</v>
      </c>
      <c r="U10761" s="20">
        <f>SUMIF($B:$B,T10761,$R:$R)</f>
        <v>0</v>
      </c>
    </row>
    <row r="10762" spans="20:21" x14ac:dyDescent="0.2">
      <c r="T10762" s="24" t="s">
        <v>1452</v>
      </c>
      <c r="U10762" s="20">
        <f>SUMIF($B:$B,T10762,$R:$R)</f>
        <v>0</v>
      </c>
    </row>
    <row r="10763" spans="20:21" x14ac:dyDescent="0.2">
      <c r="T10763" s="24" t="s">
        <v>1453</v>
      </c>
      <c r="U10763" s="20">
        <f>SUMIF($B:$B,T10763,$R:$R)</f>
        <v>0</v>
      </c>
    </row>
    <row r="10764" spans="20:21" x14ac:dyDescent="0.2">
      <c r="T10764" s="24" t="s">
        <v>1454</v>
      </c>
      <c r="U10764" s="20">
        <f>SUMIF($B:$B,T10764,$R:$R)</f>
        <v>0</v>
      </c>
    </row>
    <row r="10765" spans="20:21" x14ac:dyDescent="0.2">
      <c r="T10765" s="24" t="s">
        <v>1455</v>
      </c>
      <c r="U10765" s="20">
        <f>SUMIF($B:$B,T10765,$R:$R)</f>
        <v>0</v>
      </c>
    </row>
    <row r="10766" spans="20:21" x14ac:dyDescent="0.2">
      <c r="T10766" s="24" t="s">
        <v>1456</v>
      </c>
      <c r="U10766" s="20">
        <f>SUMIF($B:$B,T10766,$R:$R)</f>
        <v>0</v>
      </c>
    </row>
    <row r="10767" spans="20:21" x14ac:dyDescent="0.2">
      <c r="T10767" s="24" t="s">
        <v>1457</v>
      </c>
      <c r="U10767" s="20">
        <f>SUMIF($B:$B,T10767,$R:$R)</f>
        <v>0</v>
      </c>
    </row>
    <row r="10768" spans="20:21" x14ac:dyDescent="0.2">
      <c r="T10768" s="24" t="s">
        <v>1458</v>
      </c>
      <c r="U10768" s="20">
        <f>SUMIF($B:$B,T10768,$R:$R)</f>
        <v>0</v>
      </c>
    </row>
    <row r="10769" spans="20:21" x14ac:dyDescent="0.2">
      <c r="T10769" s="24" t="s">
        <v>1459</v>
      </c>
      <c r="U10769" s="20">
        <f>SUMIF($B:$B,T10769,$R:$R)</f>
        <v>0</v>
      </c>
    </row>
    <row r="10770" spans="20:21" x14ac:dyDescent="0.2">
      <c r="T10770" s="24" t="s">
        <v>1460</v>
      </c>
      <c r="U10770" s="20">
        <f>SUMIF($B:$B,T10770,$R:$R)</f>
        <v>0</v>
      </c>
    </row>
    <row r="10771" spans="20:21" x14ac:dyDescent="0.2">
      <c r="T10771" s="24" t="s">
        <v>1461</v>
      </c>
      <c r="U10771" s="20">
        <f>SUMIF($B:$B,T10771,$R:$R)</f>
        <v>0</v>
      </c>
    </row>
    <row r="10772" spans="20:21" x14ac:dyDescent="0.2">
      <c r="T10772" s="24" t="s">
        <v>1644</v>
      </c>
      <c r="U10772" s="20">
        <f>SUMIF($B:$B,T10772,$R:$R)</f>
        <v>0</v>
      </c>
    </row>
    <row r="10773" spans="20:21" x14ac:dyDescent="0.2">
      <c r="T10773" s="24" t="s">
        <v>1462</v>
      </c>
      <c r="U10773" s="20">
        <f>SUMIF($B:$B,T10773,$R:$R)</f>
        <v>0</v>
      </c>
    </row>
    <row r="10774" spans="20:21" x14ac:dyDescent="0.2">
      <c r="T10774" s="24" t="s">
        <v>1463</v>
      </c>
      <c r="U10774" s="20">
        <f>SUMIF($B:$B,T10774,$R:$R)</f>
        <v>0</v>
      </c>
    </row>
    <row r="10775" spans="20:21" x14ac:dyDescent="0.2">
      <c r="T10775" s="24" t="s">
        <v>1465</v>
      </c>
      <c r="U10775" s="20">
        <f>SUMIF($B:$B,T10775,$R:$R)</f>
        <v>0</v>
      </c>
    </row>
    <row r="10776" spans="20:21" x14ac:dyDescent="0.2">
      <c r="T10776" s="24" t="s">
        <v>1466</v>
      </c>
      <c r="U10776" s="20">
        <f>SUMIF($B:$B,T10776,$R:$R)</f>
        <v>0</v>
      </c>
    </row>
    <row r="10777" spans="20:21" x14ac:dyDescent="0.2">
      <c r="T10777" s="24" t="s">
        <v>1467</v>
      </c>
      <c r="U10777" s="20">
        <f>SUMIF($B:$B,T10777,$R:$R)</f>
        <v>0</v>
      </c>
    </row>
    <row r="10778" spans="20:21" x14ac:dyDescent="0.2">
      <c r="T10778" s="24" t="s">
        <v>1468</v>
      </c>
      <c r="U10778" s="20">
        <f>SUMIF($B:$B,T10778,$R:$R)</f>
        <v>0</v>
      </c>
    </row>
    <row r="10779" spans="20:21" x14ac:dyDescent="0.2">
      <c r="T10779" s="24" t="s">
        <v>1469</v>
      </c>
      <c r="U10779" s="20">
        <f>SUMIF($B:$B,T10779,$R:$R)</f>
        <v>0</v>
      </c>
    </row>
    <row r="10780" spans="20:21" x14ac:dyDescent="0.2">
      <c r="T10780" s="24" t="s">
        <v>1470</v>
      </c>
      <c r="U10780" s="20">
        <f>SUMIF($B:$B,T10780,$R:$R)</f>
        <v>0</v>
      </c>
    </row>
    <row r="10781" spans="20:21" x14ac:dyDescent="0.2">
      <c r="T10781" s="24" t="s">
        <v>1471</v>
      </c>
      <c r="U10781" s="20">
        <f>SUMIF($B:$B,T10781,$R:$R)</f>
        <v>0</v>
      </c>
    </row>
    <row r="10782" spans="20:21" x14ac:dyDescent="0.2">
      <c r="T10782" s="24" t="s">
        <v>1472</v>
      </c>
      <c r="U10782" s="20">
        <f>SUMIF($B:$B,T10782,$R:$R)</f>
        <v>0</v>
      </c>
    </row>
    <row r="10783" spans="20:21" x14ac:dyDescent="0.2">
      <c r="T10783" s="24" t="s">
        <v>1645</v>
      </c>
      <c r="U10783" s="20">
        <f>SUMIF($B:$B,T10783,$R:$R)</f>
        <v>0</v>
      </c>
    </row>
    <row r="10784" spans="20:21" x14ac:dyDescent="0.2">
      <c r="T10784" s="24" t="s">
        <v>1473</v>
      </c>
      <c r="U10784" s="20">
        <f>SUMIF($B:$B,T10784,$R:$R)</f>
        <v>0</v>
      </c>
    </row>
    <row r="10785" spans="20:21" x14ac:dyDescent="0.2">
      <c r="T10785" s="24" t="s">
        <v>1474</v>
      </c>
      <c r="U10785" s="20">
        <f>SUMIF($B:$B,T10785,$R:$R)</f>
        <v>0</v>
      </c>
    </row>
    <row r="10786" spans="20:21" x14ac:dyDescent="0.2">
      <c r="T10786" s="24" t="s">
        <v>1475</v>
      </c>
      <c r="U10786" s="20">
        <f>SUMIF($B:$B,T10786,$R:$R)</f>
        <v>0</v>
      </c>
    </row>
    <row r="10787" spans="20:21" x14ac:dyDescent="0.2">
      <c r="T10787" s="24" t="s">
        <v>1476</v>
      </c>
      <c r="U10787" s="20">
        <f>SUMIF($B:$B,T10787,$R:$R)</f>
        <v>0</v>
      </c>
    </row>
    <row r="10788" spans="20:21" x14ac:dyDescent="0.2">
      <c r="T10788" s="24" t="s">
        <v>1477</v>
      </c>
      <c r="U10788" s="20">
        <f>SUMIF($B:$B,T10788,$R:$R)</f>
        <v>0</v>
      </c>
    </row>
    <row r="10789" spans="20:21" x14ac:dyDescent="0.2">
      <c r="T10789" s="24" t="s">
        <v>1478</v>
      </c>
      <c r="U10789" s="20">
        <f>SUMIF($B:$B,T10789,$R:$R)</f>
        <v>0</v>
      </c>
    </row>
    <row r="10790" spans="20:21" x14ac:dyDescent="0.2">
      <c r="T10790" s="24" t="s">
        <v>1479</v>
      </c>
      <c r="U10790" s="20">
        <f>SUMIF($B:$B,T10790,$R:$R)</f>
        <v>0</v>
      </c>
    </row>
    <row r="10791" spans="20:21" x14ac:dyDescent="0.2">
      <c r="T10791" s="24" t="s">
        <v>1480</v>
      </c>
      <c r="U10791" s="20">
        <f>SUMIF($B:$B,T10791,$R:$R)</f>
        <v>0</v>
      </c>
    </row>
    <row r="10792" spans="20:21" x14ac:dyDescent="0.2">
      <c r="T10792" s="24" t="s">
        <v>1481</v>
      </c>
      <c r="U10792" s="20">
        <f>SUMIF($B:$B,T10792,$R:$R)</f>
        <v>0</v>
      </c>
    </row>
    <row r="10793" spans="20:21" x14ac:dyDescent="0.2">
      <c r="T10793" s="24" t="s">
        <v>1482</v>
      </c>
      <c r="U10793" s="20">
        <f>SUMIF($B:$B,T10793,$R:$R)</f>
        <v>0</v>
      </c>
    </row>
    <row r="10794" spans="20:21" x14ac:dyDescent="0.2">
      <c r="T10794" s="24" t="s">
        <v>1646</v>
      </c>
      <c r="U10794" s="20">
        <f>SUMIF($B:$B,T10794,$R:$R)</f>
        <v>0</v>
      </c>
    </row>
    <row r="10795" spans="20:21" x14ac:dyDescent="0.2">
      <c r="T10795" s="24" t="s">
        <v>1483</v>
      </c>
      <c r="U10795" s="20">
        <f>SUMIF($B:$B,T10795,$R:$R)</f>
        <v>0</v>
      </c>
    </row>
    <row r="10796" spans="20:21" x14ac:dyDescent="0.2">
      <c r="T10796" s="24" t="s">
        <v>1484</v>
      </c>
      <c r="U10796" s="20">
        <f>SUMIF($B:$B,T10796,$R:$R)</f>
        <v>0</v>
      </c>
    </row>
    <row r="10797" spans="20:21" x14ac:dyDescent="0.2">
      <c r="T10797" s="24" t="s">
        <v>1485</v>
      </c>
      <c r="U10797" s="20">
        <f>SUMIF($B:$B,T10797,$R:$R)</f>
        <v>0</v>
      </c>
    </row>
    <row r="10798" spans="20:21" x14ac:dyDescent="0.2">
      <c r="T10798" s="24" t="s">
        <v>1486</v>
      </c>
      <c r="U10798" s="20">
        <f>SUMIF($B:$B,T10798,$R:$R)</f>
        <v>0</v>
      </c>
    </row>
    <row r="10799" spans="20:21" x14ac:dyDescent="0.2">
      <c r="T10799" s="24" t="s">
        <v>1487</v>
      </c>
      <c r="U10799" s="20">
        <f>SUMIF($B:$B,T10799,$R:$R)</f>
        <v>0</v>
      </c>
    </row>
    <row r="10800" spans="20:21" x14ac:dyDescent="0.2">
      <c r="T10800" s="24" t="s">
        <v>1488</v>
      </c>
      <c r="U10800" s="20">
        <f>SUMIF($B:$B,T10800,$R:$R)</f>
        <v>0</v>
      </c>
    </row>
    <row r="10801" spans="20:21" x14ac:dyDescent="0.2">
      <c r="T10801" s="24" t="s">
        <v>1489</v>
      </c>
      <c r="U10801" s="20">
        <f>SUMIF($B:$B,T10801,$R:$R)</f>
        <v>0</v>
      </c>
    </row>
    <row r="10802" spans="20:21" x14ac:dyDescent="0.2">
      <c r="T10802" s="24" t="s">
        <v>1490</v>
      </c>
      <c r="U10802" s="20">
        <f>SUMIF($B:$B,T10802,$R:$R)</f>
        <v>0</v>
      </c>
    </row>
    <row r="10803" spans="20:21" x14ac:dyDescent="0.2">
      <c r="T10803" s="24" t="s">
        <v>1491</v>
      </c>
      <c r="U10803" s="20">
        <f>SUMIF($B:$B,T10803,$R:$R)</f>
        <v>0</v>
      </c>
    </row>
    <row r="10804" spans="20:21" x14ac:dyDescent="0.2">
      <c r="T10804" s="24" t="s">
        <v>1492</v>
      </c>
      <c r="U10804" s="20">
        <f>SUMIF($B:$B,T10804,$R:$R)</f>
        <v>0</v>
      </c>
    </row>
    <row r="10805" spans="20:21" x14ac:dyDescent="0.2">
      <c r="T10805" s="24" t="s">
        <v>1647</v>
      </c>
      <c r="U10805" s="20">
        <f>SUMIF($B:$B,T10805,$R:$R)</f>
        <v>0</v>
      </c>
    </row>
    <row r="10806" spans="20:21" x14ac:dyDescent="0.2">
      <c r="T10806" s="24" t="s">
        <v>1493</v>
      </c>
      <c r="U10806" s="20">
        <f>SUMIF($B:$B,T10806,$R:$R)</f>
        <v>0</v>
      </c>
    </row>
    <row r="10807" spans="20:21" x14ac:dyDescent="0.2">
      <c r="T10807" s="24" t="s">
        <v>1494</v>
      </c>
      <c r="U10807" s="20">
        <f>SUMIF($B:$B,T10807,$R:$R)</f>
        <v>0</v>
      </c>
    </row>
    <row r="10808" spans="20:21" x14ac:dyDescent="0.2">
      <c r="T10808" s="24" t="s">
        <v>1495</v>
      </c>
      <c r="U10808" s="20">
        <f>SUMIF($B:$B,T10808,$R:$R)</f>
        <v>0</v>
      </c>
    </row>
    <row r="10809" spans="20:21" x14ac:dyDescent="0.2">
      <c r="T10809" s="24" t="s">
        <v>1496</v>
      </c>
      <c r="U10809" s="20">
        <f>SUMIF($B:$B,T10809,$R:$R)</f>
        <v>0</v>
      </c>
    </row>
    <row r="10810" spans="20:21" x14ac:dyDescent="0.2">
      <c r="T10810" s="24" t="s">
        <v>1497</v>
      </c>
      <c r="U10810" s="20">
        <f>SUMIF($B:$B,T10810,$R:$R)</f>
        <v>0</v>
      </c>
    </row>
    <row r="10811" spans="20:21" x14ac:dyDescent="0.2">
      <c r="T10811" s="24" t="s">
        <v>1498</v>
      </c>
      <c r="U10811" s="20">
        <f>SUMIF($B:$B,T10811,$R:$R)</f>
        <v>0</v>
      </c>
    </row>
    <row r="10812" spans="20:21" x14ac:dyDescent="0.2">
      <c r="T10812" s="24" t="s">
        <v>1499</v>
      </c>
      <c r="U10812" s="20">
        <f>SUMIF($B:$B,T10812,$R:$R)</f>
        <v>0</v>
      </c>
    </row>
    <row r="10813" spans="20:21" x14ac:dyDescent="0.2">
      <c r="T10813" s="24" t="s">
        <v>1500</v>
      </c>
      <c r="U10813" s="20">
        <f>SUMIF($B:$B,T10813,$R:$R)</f>
        <v>0</v>
      </c>
    </row>
    <row r="10814" spans="20:21" x14ac:dyDescent="0.2">
      <c r="T10814" s="24" t="s">
        <v>1501</v>
      </c>
      <c r="U10814" s="20">
        <f>SUMIF($B:$B,T10814,$R:$R)</f>
        <v>0</v>
      </c>
    </row>
    <row r="10815" spans="20:21" x14ac:dyDescent="0.2">
      <c r="T10815" s="24" t="s">
        <v>1502</v>
      </c>
      <c r="U10815" s="20">
        <f>SUMIF($B:$B,T10815,$R:$R)</f>
        <v>0</v>
      </c>
    </row>
    <row r="10816" spans="20:21" x14ac:dyDescent="0.2">
      <c r="T10816" s="24" t="s">
        <v>1648</v>
      </c>
      <c r="U10816" s="20">
        <f>SUMIF($B:$B,T10816,$R:$R)</f>
        <v>0</v>
      </c>
    </row>
    <row r="10817" spans="20:21" x14ac:dyDescent="0.2">
      <c r="T10817" s="24" t="s">
        <v>1503</v>
      </c>
      <c r="U10817" s="20">
        <f>SUMIF($B:$B,T10817,$R:$R)</f>
        <v>0</v>
      </c>
    </row>
    <row r="10818" spans="20:21" x14ac:dyDescent="0.2">
      <c r="T10818" s="24" t="s">
        <v>1504</v>
      </c>
      <c r="U10818" s="20">
        <f>SUMIF($B:$B,T10818,$R:$R)</f>
        <v>0</v>
      </c>
    </row>
    <row r="10819" spans="20:21" x14ac:dyDescent="0.2">
      <c r="T10819" s="24" t="s">
        <v>1505</v>
      </c>
      <c r="U10819" s="20">
        <f>SUMIF($B:$B,T10819,$R:$R)</f>
        <v>0</v>
      </c>
    </row>
    <row r="10820" spans="20:21" x14ac:dyDescent="0.2">
      <c r="T10820" s="24" t="s">
        <v>1506</v>
      </c>
      <c r="U10820" s="20">
        <f>SUMIF($B:$B,T10820,$R:$R)</f>
        <v>0</v>
      </c>
    </row>
    <row r="10821" spans="20:21" x14ac:dyDescent="0.2">
      <c r="T10821" s="24" t="s">
        <v>1507</v>
      </c>
      <c r="U10821" s="20">
        <f>SUMIF($B:$B,T10821,$R:$R)</f>
        <v>0</v>
      </c>
    </row>
    <row r="10822" spans="20:21" x14ac:dyDescent="0.2">
      <c r="T10822" s="24" t="s">
        <v>1508</v>
      </c>
      <c r="U10822" s="20">
        <f>SUMIF($B:$B,T10822,$R:$R)</f>
        <v>0</v>
      </c>
    </row>
    <row r="10823" spans="20:21" x14ac:dyDescent="0.2">
      <c r="T10823" s="24" t="s">
        <v>1509</v>
      </c>
      <c r="U10823" s="20">
        <f>SUMIF($B:$B,T10823,$R:$R)</f>
        <v>0</v>
      </c>
    </row>
    <row r="10824" spans="20:21" x14ac:dyDescent="0.2">
      <c r="T10824" s="24" t="s">
        <v>1510</v>
      </c>
      <c r="U10824" s="20">
        <f>SUMIF($B:$B,T10824,$R:$R)</f>
        <v>0</v>
      </c>
    </row>
    <row r="10825" spans="20:21" x14ac:dyDescent="0.2">
      <c r="T10825" s="24" t="s">
        <v>1511</v>
      </c>
      <c r="U10825" s="20">
        <f>SUMIF($B:$B,T10825,$R:$R)</f>
        <v>0</v>
      </c>
    </row>
    <row r="10826" spans="20:21" x14ac:dyDescent="0.2">
      <c r="T10826" s="24" t="s">
        <v>1512</v>
      </c>
      <c r="U10826" s="20">
        <f>SUMIF($B:$B,T10826,$R:$R)</f>
        <v>0</v>
      </c>
    </row>
    <row r="10827" spans="20:21" x14ac:dyDescent="0.2">
      <c r="T10827" s="24" t="s">
        <v>1649</v>
      </c>
      <c r="U10827" s="20">
        <f>SUMIF($B:$B,T10827,$R:$R)</f>
        <v>0</v>
      </c>
    </row>
    <row r="10828" spans="20:21" x14ac:dyDescent="0.2">
      <c r="T10828" s="24" t="s">
        <v>1513</v>
      </c>
      <c r="U10828" s="20">
        <f>SUMIF($B:$B,T10828,$R:$R)</f>
        <v>0</v>
      </c>
    </row>
    <row r="10829" spans="20:21" x14ac:dyDescent="0.2">
      <c r="T10829" s="24" t="s">
        <v>1514</v>
      </c>
      <c r="U10829" s="20">
        <f>SUMIF($B:$B,T10829,$R:$R)</f>
        <v>0</v>
      </c>
    </row>
    <row r="10830" spans="20:21" x14ac:dyDescent="0.2">
      <c r="T10830" s="24" t="s">
        <v>1515</v>
      </c>
      <c r="U10830" s="20">
        <f>SUMIF($B:$B,T10830,$R:$R)</f>
        <v>0</v>
      </c>
    </row>
    <row r="10831" spans="20:21" x14ac:dyDescent="0.2">
      <c r="T10831" s="24" t="s">
        <v>1516</v>
      </c>
      <c r="U10831" s="20">
        <f>SUMIF($B:$B,T10831,$R:$R)</f>
        <v>0</v>
      </c>
    </row>
    <row r="10832" spans="20:21" x14ac:dyDescent="0.2">
      <c r="T10832" s="24" t="s">
        <v>1517</v>
      </c>
      <c r="U10832" s="20">
        <f>SUMIF($B:$B,T10832,$R:$R)</f>
        <v>0</v>
      </c>
    </row>
    <row r="10833" spans="20:21" x14ac:dyDescent="0.2">
      <c r="T10833" s="24" t="s">
        <v>1518</v>
      </c>
      <c r="U10833" s="20">
        <f>SUMIF($B:$B,T10833,$R:$R)</f>
        <v>0</v>
      </c>
    </row>
    <row r="10834" spans="20:21" x14ac:dyDescent="0.2">
      <c r="T10834" s="24" t="s">
        <v>1519</v>
      </c>
      <c r="U10834" s="20">
        <f>SUMIF($B:$B,T10834,$R:$R)</f>
        <v>0</v>
      </c>
    </row>
    <row r="10835" spans="20:21" x14ac:dyDescent="0.2">
      <c r="T10835" s="24" t="s">
        <v>1520</v>
      </c>
      <c r="U10835" s="20">
        <f>SUMIF($B:$B,T10835,$R:$R)</f>
        <v>0</v>
      </c>
    </row>
    <row r="10836" spans="20:21" x14ac:dyDescent="0.2">
      <c r="T10836" s="24" t="s">
        <v>1521</v>
      </c>
      <c r="U10836" s="20">
        <f>SUMIF($B:$B,T10836,$R:$R)</f>
        <v>0</v>
      </c>
    </row>
    <row r="10837" spans="20:21" x14ac:dyDescent="0.2">
      <c r="T10837" s="24" t="s">
        <v>1522</v>
      </c>
      <c r="U10837" s="20">
        <f>SUMIF($B:$B,T10837,$R:$R)</f>
        <v>0</v>
      </c>
    </row>
    <row r="10838" spans="20:21" x14ac:dyDescent="0.2">
      <c r="T10838" s="24" t="s">
        <v>1650</v>
      </c>
      <c r="U10838" s="20">
        <f>SUMIF($B:$B,T10838,$R:$R)</f>
        <v>0</v>
      </c>
    </row>
    <row r="10839" spans="20:21" x14ac:dyDescent="0.2">
      <c r="T10839" s="24" t="s">
        <v>1523</v>
      </c>
      <c r="U10839" s="20">
        <f>SUMIF($B:$B,T10839,$R:$R)</f>
        <v>0</v>
      </c>
    </row>
    <row r="10840" spans="20:21" x14ac:dyDescent="0.2">
      <c r="T10840" s="24" t="s">
        <v>1524</v>
      </c>
      <c r="U10840" s="20">
        <f>SUMIF($B:$B,T10840,$R:$R)</f>
        <v>0</v>
      </c>
    </row>
    <row r="10841" spans="20:21" x14ac:dyDescent="0.2">
      <c r="T10841" s="24" t="s">
        <v>1525</v>
      </c>
      <c r="U10841" s="20">
        <f>SUMIF($B:$B,T10841,$R:$R)</f>
        <v>0</v>
      </c>
    </row>
    <row r="10842" spans="20:21" x14ac:dyDescent="0.2">
      <c r="T10842" s="24" t="s">
        <v>1526</v>
      </c>
      <c r="U10842" s="20">
        <f>SUMIF($B:$B,T10842,$R:$R)</f>
        <v>0</v>
      </c>
    </row>
    <row r="10843" spans="20:21" x14ac:dyDescent="0.2">
      <c r="T10843" s="24" t="s">
        <v>1527</v>
      </c>
      <c r="U10843" s="20">
        <f>SUMIF($B:$B,T10843,$R:$R)</f>
        <v>0</v>
      </c>
    </row>
    <row r="10844" spans="20:21" x14ac:dyDescent="0.2">
      <c r="T10844" s="24" t="s">
        <v>1528</v>
      </c>
      <c r="U10844" s="20">
        <f>SUMIF($B:$B,T10844,$R:$R)</f>
        <v>0</v>
      </c>
    </row>
    <row r="10845" spans="20:21" x14ac:dyDescent="0.2">
      <c r="T10845" s="24" t="s">
        <v>1529</v>
      </c>
      <c r="U10845" s="20">
        <f>SUMIF($B:$B,T10845,$R:$R)</f>
        <v>0</v>
      </c>
    </row>
    <row r="10846" spans="20:21" x14ac:dyDescent="0.2">
      <c r="T10846" s="24" t="s">
        <v>1530</v>
      </c>
      <c r="U10846" s="20">
        <f>SUMIF($B:$B,T10846,$R:$R)</f>
        <v>0</v>
      </c>
    </row>
    <row r="10847" spans="20:21" x14ac:dyDescent="0.2">
      <c r="T10847" s="24" t="s">
        <v>1531</v>
      </c>
      <c r="U10847" s="20">
        <f>SUMIF($B:$B,T10847,$R:$R)</f>
        <v>0</v>
      </c>
    </row>
    <row r="10848" spans="20:21" x14ac:dyDescent="0.2">
      <c r="T10848" s="24" t="s">
        <v>1532</v>
      </c>
      <c r="U10848" s="20">
        <f>SUMIF($B:$B,T10848,$R:$R)</f>
        <v>0</v>
      </c>
    </row>
    <row r="10849" spans="20:21" x14ac:dyDescent="0.2">
      <c r="T10849" s="24" t="s">
        <v>1651</v>
      </c>
      <c r="U10849" s="20">
        <f>SUMIF($B:$B,T10849,$R:$R)</f>
        <v>0</v>
      </c>
    </row>
    <row r="10850" spans="20:21" x14ac:dyDescent="0.2">
      <c r="T10850" s="24" t="s">
        <v>1533</v>
      </c>
      <c r="U10850" s="20">
        <f>SUMIF($B:$B,T10850,$R:$R)</f>
        <v>0</v>
      </c>
    </row>
    <row r="10851" spans="20:21" x14ac:dyDescent="0.2">
      <c r="T10851" s="24" t="s">
        <v>1534</v>
      </c>
      <c r="U10851" s="20">
        <f>SUMIF($B:$B,T10851,$R:$R)</f>
        <v>0</v>
      </c>
    </row>
    <row r="10852" spans="20:21" x14ac:dyDescent="0.2">
      <c r="T10852" s="24" t="s">
        <v>1535</v>
      </c>
      <c r="U10852" s="20">
        <f>SUMIF($B:$B,T10852,$R:$R)</f>
        <v>0</v>
      </c>
    </row>
    <row r="10853" spans="20:21" x14ac:dyDescent="0.2">
      <c r="T10853" s="24" t="s">
        <v>1536</v>
      </c>
      <c r="U10853" s="20">
        <f>SUMIF($B:$B,T10853,$R:$R)</f>
        <v>0</v>
      </c>
    </row>
    <row r="10854" spans="20:21" x14ac:dyDescent="0.2">
      <c r="T10854" s="24" t="s">
        <v>1537</v>
      </c>
      <c r="U10854" s="20">
        <f>SUMIF($B:$B,T10854,$R:$R)</f>
        <v>0</v>
      </c>
    </row>
    <row r="10855" spans="20:21" x14ac:dyDescent="0.2">
      <c r="T10855" s="24" t="s">
        <v>1538</v>
      </c>
      <c r="U10855" s="20">
        <f>SUMIF($B:$B,T10855,$R:$R)</f>
        <v>0</v>
      </c>
    </row>
    <row r="10856" spans="20:21" x14ac:dyDescent="0.2">
      <c r="T10856" s="24" t="s">
        <v>1539</v>
      </c>
      <c r="U10856" s="20">
        <f>SUMIF($B:$B,T10856,$R:$R)</f>
        <v>0</v>
      </c>
    </row>
    <row r="10857" spans="20:21" x14ac:dyDescent="0.2">
      <c r="T10857" s="24" t="s">
        <v>1540</v>
      </c>
      <c r="U10857" s="20">
        <f>SUMIF($B:$B,T10857,$R:$R)</f>
        <v>0</v>
      </c>
    </row>
    <row r="10858" spans="20:21" x14ac:dyDescent="0.2">
      <c r="T10858" s="24" t="s">
        <v>1541</v>
      </c>
      <c r="U10858" s="20">
        <f>SUMIF($B:$B,T10858,$R:$R)</f>
        <v>0</v>
      </c>
    </row>
    <row r="10859" spans="20:21" x14ac:dyDescent="0.2">
      <c r="T10859" s="24" t="s">
        <v>1542</v>
      </c>
      <c r="U10859" s="20">
        <f>SUMIF($B:$B,T10859,$R:$R)</f>
        <v>0</v>
      </c>
    </row>
    <row r="10860" spans="20:21" x14ac:dyDescent="0.2">
      <c r="T10860" s="24" t="s">
        <v>1652</v>
      </c>
      <c r="U10860" s="20">
        <f>SUMIF($B:$B,T10860,$R:$R)</f>
        <v>0</v>
      </c>
    </row>
    <row r="10861" spans="20:21" x14ac:dyDescent="0.2">
      <c r="T10861" s="24" t="s">
        <v>1543</v>
      </c>
      <c r="U10861" s="20">
        <f>SUMIF($B:$B,T10861,$R:$R)</f>
        <v>0</v>
      </c>
    </row>
    <row r="10862" spans="20:21" x14ac:dyDescent="0.2">
      <c r="T10862" s="24" t="s">
        <v>1544</v>
      </c>
      <c r="U10862" s="20">
        <f>SUMIF($B:$B,T10862,$R:$R)</f>
        <v>0</v>
      </c>
    </row>
    <row r="10863" spans="20:21" x14ac:dyDescent="0.2">
      <c r="T10863" s="24" t="s">
        <v>1545</v>
      </c>
      <c r="U10863" s="20">
        <f>SUMIF($B:$B,T10863,$R:$R)</f>
        <v>0</v>
      </c>
    </row>
    <row r="10864" spans="20:21" x14ac:dyDescent="0.2">
      <c r="T10864" s="24" t="s">
        <v>1546</v>
      </c>
      <c r="U10864" s="20">
        <f>SUMIF($B:$B,T10864,$R:$R)</f>
        <v>0</v>
      </c>
    </row>
    <row r="10865" spans="20:21" x14ac:dyDescent="0.2">
      <c r="T10865" s="24" t="s">
        <v>1547</v>
      </c>
      <c r="U10865" s="20">
        <f>SUMIF($B:$B,T10865,$R:$R)</f>
        <v>0</v>
      </c>
    </row>
    <row r="10866" spans="20:21" x14ac:dyDescent="0.2">
      <c r="T10866" s="24" t="s">
        <v>1548</v>
      </c>
      <c r="U10866" s="20">
        <f>SUMIF($B:$B,T10866,$R:$R)</f>
        <v>0</v>
      </c>
    </row>
    <row r="10867" spans="20:21" x14ac:dyDescent="0.2">
      <c r="T10867" s="24" t="s">
        <v>1549</v>
      </c>
      <c r="U10867" s="20">
        <f>SUMIF($B:$B,T10867,$R:$R)</f>
        <v>0</v>
      </c>
    </row>
    <row r="10868" spans="20:21" x14ac:dyDescent="0.2">
      <c r="T10868" s="24" t="s">
        <v>1550</v>
      </c>
      <c r="U10868" s="20">
        <f>SUMIF($B:$B,T10868,$R:$R)</f>
        <v>0</v>
      </c>
    </row>
    <row r="10869" spans="20:21" x14ac:dyDescent="0.2">
      <c r="T10869" s="24" t="s">
        <v>1551</v>
      </c>
      <c r="U10869" s="20">
        <f>SUMIF($B:$B,T10869,$R:$R)</f>
        <v>0</v>
      </c>
    </row>
    <row r="10870" spans="20:21" x14ac:dyDescent="0.2">
      <c r="T10870" s="24" t="s">
        <v>1552</v>
      </c>
      <c r="U10870" s="20">
        <f>SUMIF($B:$B,T10870,$R:$R)</f>
        <v>0</v>
      </c>
    </row>
    <row r="10871" spans="20:21" x14ac:dyDescent="0.2">
      <c r="T10871" s="24" t="s">
        <v>1653</v>
      </c>
      <c r="U10871" s="20">
        <f>SUMIF($B:$B,T10871,$R:$R)</f>
        <v>0</v>
      </c>
    </row>
    <row r="13883" spans="1:20" x14ac:dyDescent="0.2">
      <c r="S13883" s="15"/>
      <c r="T13883" s="15"/>
    </row>
    <row r="13884" spans="1:20" x14ac:dyDescent="0.2">
      <c r="S13884" s="15"/>
      <c r="T13884" s="15"/>
    </row>
    <row r="13885" spans="1:20" x14ac:dyDescent="0.2">
      <c r="S13885" s="15"/>
      <c r="T13885" s="15"/>
    </row>
    <row r="13886" spans="1:20" ht="23.25" x14ac:dyDescent="0.2">
      <c r="A13886" s="15" ph="1"/>
      <c r="C13886" s="15" ph="1"/>
      <c r="E13886" s="15" ph="1"/>
      <c r="F13886" s="15" ph="1"/>
      <c r="S13886" s="15"/>
      <c r="T13886" s="15"/>
    </row>
    <row r="13887" spans="1:20" ht="23.25" x14ac:dyDescent="0.2">
      <c r="A13887" s="15" ph="1"/>
      <c r="C13887" s="15" ph="1"/>
      <c r="E13887" s="15" ph="1"/>
      <c r="F13887" s="15" ph="1"/>
      <c r="S13887" s="15"/>
      <c r="T13887" s="15"/>
    </row>
    <row r="13888" spans="1:20" ht="23.25" x14ac:dyDescent="0.2">
      <c r="A13888" s="15" ph="1"/>
      <c r="C13888" s="15" ph="1"/>
      <c r="E13888" s="15" ph="1"/>
      <c r="F13888" s="15" ph="1"/>
      <c r="S13888" s="15"/>
      <c r="T13888" s="15"/>
    </row>
    <row r="13889" spans="1:20" ht="23.25" x14ac:dyDescent="0.2">
      <c r="A13889" s="15" ph="1"/>
      <c r="C13889" s="15" ph="1"/>
      <c r="E13889" s="15" ph="1"/>
      <c r="F13889" s="15" ph="1"/>
      <c r="S13889" s="15"/>
      <c r="T13889" s="15"/>
    </row>
    <row r="13890" spans="1:20" ht="23.25" x14ac:dyDescent="0.2">
      <c r="A13890" s="15" ph="1"/>
      <c r="C13890" s="15" ph="1"/>
      <c r="E13890" s="15" ph="1"/>
      <c r="F13890" s="15" ph="1"/>
      <c r="S13890" s="15"/>
      <c r="T13890" s="15"/>
    </row>
    <row r="13891" spans="1:20" ht="23.25" x14ac:dyDescent="0.2">
      <c r="A13891" s="15" ph="1"/>
      <c r="C13891" s="15" ph="1"/>
      <c r="E13891" s="15" ph="1"/>
      <c r="F13891" s="15" ph="1"/>
      <c r="S13891" s="15"/>
      <c r="T13891" s="15"/>
    </row>
    <row r="13892" spans="1:20" ht="23.25" x14ac:dyDescent="0.2">
      <c r="A13892" s="15" ph="1"/>
      <c r="C13892" s="15" ph="1"/>
      <c r="E13892" s="15" ph="1"/>
      <c r="F13892" s="15" ph="1"/>
      <c r="S13892" s="15"/>
      <c r="T13892" s="15"/>
    </row>
    <row r="13893" spans="1:20" ht="23.25" x14ac:dyDescent="0.2">
      <c r="A13893" s="15" ph="1"/>
      <c r="C13893" s="15" ph="1"/>
      <c r="E13893" s="15" ph="1"/>
      <c r="F13893" s="15" ph="1"/>
      <c r="S13893" s="15"/>
      <c r="T13893" s="15"/>
    </row>
    <row r="13894" spans="1:20" ht="23.25" x14ac:dyDescent="0.2">
      <c r="A13894" s="15" ph="1"/>
      <c r="C13894" s="15" ph="1"/>
      <c r="E13894" s="15" ph="1"/>
      <c r="F13894" s="15" ph="1"/>
      <c r="S13894" s="15"/>
      <c r="T13894" s="15"/>
    </row>
    <row r="13895" spans="1:20" ht="23.25" x14ac:dyDescent="0.2">
      <c r="A13895" s="15" ph="1"/>
      <c r="C13895" s="15" ph="1"/>
      <c r="E13895" s="15" ph="1"/>
      <c r="F13895" s="15" ph="1"/>
      <c r="S13895" s="15"/>
      <c r="T13895" s="15"/>
    </row>
    <row r="13896" spans="1:20" ht="23.25" x14ac:dyDescent="0.2">
      <c r="A13896" s="15" ph="1"/>
      <c r="C13896" s="15" ph="1"/>
      <c r="E13896" s="15" ph="1"/>
      <c r="F13896" s="15" ph="1"/>
      <c r="S13896" s="15"/>
      <c r="T13896" s="15"/>
    </row>
    <row r="13897" spans="1:20" ht="23.25" x14ac:dyDescent="0.2">
      <c r="A13897" s="15" ph="1"/>
      <c r="C13897" s="15" ph="1"/>
      <c r="E13897" s="15" ph="1"/>
      <c r="F13897" s="15" ph="1"/>
      <c r="S13897" s="15"/>
      <c r="T13897" s="15"/>
    </row>
    <row r="13898" spans="1:20" ht="23.25" x14ac:dyDescent="0.2">
      <c r="A13898" s="15" ph="1"/>
      <c r="C13898" s="15" ph="1"/>
      <c r="E13898" s="15" ph="1"/>
      <c r="F13898" s="15" ph="1"/>
      <c r="S13898" s="15"/>
      <c r="T13898" s="15"/>
    </row>
    <row r="13899" spans="1:20" ht="23.25" x14ac:dyDescent="0.2">
      <c r="A13899" s="15" ph="1"/>
      <c r="C13899" s="15" ph="1"/>
      <c r="E13899" s="15" ph="1"/>
      <c r="F13899" s="15" ph="1"/>
      <c r="S13899" s="15"/>
      <c r="T13899" s="15"/>
    </row>
    <row r="13900" spans="1:20" ht="23.25" x14ac:dyDescent="0.2">
      <c r="A13900" s="15" ph="1"/>
      <c r="C13900" s="15" ph="1"/>
      <c r="E13900" s="15" ph="1"/>
      <c r="F13900" s="15" ph="1"/>
      <c r="S13900" s="15"/>
      <c r="T13900" s="15"/>
    </row>
    <row r="13901" spans="1:20" ht="23.25" x14ac:dyDescent="0.2">
      <c r="A13901" s="15" ph="1"/>
      <c r="C13901" s="15" ph="1"/>
      <c r="E13901" s="15" ph="1"/>
      <c r="F13901" s="15" ph="1"/>
      <c r="S13901" s="15"/>
      <c r="T13901" s="15"/>
    </row>
    <row r="13902" spans="1:20" ht="23.25" x14ac:dyDescent="0.2">
      <c r="A13902" s="15" ph="1"/>
      <c r="C13902" s="15" ph="1"/>
      <c r="E13902" s="15" ph="1"/>
      <c r="F13902" s="15" ph="1"/>
      <c r="S13902" s="15"/>
      <c r="T13902" s="15"/>
    </row>
    <row r="13903" spans="1:20" ht="23.25" x14ac:dyDescent="0.2">
      <c r="A13903" s="15" ph="1"/>
      <c r="C13903" s="15" ph="1"/>
      <c r="E13903" s="15" ph="1"/>
      <c r="F13903" s="15" ph="1"/>
      <c r="S13903" s="15"/>
      <c r="T13903" s="15"/>
    </row>
    <row r="13904" spans="1:20" ht="23.25" x14ac:dyDescent="0.2">
      <c r="A13904" s="15" ph="1"/>
      <c r="C13904" s="15" ph="1"/>
      <c r="E13904" s="15" ph="1"/>
      <c r="F13904" s="15" ph="1"/>
      <c r="S13904" s="15"/>
      <c r="T13904" s="15"/>
    </row>
    <row r="13905" spans="1:20" ht="23.25" x14ac:dyDescent="0.2">
      <c r="A13905" s="15" ph="1"/>
      <c r="C13905" s="15" ph="1"/>
      <c r="E13905" s="15" ph="1"/>
      <c r="F13905" s="15" ph="1"/>
      <c r="S13905" s="15"/>
      <c r="T13905" s="15"/>
    </row>
    <row r="13906" spans="1:20" ht="23.25" x14ac:dyDescent="0.2">
      <c r="A13906" s="15" ph="1"/>
      <c r="C13906" s="15" ph="1"/>
      <c r="E13906" s="15" ph="1"/>
      <c r="F13906" s="15" ph="1"/>
      <c r="S13906" s="15"/>
      <c r="T13906" s="15"/>
    </row>
    <row r="13907" spans="1:20" ht="23.25" x14ac:dyDescent="0.2">
      <c r="A13907" s="15" ph="1"/>
      <c r="C13907" s="15" ph="1"/>
      <c r="E13907" s="15" ph="1"/>
      <c r="F13907" s="15" ph="1"/>
      <c r="S13907" s="15"/>
      <c r="T13907" s="15"/>
    </row>
    <row r="13908" spans="1:20" ht="23.25" x14ac:dyDescent="0.2">
      <c r="A13908" s="15" ph="1"/>
      <c r="C13908" s="15" ph="1"/>
      <c r="E13908" s="15" ph="1"/>
      <c r="F13908" s="15" ph="1"/>
      <c r="S13908" s="15"/>
      <c r="T13908" s="15"/>
    </row>
    <row r="13909" spans="1:20" ht="23.25" x14ac:dyDescent="0.2">
      <c r="A13909" s="15" ph="1"/>
      <c r="C13909" s="15" ph="1"/>
      <c r="E13909" s="15" ph="1"/>
      <c r="F13909" s="15" ph="1"/>
      <c r="S13909" s="15"/>
      <c r="T13909" s="15"/>
    </row>
    <row r="13910" spans="1:20" ht="23.25" x14ac:dyDescent="0.2">
      <c r="A13910" s="15" ph="1"/>
      <c r="C13910" s="15" ph="1"/>
      <c r="E13910" s="15" ph="1"/>
      <c r="F13910" s="15" ph="1"/>
      <c r="S13910" s="15"/>
      <c r="T13910" s="15"/>
    </row>
    <row r="13911" spans="1:20" ht="23.25" x14ac:dyDescent="0.2">
      <c r="A13911" s="15" ph="1"/>
      <c r="C13911" s="15" ph="1"/>
      <c r="E13911" s="15" ph="1"/>
      <c r="F13911" s="15" ph="1"/>
      <c r="S13911" s="15"/>
      <c r="T13911" s="15"/>
    </row>
    <row r="13912" spans="1:20" ht="23.25" x14ac:dyDescent="0.2">
      <c r="A13912" s="15" ph="1"/>
      <c r="C13912" s="15" ph="1"/>
      <c r="E13912" s="15" ph="1"/>
      <c r="F13912" s="15" ph="1"/>
      <c r="S13912" s="15"/>
      <c r="T13912" s="15"/>
    </row>
    <row r="13913" spans="1:20" ht="23.25" x14ac:dyDescent="0.2">
      <c r="A13913" s="15" ph="1"/>
      <c r="C13913" s="15" ph="1"/>
      <c r="E13913" s="15" ph="1"/>
      <c r="F13913" s="15" ph="1"/>
      <c r="S13913" s="15"/>
      <c r="T13913" s="15"/>
    </row>
    <row r="13914" spans="1:20" ht="23.25" x14ac:dyDescent="0.2">
      <c r="A13914" s="15" ph="1"/>
      <c r="C13914" s="15" ph="1"/>
      <c r="E13914" s="15" ph="1"/>
      <c r="F13914" s="15" ph="1"/>
      <c r="S13914" s="15"/>
      <c r="T13914" s="15"/>
    </row>
    <row r="13915" spans="1:20" ht="23.25" x14ac:dyDescent="0.2">
      <c r="A13915" s="15" ph="1"/>
      <c r="C13915" s="15" ph="1"/>
      <c r="E13915" s="15" ph="1"/>
      <c r="F13915" s="15" ph="1"/>
      <c r="S13915" s="15"/>
      <c r="T13915" s="15"/>
    </row>
    <row r="13916" spans="1:20" ht="23.25" x14ac:dyDescent="0.2">
      <c r="A13916" s="15" ph="1"/>
      <c r="C13916" s="15" ph="1"/>
      <c r="E13916" s="15" ph="1"/>
      <c r="F13916" s="15" ph="1"/>
      <c r="S13916" s="15"/>
      <c r="T13916" s="15"/>
    </row>
    <row r="13917" spans="1:20" ht="23.25" x14ac:dyDescent="0.2">
      <c r="A13917" s="15" ph="1"/>
      <c r="C13917" s="15" ph="1"/>
      <c r="E13917" s="15" ph="1"/>
      <c r="F13917" s="15" ph="1"/>
      <c r="S13917" s="15"/>
      <c r="T13917" s="15"/>
    </row>
    <row r="13918" spans="1:20" ht="23.25" x14ac:dyDescent="0.2">
      <c r="A13918" s="15" ph="1"/>
      <c r="C13918" s="15" ph="1"/>
      <c r="E13918" s="15" ph="1"/>
      <c r="F13918" s="15" ph="1"/>
      <c r="S13918" s="15"/>
      <c r="T13918" s="15"/>
    </row>
    <row r="13919" spans="1:20" ht="23.25" x14ac:dyDescent="0.2">
      <c r="A13919" s="15" ph="1"/>
      <c r="C13919" s="15" ph="1"/>
      <c r="E13919" s="15" ph="1"/>
      <c r="F13919" s="15" ph="1"/>
      <c r="S13919" s="15"/>
      <c r="T13919" s="15"/>
    </row>
    <row r="13920" spans="1:20" ht="23.25" x14ac:dyDescent="0.2">
      <c r="A13920" s="15" ph="1"/>
      <c r="C13920" s="15" ph="1"/>
      <c r="E13920" s="15" ph="1"/>
      <c r="F13920" s="15" ph="1"/>
      <c r="S13920" s="15"/>
      <c r="T13920" s="15"/>
    </row>
    <row r="13921" spans="1:20" ht="23.25" x14ac:dyDescent="0.2">
      <c r="A13921" s="15" ph="1"/>
      <c r="C13921" s="15" ph="1"/>
      <c r="E13921" s="15" ph="1"/>
      <c r="F13921" s="15" ph="1"/>
      <c r="S13921" s="15"/>
      <c r="T13921" s="15"/>
    </row>
    <row r="13922" spans="1:20" ht="23.25" x14ac:dyDescent="0.2">
      <c r="A13922" s="15" ph="1"/>
      <c r="C13922" s="15" ph="1"/>
      <c r="E13922" s="15" ph="1"/>
      <c r="F13922" s="15" ph="1"/>
      <c r="S13922" s="15"/>
      <c r="T13922" s="15"/>
    </row>
    <row r="13923" spans="1:20" ht="23.25" x14ac:dyDescent="0.2">
      <c r="A13923" s="15" ph="1"/>
      <c r="C13923" s="15" ph="1"/>
      <c r="E13923" s="15" ph="1"/>
      <c r="F13923" s="15" ph="1"/>
      <c r="S13923" s="15"/>
      <c r="T13923" s="15"/>
    </row>
    <row r="13924" spans="1:20" ht="23.25" x14ac:dyDescent="0.2">
      <c r="A13924" s="15" ph="1"/>
      <c r="C13924" s="15" ph="1"/>
      <c r="E13924" s="15" ph="1"/>
      <c r="F13924" s="15" ph="1"/>
      <c r="S13924" s="15"/>
      <c r="T13924" s="15"/>
    </row>
    <row r="13925" spans="1:20" ht="23.25" x14ac:dyDescent="0.2">
      <c r="A13925" s="15" ph="1"/>
      <c r="C13925" s="15" ph="1"/>
      <c r="E13925" s="15" ph="1"/>
      <c r="F13925" s="15" ph="1"/>
      <c r="S13925" s="15"/>
      <c r="T13925" s="15"/>
    </row>
    <row r="13926" spans="1:20" ht="23.25" x14ac:dyDescent="0.2">
      <c r="A13926" s="15" ph="1"/>
      <c r="C13926" s="15" ph="1"/>
      <c r="E13926" s="15" ph="1"/>
      <c r="F13926" s="15" ph="1"/>
      <c r="S13926" s="15"/>
      <c r="T13926" s="15"/>
    </row>
    <row r="13927" spans="1:20" ht="23.25" x14ac:dyDescent="0.2">
      <c r="A13927" s="15" ph="1"/>
      <c r="C13927" s="15" ph="1"/>
      <c r="E13927" s="15" ph="1"/>
      <c r="F13927" s="15" ph="1"/>
      <c r="S13927" s="15"/>
      <c r="T13927" s="15"/>
    </row>
    <row r="13928" spans="1:20" ht="23.25" x14ac:dyDescent="0.2">
      <c r="A13928" s="15" ph="1"/>
      <c r="C13928" s="15" ph="1"/>
      <c r="E13928" s="15" ph="1"/>
      <c r="F13928" s="15" ph="1"/>
      <c r="S13928" s="15"/>
      <c r="T13928" s="15"/>
    </row>
    <row r="13929" spans="1:20" ht="23.25" x14ac:dyDescent="0.2">
      <c r="A13929" s="15" ph="1"/>
      <c r="C13929" s="15" ph="1"/>
      <c r="E13929" s="15" ph="1"/>
      <c r="F13929" s="15" ph="1"/>
      <c r="S13929" s="15"/>
      <c r="T13929" s="15"/>
    </row>
    <row r="13930" spans="1:20" ht="23.25" x14ac:dyDescent="0.2">
      <c r="A13930" s="15" ph="1"/>
      <c r="C13930" s="15" ph="1"/>
      <c r="E13930" s="15" ph="1"/>
      <c r="F13930" s="15" ph="1"/>
      <c r="S13930" s="15"/>
      <c r="T13930" s="15"/>
    </row>
    <row r="13931" spans="1:20" ht="23.25" x14ac:dyDescent="0.2">
      <c r="A13931" s="15" ph="1"/>
      <c r="C13931" s="15" ph="1"/>
      <c r="E13931" s="15" ph="1"/>
      <c r="F13931" s="15" ph="1"/>
      <c r="S13931" s="15"/>
      <c r="T13931" s="15"/>
    </row>
    <row r="13932" spans="1:20" ht="23.25" x14ac:dyDescent="0.2">
      <c r="A13932" s="15" ph="1"/>
      <c r="C13932" s="15" ph="1"/>
      <c r="E13932" s="15" ph="1"/>
      <c r="F13932" s="15" ph="1"/>
      <c r="S13932" s="15"/>
      <c r="T13932" s="15"/>
    </row>
    <row r="13933" spans="1:20" ht="23.25" x14ac:dyDescent="0.2">
      <c r="A13933" s="15" ph="1"/>
      <c r="C13933" s="15" ph="1"/>
      <c r="E13933" s="15" ph="1"/>
      <c r="F13933" s="15" ph="1"/>
      <c r="S13933" s="15"/>
      <c r="T13933" s="15"/>
    </row>
    <row r="13934" spans="1:20" ht="23.25" x14ac:dyDescent="0.2">
      <c r="A13934" s="15" ph="1"/>
      <c r="C13934" s="15" ph="1"/>
      <c r="E13934" s="15" ph="1"/>
      <c r="F13934" s="15" ph="1"/>
      <c r="S13934" s="15"/>
      <c r="T13934" s="15"/>
    </row>
    <row r="13935" spans="1:20" ht="23.25" x14ac:dyDescent="0.2">
      <c r="A13935" s="15" ph="1"/>
      <c r="C13935" s="15" ph="1"/>
      <c r="E13935" s="15" ph="1"/>
      <c r="F13935" s="15" ph="1"/>
      <c r="S13935" s="15"/>
      <c r="T13935" s="15"/>
    </row>
    <row r="13936" spans="1:20" ht="23.25" x14ac:dyDescent="0.2">
      <c r="A13936" s="15" ph="1"/>
      <c r="C13936" s="15" ph="1"/>
      <c r="E13936" s="15" ph="1"/>
      <c r="F13936" s="15" ph="1"/>
      <c r="S13936" s="15"/>
      <c r="T13936" s="15"/>
    </row>
    <row r="13937" spans="1:20" ht="23.25" x14ac:dyDescent="0.2">
      <c r="A13937" s="15" ph="1"/>
      <c r="C13937" s="15" ph="1"/>
      <c r="E13937" s="15" ph="1"/>
      <c r="F13937" s="15" ph="1"/>
      <c r="S13937" s="15"/>
      <c r="T13937" s="15"/>
    </row>
    <row r="13938" spans="1:20" ht="23.25" x14ac:dyDescent="0.2">
      <c r="A13938" s="15" ph="1"/>
      <c r="C13938" s="15" ph="1"/>
      <c r="E13938" s="15" ph="1"/>
      <c r="F13938" s="15" ph="1"/>
      <c r="S13938" s="15"/>
      <c r="T13938" s="15"/>
    </row>
    <row r="13939" spans="1:20" ht="23.25" x14ac:dyDescent="0.2">
      <c r="A13939" s="15" ph="1"/>
      <c r="C13939" s="15" ph="1"/>
      <c r="E13939" s="15" ph="1"/>
      <c r="F13939" s="15" ph="1"/>
      <c r="S13939" s="15"/>
      <c r="T13939" s="15"/>
    </row>
    <row r="13940" spans="1:20" ht="23.25" x14ac:dyDescent="0.2">
      <c r="A13940" s="15" ph="1"/>
      <c r="C13940" s="15" ph="1"/>
      <c r="E13940" s="15" ph="1"/>
      <c r="F13940" s="15" ph="1"/>
      <c r="S13940" s="15"/>
      <c r="T13940" s="15"/>
    </row>
    <row r="13941" spans="1:20" ht="23.25" x14ac:dyDescent="0.2">
      <c r="A13941" s="15" ph="1"/>
      <c r="C13941" s="15" ph="1"/>
      <c r="E13941" s="15" ph="1"/>
      <c r="F13941" s="15" ph="1"/>
      <c r="S13941" s="15"/>
      <c r="T13941" s="15"/>
    </row>
    <row r="13942" spans="1:20" ht="23.25" x14ac:dyDescent="0.2">
      <c r="A13942" s="15" ph="1"/>
      <c r="C13942" s="15" ph="1"/>
      <c r="E13942" s="15" ph="1"/>
      <c r="F13942" s="15" ph="1"/>
      <c r="S13942" s="15"/>
      <c r="T13942" s="15"/>
    </row>
    <row r="13943" spans="1:20" ht="23.25" x14ac:dyDescent="0.2">
      <c r="A13943" s="15" ph="1"/>
      <c r="C13943" s="15" ph="1"/>
      <c r="E13943" s="15" ph="1"/>
      <c r="F13943" s="15" ph="1"/>
      <c r="S13943" s="15"/>
      <c r="T13943" s="15"/>
    </row>
    <row r="13944" spans="1:20" ht="23.25" x14ac:dyDescent="0.2">
      <c r="A13944" s="15" ph="1"/>
      <c r="C13944" s="15" ph="1"/>
      <c r="E13944" s="15" ph="1"/>
      <c r="F13944" s="15" ph="1"/>
      <c r="S13944" s="15"/>
      <c r="T13944" s="15"/>
    </row>
    <row r="13945" spans="1:20" ht="23.25" x14ac:dyDescent="0.2">
      <c r="A13945" s="15" ph="1"/>
      <c r="C13945" s="15" ph="1"/>
      <c r="E13945" s="15" ph="1"/>
      <c r="F13945" s="15" ph="1"/>
      <c r="S13945" s="15"/>
      <c r="T13945" s="15"/>
    </row>
    <row r="13946" spans="1:20" ht="23.25" x14ac:dyDescent="0.2">
      <c r="A13946" s="15" ph="1"/>
      <c r="C13946" s="15" ph="1"/>
      <c r="E13946" s="15" ph="1"/>
      <c r="F13946" s="15" ph="1"/>
      <c r="S13946" s="15"/>
      <c r="T13946" s="15"/>
    </row>
    <row r="13947" spans="1:20" ht="23.25" x14ac:dyDescent="0.2">
      <c r="A13947" s="15" ph="1"/>
      <c r="C13947" s="15" ph="1"/>
      <c r="E13947" s="15" ph="1"/>
      <c r="F13947" s="15" ph="1"/>
      <c r="S13947" s="15"/>
      <c r="T13947" s="15"/>
    </row>
    <row r="13948" spans="1:20" ht="23.25" x14ac:dyDescent="0.2">
      <c r="A13948" s="15" ph="1"/>
      <c r="C13948" s="15" ph="1"/>
      <c r="E13948" s="15" ph="1"/>
      <c r="F13948" s="15" ph="1"/>
      <c r="S13948" s="15"/>
      <c r="T13948" s="15"/>
    </row>
    <row r="13949" spans="1:20" ht="23.25" x14ac:dyDescent="0.2">
      <c r="A13949" s="15" ph="1"/>
      <c r="C13949" s="15" ph="1"/>
      <c r="E13949" s="15" ph="1"/>
      <c r="F13949" s="15" ph="1"/>
      <c r="S13949" s="15"/>
      <c r="T13949" s="15"/>
    </row>
    <row r="13950" spans="1:20" ht="23.25" x14ac:dyDescent="0.2">
      <c r="A13950" s="15" ph="1"/>
      <c r="C13950" s="15" ph="1"/>
      <c r="E13950" s="15" ph="1"/>
      <c r="F13950" s="15" ph="1"/>
      <c r="S13950" s="15"/>
      <c r="T13950" s="15"/>
    </row>
    <row r="13951" spans="1:20" ht="23.25" x14ac:dyDescent="0.2">
      <c r="A13951" s="15" ph="1"/>
      <c r="C13951" s="15" ph="1"/>
      <c r="E13951" s="15" ph="1"/>
      <c r="F13951" s="15" ph="1"/>
      <c r="S13951" s="15"/>
      <c r="T13951" s="15"/>
    </row>
    <row r="13952" spans="1:20" ht="23.25" x14ac:dyDescent="0.2">
      <c r="A13952" s="15" ph="1"/>
      <c r="C13952" s="15" ph="1"/>
      <c r="E13952" s="15" ph="1"/>
      <c r="F13952" s="15" ph="1"/>
      <c r="S13952" s="15"/>
      <c r="T13952" s="15"/>
    </row>
    <row r="13953" spans="1:20" ht="23.25" x14ac:dyDescent="0.2">
      <c r="A13953" s="15" ph="1"/>
      <c r="C13953" s="15" ph="1"/>
      <c r="E13953" s="15" ph="1"/>
      <c r="F13953" s="15" ph="1"/>
      <c r="S13953" s="15"/>
      <c r="T13953" s="15"/>
    </row>
    <row r="13954" spans="1:20" ht="23.25" x14ac:dyDescent="0.2">
      <c r="A13954" s="15" ph="1"/>
      <c r="C13954" s="15" ph="1"/>
      <c r="E13954" s="15" ph="1"/>
      <c r="F13954" s="15" ph="1"/>
      <c r="S13954" s="15"/>
      <c r="T13954" s="15"/>
    </row>
    <row r="13955" spans="1:20" ht="23.25" x14ac:dyDescent="0.2">
      <c r="A13955" s="15" ph="1"/>
      <c r="C13955" s="15" ph="1"/>
      <c r="E13955" s="15" ph="1"/>
      <c r="F13955" s="15" ph="1"/>
      <c r="S13955" s="15"/>
      <c r="T13955" s="15"/>
    </row>
    <row r="13956" spans="1:20" ht="23.25" x14ac:dyDescent="0.2">
      <c r="A13956" s="15" ph="1"/>
      <c r="C13956" s="15" ph="1"/>
      <c r="E13956" s="15" ph="1"/>
      <c r="F13956" s="15" ph="1"/>
      <c r="S13956" s="15"/>
      <c r="T13956" s="15"/>
    </row>
    <row r="13957" spans="1:20" ht="23.25" x14ac:dyDescent="0.2">
      <c r="A13957" s="15" ph="1"/>
      <c r="C13957" s="15" ph="1"/>
      <c r="E13957" s="15" ph="1"/>
      <c r="F13957" s="15" ph="1"/>
      <c r="S13957" s="15"/>
      <c r="T13957" s="15"/>
    </row>
    <row r="13958" spans="1:20" ht="23.25" x14ac:dyDescent="0.2">
      <c r="A13958" s="15" ph="1"/>
      <c r="C13958" s="15" ph="1"/>
      <c r="E13958" s="15" ph="1"/>
      <c r="F13958" s="15" ph="1"/>
      <c r="S13958" s="15"/>
      <c r="T13958" s="15"/>
    </row>
    <row r="13959" spans="1:20" ht="23.25" x14ac:dyDescent="0.2">
      <c r="A13959" s="15" ph="1"/>
      <c r="C13959" s="15" ph="1"/>
      <c r="E13959" s="15" ph="1"/>
      <c r="F13959" s="15" ph="1"/>
      <c r="S13959" s="15"/>
      <c r="T13959" s="15"/>
    </row>
    <row r="13960" spans="1:20" ht="23.25" x14ac:dyDescent="0.2">
      <c r="A13960" s="15" ph="1"/>
      <c r="C13960" s="15" ph="1"/>
      <c r="E13960" s="15" ph="1"/>
      <c r="F13960" s="15" ph="1"/>
      <c r="S13960" s="15"/>
      <c r="T13960" s="15"/>
    </row>
    <row r="13961" spans="1:20" ht="23.25" x14ac:dyDescent="0.2">
      <c r="A13961" s="15" ph="1"/>
      <c r="C13961" s="15" ph="1"/>
      <c r="E13961" s="15" ph="1"/>
      <c r="F13961" s="15" ph="1"/>
      <c r="S13961" s="15"/>
      <c r="T13961" s="15"/>
    </row>
    <row r="13962" spans="1:20" ht="23.25" x14ac:dyDescent="0.2">
      <c r="A13962" s="15" ph="1"/>
      <c r="C13962" s="15" ph="1"/>
      <c r="E13962" s="15" ph="1"/>
      <c r="F13962" s="15" ph="1"/>
      <c r="S13962" s="15"/>
      <c r="T13962" s="15"/>
    </row>
    <row r="13963" spans="1:20" ht="23.25" x14ac:dyDescent="0.2">
      <c r="A13963" s="15" ph="1"/>
      <c r="C13963" s="15" ph="1"/>
      <c r="E13963" s="15" ph="1"/>
      <c r="F13963" s="15" ph="1"/>
      <c r="S13963" s="15"/>
      <c r="T13963" s="15"/>
    </row>
    <row r="13964" spans="1:20" ht="23.25" x14ac:dyDescent="0.2">
      <c r="A13964" s="15" ph="1"/>
      <c r="C13964" s="15" ph="1"/>
      <c r="E13964" s="15" ph="1"/>
      <c r="F13964" s="15" ph="1"/>
      <c r="S13964" s="15"/>
      <c r="T13964" s="15"/>
    </row>
    <row r="13965" spans="1:20" ht="23.25" x14ac:dyDescent="0.2">
      <c r="A13965" s="15" ph="1"/>
      <c r="C13965" s="15" ph="1"/>
      <c r="E13965" s="15" ph="1"/>
      <c r="F13965" s="15" ph="1"/>
      <c r="S13965" s="15"/>
      <c r="T13965" s="15"/>
    </row>
    <row r="13966" spans="1:20" ht="23.25" x14ac:dyDescent="0.2">
      <c r="A13966" s="15" ph="1"/>
      <c r="C13966" s="15" ph="1"/>
      <c r="E13966" s="15" ph="1"/>
      <c r="F13966" s="15" ph="1"/>
      <c r="S13966" s="15"/>
      <c r="T13966" s="15"/>
    </row>
    <row r="13967" spans="1:20" ht="23.25" x14ac:dyDescent="0.2">
      <c r="A13967" s="15" ph="1"/>
      <c r="C13967" s="15" ph="1"/>
      <c r="E13967" s="15" ph="1"/>
      <c r="F13967" s="15" ph="1"/>
      <c r="S13967" s="15"/>
      <c r="T13967" s="15"/>
    </row>
    <row r="13968" spans="1:20" ht="23.25" x14ac:dyDescent="0.2">
      <c r="A13968" s="15" ph="1"/>
      <c r="C13968" s="15" ph="1"/>
      <c r="E13968" s="15" ph="1"/>
      <c r="F13968" s="15" ph="1"/>
      <c r="S13968" s="15"/>
      <c r="T13968" s="15"/>
    </row>
    <row r="13969" spans="1:20" ht="23.25" x14ac:dyDescent="0.2">
      <c r="A13969" s="15" ph="1"/>
      <c r="C13969" s="15" ph="1"/>
      <c r="E13969" s="15" ph="1"/>
      <c r="F13969" s="15" ph="1"/>
      <c r="S13969" s="15"/>
      <c r="T13969" s="15"/>
    </row>
    <row r="13970" spans="1:20" ht="23.25" x14ac:dyDescent="0.2">
      <c r="A13970" s="15" ph="1"/>
      <c r="C13970" s="15" ph="1"/>
      <c r="E13970" s="15" ph="1"/>
      <c r="F13970" s="15" ph="1"/>
      <c r="S13970" s="15"/>
      <c r="T13970" s="15"/>
    </row>
    <row r="13971" spans="1:20" ht="23.25" x14ac:dyDescent="0.2">
      <c r="A13971" s="15" ph="1"/>
      <c r="C13971" s="15" ph="1"/>
      <c r="E13971" s="15" ph="1"/>
      <c r="F13971" s="15" ph="1"/>
      <c r="S13971" s="15"/>
      <c r="T13971" s="15"/>
    </row>
    <row r="13972" spans="1:20" ht="23.25" x14ac:dyDescent="0.2">
      <c r="A13972" s="15" ph="1"/>
      <c r="C13972" s="15" ph="1"/>
      <c r="E13972" s="15" ph="1"/>
      <c r="F13972" s="15" ph="1"/>
      <c r="S13972" s="15"/>
      <c r="T13972" s="15"/>
    </row>
    <row r="13973" spans="1:20" ht="23.25" x14ac:dyDescent="0.2">
      <c r="A13973" s="15" ph="1"/>
      <c r="C13973" s="15" ph="1"/>
      <c r="E13973" s="15" ph="1"/>
      <c r="F13973" s="15" ph="1"/>
      <c r="S13973" s="15"/>
      <c r="T13973" s="15"/>
    </row>
    <row r="13974" spans="1:20" ht="23.25" x14ac:dyDescent="0.2">
      <c r="A13974" s="15" ph="1"/>
      <c r="C13974" s="15" ph="1"/>
      <c r="E13974" s="15" ph="1"/>
      <c r="F13974" s="15" ph="1"/>
      <c r="S13974" s="15"/>
      <c r="T13974" s="15"/>
    </row>
    <row r="13975" spans="1:20" ht="23.25" x14ac:dyDescent="0.2">
      <c r="A13975" s="15" ph="1"/>
      <c r="C13975" s="15" ph="1"/>
      <c r="E13975" s="15" ph="1"/>
      <c r="F13975" s="15" ph="1"/>
      <c r="S13975" s="15"/>
      <c r="T13975" s="15"/>
    </row>
    <row r="13976" spans="1:20" ht="23.25" x14ac:dyDescent="0.2">
      <c r="A13976" s="15" ph="1"/>
      <c r="C13976" s="15" ph="1"/>
      <c r="E13976" s="15" ph="1"/>
      <c r="F13976" s="15" ph="1"/>
      <c r="S13976" s="15"/>
      <c r="T13976" s="15"/>
    </row>
    <row r="13977" spans="1:20" ht="23.25" x14ac:dyDescent="0.2">
      <c r="A13977" s="15" ph="1"/>
      <c r="C13977" s="15" ph="1"/>
      <c r="E13977" s="15" ph="1"/>
      <c r="F13977" s="15" ph="1"/>
      <c r="S13977" s="15"/>
      <c r="T13977" s="15"/>
    </row>
    <row r="13978" spans="1:20" ht="23.25" x14ac:dyDescent="0.2">
      <c r="A13978" s="15" ph="1"/>
      <c r="C13978" s="15" ph="1"/>
      <c r="E13978" s="15" ph="1"/>
      <c r="F13978" s="15" ph="1"/>
      <c r="S13978" s="15"/>
      <c r="T13978" s="15"/>
    </row>
    <row r="13979" spans="1:20" ht="23.25" x14ac:dyDescent="0.2">
      <c r="A13979" s="15" ph="1"/>
      <c r="C13979" s="15" ph="1"/>
      <c r="E13979" s="15" ph="1"/>
      <c r="F13979" s="15" ph="1"/>
      <c r="S13979" s="15"/>
      <c r="T13979" s="15"/>
    </row>
    <row r="13980" spans="1:20" ht="23.25" x14ac:dyDescent="0.2">
      <c r="A13980" s="15" ph="1"/>
      <c r="C13980" s="15" ph="1"/>
      <c r="E13980" s="15" ph="1"/>
      <c r="F13980" s="15" ph="1"/>
      <c r="S13980" s="15"/>
      <c r="T13980" s="15"/>
    </row>
    <row r="13981" spans="1:20" ht="23.25" x14ac:dyDescent="0.2">
      <c r="A13981" s="15" ph="1"/>
      <c r="C13981" s="15" ph="1"/>
      <c r="E13981" s="15" ph="1"/>
      <c r="F13981" s="15" ph="1"/>
      <c r="S13981" s="15"/>
      <c r="T13981" s="15"/>
    </row>
    <row r="13982" spans="1:20" ht="23.25" x14ac:dyDescent="0.2">
      <c r="A13982" s="15" ph="1"/>
      <c r="C13982" s="15" ph="1"/>
      <c r="E13982" s="15" ph="1"/>
      <c r="F13982" s="15" ph="1"/>
      <c r="S13982" s="15"/>
      <c r="T13982" s="15"/>
    </row>
    <row r="13983" spans="1:20" ht="23.25" x14ac:dyDescent="0.2">
      <c r="A13983" s="15" ph="1"/>
      <c r="C13983" s="15" ph="1"/>
      <c r="E13983" s="15" ph="1"/>
      <c r="F13983" s="15" ph="1"/>
      <c r="S13983" s="15"/>
      <c r="T13983" s="15"/>
    </row>
    <row r="13984" spans="1:20" ht="23.25" x14ac:dyDescent="0.2">
      <c r="A13984" s="15" ph="1"/>
      <c r="C13984" s="15" ph="1"/>
      <c r="E13984" s="15" ph="1"/>
      <c r="F13984" s="15" ph="1"/>
      <c r="S13984" s="15"/>
      <c r="T13984" s="15"/>
    </row>
    <row r="13985" spans="1:20" ht="23.25" x14ac:dyDescent="0.2">
      <c r="A13985" s="15" ph="1"/>
      <c r="C13985" s="15" ph="1"/>
      <c r="E13985" s="15" ph="1"/>
      <c r="F13985" s="15" ph="1"/>
      <c r="S13985" s="15"/>
      <c r="T13985" s="15"/>
    </row>
    <row r="13986" spans="1:20" ht="23.25" x14ac:dyDescent="0.2">
      <c r="A13986" s="15" ph="1"/>
      <c r="C13986" s="15" ph="1"/>
      <c r="E13986" s="15" ph="1"/>
      <c r="F13986" s="15" ph="1"/>
      <c r="S13986" s="15"/>
      <c r="T13986" s="15"/>
    </row>
    <row r="13987" spans="1:20" ht="23.25" x14ac:dyDescent="0.2">
      <c r="A13987" s="15" ph="1"/>
      <c r="C13987" s="15" ph="1"/>
      <c r="E13987" s="15" ph="1"/>
      <c r="F13987" s="15" ph="1"/>
      <c r="S13987" s="15"/>
      <c r="T13987" s="15"/>
    </row>
    <row r="13988" spans="1:20" ht="23.25" x14ac:dyDescent="0.2">
      <c r="A13988" s="15" ph="1"/>
      <c r="C13988" s="15" ph="1"/>
      <c r="E13988" s="15" ph="1"/>
      <c r="F13988" s="15" ph="1"/>
      <c r="S13988" s="15"/>
      <c r="T13988" s="15"/>
    </row>
    <row r="13989" spans="1:20" ht="23.25" x14ac:dyDescent="0.2">
      <c r="A13989" s="15" ph="1"/>
      <c r="C13989" s="15" ph="1"/>
      <c r="E13989" s="15" ph="1"/>
      <c r="F13989" s="15" ph="1"/>
      <c r="S13989" s="15"/>
      <c r="T13989" s="15"/>
    </row>
    <row r="13990" spans="1:20" ht="23.25" x14ac:dyDescent="0.2">
      <c r="A13990" s="15" ph="1"/>
      <c r="C13990" s="15" ph="1"/>
      <c r="E13990" s="15" ph="1"/>
      <c r="F13990" s="15" ph="1"/>
      <c r="S13990" s="15"/>
      <c r="T13990" s="15"/>
    </row>
    <row r="13991" spans="1:20" ht="23.25" x14ac:dyDescent="0.2">
      <c r="A13991" s="15" ph="1"/>
      <c r="C13991" s="15" ph="1"/>
      <c r="E13991" s="15" ph="1"/>
      <c r="F13991" s="15" ph="1"/>
      <c r="S13991" s="15"/>
      <c r="T13991" s="15"/>
    </row>
    <row r="13992" spans="1:20" ht="23.25" x14ac:dyDescent="0.2">
      <c r="A13992" s="15" ph="1"/>
      <c r="C13992" s="15" ph="1"/>
      <c r="E13992" s="15" ph="1"/>
      <c r="F13992" s="15" ph="1"/>
      <c r="S13992" s="15"/>
      <c r="T13992" s="15"/>
    </row>
    <row r="13993" spans="1:20" ht="23.25" x14ac:dyDescent="0.2">
      <c r="A13993" s="15" ph="1"/>
      <c r="C13993" s="15" ph="1"/>
      <c r="E13993" s="15" ph="1"/>
      <c r="F13993" s="15" ph="1"/>
      <c r="S13993" s="15"/>
      <c r="T13993" s="15"/>
    </row>
    <row r="13994" spans="1:20" ht="23.25" x14ac:dyDescent="0.2">
      <c r="A13994" s="15" ph="1"/>
      <c r="C13994" s="15" ph="1"/>
      <c r="E13994" s="15" ph="1"/>
      <c r="F13994" s="15" ph="1"/>
      <c r="S13994" s="15"/>
      <c r="T13994" s="15"/>
    </row>
    <row r="13995" spans="1:20" ht="23.25" x14ac:dyDescent="0.2">
      <c r="A13995" s="15" ph="1"/>
      <c r="C13995" s="15" ph="1"/>
      <c r="E13995" s="15" ph="1"/>
      <c r="F13995" s="15" ph="1"/>
      <c r="S13995" s="15"/>
      <c r="T13995" s="15"/>
    </row>
    <row r="13996" spans="1:20" ht="23.25" x14ac:dyDescent="0.2">
      <c r="A13996" s="15" ph="1"/>
      <c r="C13996" s="15" ph="1"/>
      <c r="E13996" s="15" ph="1"/>
      <c r="F13996" s="15" ph="1"/>
      <c r="S13996" s="15"/>
      <c r="T13996" s="15"/>
    </row>
    <row r="13997" spans="1:20" ht="23.25" x14ac:dyDescent="0.2">
      <c r="A13997" s="15" ph="1"/>
      <c r="C13997" s="15" ph="1"/>
      <c r="E13997" s="15" ph="1"/>
      <c r="F13997" s="15" ph="1"/>
      <c r="S13997" s="15"/>
      <c r="T13997" s="15"/>
    </row>
    <row r="13998" spans="1:20" ht="23.25" x14ac:dyDescent="0.2">
      <c r="A13998" s="15" ph="1"/>
      <c r="C13998" s="15" ph="1"/>
      <c r="E13998" s="15" ph="1"/>
      <c r="F13998" s="15" ph="1"/>
      <c r="S13998" s="15"/>
      <c r="T13998" s="15"/>
    </row>
    <row r="13999" spans="1:20" ht="23.25" x14ac:dyDescent="0.2">
      <c r="A13999" s="15" ph="1"/>
      <c r="C13999" s="15" ph="1"/>
      <c r="E13999" s="15" ph="1"/>
      <c r="F13999" s="15" ph="1"/>
      <c r="S13999" s="15"/>
      <c r="T13999" s="15"/>
    </row>
    <row r="14000" spans="1:20" ht="23.25" x14ac:dyDescent="0.2">
      <c r="A14000" s="15" ph="1"/>
      <c r="C14000" s="15" ph="1"/>
      <c r="E14000" s="15" ph="1"/>
      <c r="F14000" s="15" ph="1"/>
      <c r="S14000" s="15"/>
      <c r="T14000" s="15"/>
    </row>
    <row r="14001" spans="1:20" ht="23.25" x14ac:dyDescent="0.2">
      <c r="A14001" s="15" ph="1"/>
      <c r="C14001" s="15" ph="1"/>
      <c r="E14001" s="15" ph="1"/>
      <c r="F14001" s="15" ph="1"/>
      <c r="S14001" s="15"/>
      <c r="T14001" s="15"/>
    </row>
    <row r="14002" spans="1:20" ht="23.25" x14ac:dyDescent="0.2">
      <c r="A14002" s="15" ph="1"/>
      <c r="C14002" s="15" ph="1"/>
      <c r="E14002" s="15" ph="1"/>
      <c r="F14002" s="15" ph="1"/>
      <c r="S14002" s="15"/>
      <c r="T14002" s="15"/>
    </row>
    <row r="14003" spans="1:20" ht="23.25" x14ac:dyDescent="0.2">
      <c r="A14003" s="15" ph="1"/>
      <c r="C14003" s="15" ph="1"/>
      <c r="E14003" s="15" ph="1"/>
      <c r="F14003" s="15" ph="1"/>
      <c r="S14003" s="15"/>
      <c r="T14003" s="15"/>
    </row>
    <row r="14004" spans="1:20" ht="23.25" x14ac:dyDescent="0.2">
      <c r="A14004" s="15" ph="1"/>
      <c r="C14004" s="15" ph="1"/>
      <c r="E14004" s="15" ph="1"/>
      <c r="F14004" s="15" ph="1"/>
      <c r="S14004" s="15"/>
      <c r="T14004" s="15"/>
    </row>
    <row r="14005" spans="1:20" ht="23.25" x14ac:dyDescent="0.2">
      <c r="A14005" s="15" ph="1"/>
      <c r="C14005" s="15" ph="1"/>
      <c r="E14005" s="15" ph="1"/>
      <c r="F14005" s="15" ph="1"/>
      <c r="S14005" s="15"/>
      <c r="T14005" s="15"/>
    </row>
    <row r="14006" spans="1:20" ht="23.25" x14ac:dyDescent="0.2">
      <c r="A14006" s="15" ph="1"/>
      <c r="C14006" s="15" ph="1"/>
      <c r="E14006" s="15" ph="1"/>
      <c r="F14006" s="15" ph="1"/>
      <c r="S14006" s="15"/>
      <c r="T14006" s="15"/>
    </row>
    <row r="14007" spans="1:20" ht="23.25" x14ac:dyDescent="0.2">
      <c r="A14007" s="15" ph="1"/>
      <c r="C14007" s="15" ph="1"/>
      <c r="E14007" s="15" ph="1"/>
      <c r="F14007" s="15" ph="1"/>
      <c r="S14007" s="15"/>
      <c r="T14007" s="15"/>
    </row>
    <row r="14008" spans="1:20" ht="23.25" x14ac:dyDescent="0.2">
      <c r="A14008" s="15" ph="1"/>
      <c r="C14008" s="15" ph="1"/>
      <c r="E14008" s="15" ph="1"/>
      <c r="F14008" s="15" ph="1"/>
    </row>
    <row r="14009" spans="1:20" ht="23.25" x14ac:dyDescent="0.2">
      <c r="A14009" s="15" ph="1"/>
      <c r="C14009" s="15" ph="1"/>
      <c r="E14009" s="15" ph="1"/>
      <c r="F14009" s="15" ph="1"/>
    </row>
    <row r="14010" spans="1:20" ht="23.25" x14ac:dyDescent="0.2">
      <c r="A14010" s="15" ph="1"/>
      <c r="C14010" s="15" ph="1"/>
      <c r="E14010" s="15" ph="1"/>
      <c r="F14010" s="15" ph="1"/>
    </row>
    <row r="14011" spans="1:20" ht="23.25" x14ac:dyDescent="0.2">
      <c r="A14011" s="15" ph="1"/>
      <c r="C14011" s="15" ph="1"/>
      <c r="E14011" s="15" ph="1"/>
      <c r="F14011" s="15" ph="1"/>
    </row>
    <row r="14012" spans="1:20" ht="23.25" x14ac:dyDescent="0.2">
      <c r="A14012" s="15" ph="1"/>
      <c r="C14012" s="15" ph="1"/>
      <c r="E14012" s="15" ph="1"/>
      <c r="F14012" s="15" ph="1"/>
    </row>
    <row r="14013" spans="1:20" ht="23.25" x14ac:dyDescent="0.2">
      <c r="A14013" s="15" ph="1"/>
      <c r="C14013" s="15" ph="1"/>
      <c r="E14013" s="15" ph="1"/>
      <c r="F14013" s="15" ph="1"/>
    </row>
    <row r="14014" spans="1:20" ht="23.25" x14ac:dyDescent="0.2">
      <c r="A14014" s="15" ph="1"/>
      <c r="C14014" s="15" ph="1"/>
      <c r="E14014" s="15" ph="1"/>
      <c r="F14014" s="15" ph="1"/>
    </row>
    <row r="14015" spans="1:20" ht="23.25" x14ac:dyDescent="0.2">
      <c r="A14015" s="15" ph="1"/>
      <c r="C14015" s="15" ph="1"/>
      <c r="E14015" s="15" ph="1"/>
      <c r="F14015" s="15" ph="1"/>
    </row>
    <row r="14016" spans="1:20" ht="23.25" x14ac:dyDescent="0.2">
      <c r="A14016" s="15" ph="1"/>
      <c r="C14016" s="15" ph="1"/>
      <c r="E14016" s="15" ph="1"/>
      <c r="F14016" s="15" ph="1"/>
    </row>
    <row r="14017" spans="1:6" ht="23.25" x14ac:dyDescent="0.2">
      <c r="A14017" s="15" ph="1"/>
      <c r="C14017" s="15" ph="1"/>
      <c r="E14017" s="15" ph="1"/>
      <c r="F14017" s="15" ph="1"/>
    </row>
    <row r="14018" spans="1:6" ht="23.25" x14ac:dyDescent="0.2">
      <c r="A14018" s="15" ph="1"/>
      <c r="C14018" s="15" ph="1"/>
      <c r="E14018" s="15" ph="1"/>
      <c r="F14018" s="15" ph="1"/>
    </row>
    <row r="14019" spans="1:6" ht="23.25" x14ac:dyDescent="0.2">
      <c r="A14019" s="15" ph="1"/>
      <c r="C14019" s="15" ph="1"/>
      <c r="E14019" s="15" ph="1"/>
      <c r="F14019" s="15" ph="1"/>
    </row>
    <row r="14020" spans="1:6" ht="23.25" x14ac:dyDescent="0.2">
      <c r="A14020" s="15" ph="1"/>
      <c r="C14020" s="15" ph="1"/>
      <c r="E14020" s="15" ph="1"/>
      <c r="F14020" s="15" ph="1"/>
    </row>
    <row r="14021" spans="1:6" ht="23.25" x14ac:dyDescent="0.2">
      <c r="A14021" s="15" ph="1"/>
      <c r="C14021" s="15" ph="1"/>
      <c r="E14021" s="15" ph="1"/>
      <c r="F14021" s="15" ph="1"/>
    </row>
    <row r="14022" spans="1:6" ht="23.25" x14ac:dyDescent="0.2">
      <c r="A14022" s="15" ph="1"/>
      <c r="C14022" s="15" ph="1"/>
      <c r="E14022" s="15" ph="1"/>
      <c r="F14022" s="15" ph="1"/>
    </row>
    <row r="14023" spans="1:6" ht="23.25" x14ac:dyDescent="0.2">
      <c r="A14023" s="15" ph="1"/>
      <c r="C14023" s="15" ph="1"/>
      <c r="E14023" s="15" ph="1"/>
      <c r="F14023" s="15" ph="1"/>
    </row>
    <row r="14024" spans="1:6" ht="23.25" x14ac:dyDescent="0.2">
      <c r="A14024" s="15" ph="1"/>
      <c r="C14024" s="15" ph="1"/>
      <c r="E14024" s="15" ph="1"/>
      <c r="F14024" s="15" ph="1"/>
    </row>
    <row r="14025" spans="1:6" ht="23.25" x14ac:dyDescent="0.2">
      <c r="A14025" s="15" ph="1"/>
      <c r="C14025" s="15" ph="1"/>
      <c r="E14025" s="15" ph="1"/>
      <c r="F14025" s="15" ph="1"/>
    </row>
    <row r="14026" spans="1:6" ht="23.25" x14ac:dyDescent="0.2">
      <c r="A14026" s="15" ph="1"/>
      <c r="C14026" s="15" ph="1"/>
      <c r="E14026" s="15" ph="1"/>
      <c r="F14026" s="15" ph="1"/>
    </row>
    <row r="14027" spans="1:6" ht="23.25" x14ac:dyDescent="0.2">
      <c r="A14027" s="15" ph="1"/>
      <c r="C14027" s="15" ph="1"/>
      <c r="E14027" s="15" ph="1"/>
      <c r="F14027" s="15" ph="1"/>
    </row>
    <row r="14028" spans="1:6" ht="23.25" x14ac:dyDescent="0.2">
      <c r="A14028" s="15" ph="1"/>
      <c r="C14028" s="15" ph="1"/>
      <c r="E14028" s="15" ph="1"/>
      <c r="F14028" s="15" ph="1"/>
    </row>
    <row r="14029" spans="1:6" ht="23.25" x14ac:dyDescent="0.2">
      <c r="A14029" s="15" ph="1"/>
      <c r="C14029" s="15" ph="1"/>
      <c r="E14029" s="15" ph="1"/>
      <c r="F14029" s="15" ph="1"/>
    </row>
    <row r="14030" spans="1:6" ht="23.25" x14ac:dyDescent="0.2">
      <c r="A14030" s="15" ph="1"/>
      <c r="C14030" s="15" ph="1"/>
      <c r="E14030" s="15" ph="1"/>
      <c r="F14030" s="15" ph="1"/>
    </row>
    <row r="14031" spans="1:6" ht="23.25" x14ac:dyDescent="0.2">
      <c r="A14031" s="15" ph="1"/>
      <c r="C14031" s="15" ph="1"/>
      <c r="E14031" s="15" ph="1"/>
      <c r="F14031" s="15" ph="1"/>
    </row>
    <row r="14032" spans="1:6" ht="23.25" x14ac:dyDescent="0.2">
      <c r="A14032" s="15" ph="1"/>
      <c r="C14032" s="15" ph="1"/>
      <c r="E14032" s="15" ph="1"/>
      <c r="F14032" s="15" ph="1"/>
    </row>
    <row r="14033" spans="1:6" ht="23.25" x14ac:dyDescent="0.2">
      <c r="A14033" s="15" ph="1"/>
      <c r="C14033" s="15" ph="1"/>
      <c r="E14033" s="15" ph="1"/>
      <c r="F14033" s="15" ph="1"/>
    </row>
    <row r="14034" spans="1:6" ht="23.25" x14ac:dyDescent="0.2">
      <c r="A14034" s="15" ph="1"/>
      <c r="C14034" s="15" ph="1"/>
      <c r="E14034" s="15" ph="1"/>
      <c r="F14034" s="15" ph="1"/>
    </row>
    <row r="14035" spans="1:6" ht="23.25" x14ac:dyDescent="0.2">
      <c r="A14035" s="15" ph="1"/>
      <c r="C14035" s="15" ph="1"/>
      <c r="E14035" s="15" ph="1"/>
      <c r="F14035" s="15" ph="1"/>
    </row>
    <row r="14036" spans="1:6" ht="23.25" x14ac:dyDescent="0.2">
      <c r="A14036" s="15" ph="1"/>
      <c r="C14036" s="15" ph="1"/>
      <c r="E14036" s="15" ph="1"/>
      <c r="F14036" s="15" ph="1"/>
    </row>
    <row r="14037" spans="1:6" ht="23.25" x14ac:dyDescent="0.2">
      <c r="A14037" s="15" ph="1"/>
      <c r="C14037" s="15" ph="1"/>
      <c r="E14037" s="15" ph="1"/>
      <c r="F14037" s="15" ph="1"/>
    </row>
    <row r="14038" spans="1:6" ht="23.25" x14ac:dyDescent="0.2">
      <c r="A14038" s="15" ph="1"/>
      <c r="C14038" s="15" ph="1"/>
      <c r="E14038" s="15" ph="1"/>
      <c r="F14038" s="15" ph="1"/>
    </row>
    <row r="14039" spans="1:6" ht="23.25" x14ac:dyDescent="0.2">
      <c r="A14039" s="15" ph="1"/>
      <c r="C14039" s="15" ph="1"/>
      <c r="E14039" s="15" ph="1"/>
      <c r="F14039" s="15" ph="1"/>
    </row>
    <row r="14040" spans="1:6" ht="23.25" x14ac:dyDescent="0.2">
      <c r="A14040" s="15" ph="1"/>
      <c r="C14040" s="15" ph="1"/>
      <c r="E14040" s="15" ph="1"/>
      <c r="F14040" s="15" ph="1"/>
    </row>
    <row r="14041" spans="1:6" ht="23.25" x14ac:dyDescent="0.2">
      <c r="A14041" s="15" ph="1"/>
      <c r="C14041" s="15" ph="1"/>
      <c r="E14041" s="15" ph="1"/>
      <c r="F14041" s="15" ph="1"/>
    </row>
    <row r="14042" spans="1:6" ht="23.25" x14ac:dyDescent="0.2">
      <c r="A14042" s="15" ph="1"/>
      <c r="C14042" s="15" ph="1"/>
      <c r="E14042" s="15" ph="1"/>
      <c r="F14042" s="15" ph="1"/>
    </row>
    <row r="14043" spans="1:6" ht="23.25" x14ac:dyDescent="0.2">
      <c r="A14043" s="15" ph="1"/>
      <c r="C14043" s="15" ph="1"/>
      <c r="E14043" s="15" ph="1"/>
      <c r="F14043" s="15" ph="1"/>
    </row>
    <row r="14044" spans="1:6" ht="23.25" x14ac:dyDescent="0.2">
      <c r="A14044" s="15" ph="1"/>
      <c r="C14044" s="15" ph="1"/>
      <c r="E14044" s="15" ph="1"/>
      <c r="F14044" s="15" ph="1"/>
    </row>
    <row r="14045" spans="1:6" ht="23.25" x14ac:dyDescent="0.2">
      <c r="A14045" s="15" ph="1"/>
      <c r="C14045" s="15" ph="1"/>
      <c r="E14045" s="15" ph="1"/>
      <c r="F14045" s="15" ph="1"/>
    </row>
    <row r="14046" spans="1:6" ht="23.25" x14ac:dyDescent="0.2">
      <c r="A14046" s="15" ph="1"/>
      <c r="C14046" s="15" ph="1"/>
      <c r="E14046" s="15" ph="1"/>
      <c r="F14046" s="15" ph="1"/>
    </row>
    <row r="14047" spans="1:6" ht="23.25" x14ac:dyDescent="0.2">
      <c r="A14047" s="15" ph="1"/>
      <c r="C14047" s="15" ph="1"/>
      <c r="E14047" s="15" ph="1"/>
      <c r="F14047" s="15" ph="1"/>
    </row>
    <row r="14048" spans="1:6" ht="23.25" x14ac:dyDescent="0.2">
      <c r="A14048" s="15" ph="1"/>
      <c r="C14048" s="15" ph="1"/>
      <c r="E14048" s="15" ph="1"/>
      <c r="F14048" s="15" ph="1"/>
    </row>
    <row r="14049" spans="1:6" ht="23.25" x14ac:dyDescent="0.2">
      <c r="A14049" s="15" ph="1"/>
      <c r="C14049" s="15" ph="1"/>
      <c r="E14049" s="15" ph="1"/>
      <c r="F14049" s="15" ph="1"/>
    </row>
    <row r="14050" spans="1:6" ht="23.25" x14ac:dyDescent="0.2">
      <c r="A14050" s="15" ph="1"/>
      <c r="C14050" s="15" ph="1"/>
      <c r="E14050" s="15" ph="1"/>
      <c r="F14050" s="15" ph="1"/>
    </row>
    <row r="14051" spans="1:6" ht="23.25" x14ac:dyDescent="0.2">
      <c r="A14051" s="15" ph="1"/>
      <c r="C14051" s="15" ph="1"/>
      <c r="E14051" s="15" ph="1"/>
      <c r="F14051" s="15" ph="1"/>
    </row>
    <row r="14052" spans="1:6" ht="23.25" x14ac:dyDescent="0.2">
      <c r="A14052" s="15" ph="1"/>
      <c r="C14052" s="15" ph="1"/>
      <c r="E14052" s="15" ph="1"/>
      <c r="F14052" s="15" ph="1"/>
    </row>
    <row r="14053" spans="1:6" ht="23.25" x14ac:dyDescent="0.2">
      <c r="A14053" s="15" ph="1"/>
      <c r="C14053" s="15" ph="1"/>
      <c r="E14053" s="15" ph="1"/>
      <c r="F14053" s="15" ph="1"/>
    </row>
    <row r="14054" spans="1:6" ht="23.25" x14ac:dyDescent="0.2">
      <c r="A14054" s="15" ph="1"/>
      <c r="C14054" s="15" ph="1"/>
      <c r="E14054" s="15" ph="1"/>
      <c r="F14054" s="15" ph="1"/>
    </row>
    <row r="14055" spans="1:6" ht="23.25" x14ac:dyDescent="0.2">
      <c r="A14055" s="15" ph="1"/>
      <c r="C14055" s="15" ph="1"/>
      <c r="E14055" s="15" ph="1"/>
      <c r="F14055" s="15" ph="1"/>
    </row>
    <row r="14056" spans="1:6" ht="23.25" x14ac:dyDescent="0.2">
      <c r="A14056" s="15" ph="1"/>
      <c r="C14056" s="15" ph="1"/>
      <c r="E14056" s="15" ph="1"/>
      <c r="F14056" s="15" ph="1"/>
    </row>
    <row r="14057" spans="1:6" ht="23.25" x14ac:dyDescent="0.2">
      <c r="A14057" s="15" ph="1"/>
      <c r="C14057" s="15" ph="1"/>
      <c r="E14057" s="15" ph="1"/>
      <c r="F14057" s="15" ph="1"/>
    </row>
    <row r="14058" spans="1:6" ht="23.25" x14ac:dyDescent="0.2">
      <c r="A14058" s="15" ph="1"/>
      <c r="C14058" s="15" ph="1"/>
      <c r="E14058" s="15" ph="1"/>
      <c r="F14058" s="15" ph="1"/>
    </row>
    <row r="14059" spans="1:6" ht="23.25" x14ac:dyDescent="0.2">
      <c r="A14059" s="15" ph="1"/>
      <c r="C14059" s="15" ph="1"/>
      <c r="E14059" s="15" ph="1"/>
      <c r="F14059" s="15" ph="1"/>
    </row>
    <row r="14060" spans="1:6" ht="23.25" x14ac:dyDescent="0.2">
      <c r="A14060" s="15" ph="1"/>
      <c r="C14060" s="15" ph="1"/>
      <c r="E14060" s="15" ph="1"/>
      <c r="F14060" s="15" ph="1"/>
    </row>
    <row r="14061" spans="1:6" ht="23.25" x14ac:dyDescent="0.2">
      <c r="A14061" s="15" ph="1"/>
      <c r="C14061" s="15" ph="1"/>
      <c r="E14061" s="15" ph="1"/>
      <c r="F14061" s="15" ph="1"/>
    </row>
    <row r="14062" spans="1:6" ht="23.25" x14ac:dyDescent="0.2">
      <c r="A14062" s="15" ph="1"/>
      <c r="C14062" s="15" ph="1"/>
      <c r="E14062" s="15" ph="1"/>
      <c r="F14062" s="15" ph="1"/>
    </row>
    <row r="14063" spans="1:6" ht="23.25" x14ac:dyDescent="0.2">
      <c r="A14063" s="15" ph="1"/>
      <c r="C14063" s="15" ph="1"/>
      <c r="E14063" s="15" ph="1"/>
      <c r="F14063" s="15" ph="1"/>
    </row>
    <row r="14064" spans="1:6" ht="23.25" x14ac:dyDescent="0.2">
      <c r="A14064" s="15" ph="1"/>
      <c r="C14064" s="15" ph="1"/>
      <c r="E14064" s="15" ph="1"/>
      <c r="F14064" s="15" ph="1"/>
    </row>
    <row r="14065" spans="1:6" ht="23.25" x14ac:dyDescent="0.2">
      <c r="A14065" s="15" ph="1"/>
      <c r="C14065" s="15" ph="1"/>
      <c r="E14065" s="15" ph="1"/>
      <c r="F14065" s="15" ph="1"/>
    </row>
    <row r="14066" spans="1:6" ht="23.25" x14ac:dyDescent="0.2">
      <c r="A14066" s="15" ph="1"/>
      <c r="C14066" s="15" ph="1"/>
      <c r="E14066" s="15" ph="1"/>
      <c r="F14066" s="15" ph="1"/>
    </row>
    <row r="14067" spans="1:6" ht="23.25" x14ac:dyDescent="0.2">
      <c r="A14067" s="15" ph="1"/>
      <c r="C14067" s="15" ph="1"/>
      <c r="E14067" s="15" ph="1"/>
      <c r="F14067" s="15" ph="1"/>
    </row>
    <row r="14068" spans="1:6" ht="23.25" x14ac:dyDescent="0.2">
      <c r="A14068" s="15" ph="1"/>
      <c r="C14068" s="15" ph="1"/>
      <c r="E14068" s="15" ph="1"/>
      <c r="F14068" s="15" ph="1"/>
    </row>
    <row r="14069" spans="1:6" ht="23.25" x14ac:dyDescent="0.2">
      <c r="A14069" s="15" ph="1"/>
      <c r="C14069" s="15" ph="1"/>
      <c r="E14069" s="15" ph="1"/>
      <c r="F14069" s="15" ph="1"/>
    </row>
    <row r="14070" spans="1:6" ht="23.25" x14ac:dyDescent="0.2">
      <c r="A14070" s="15" ph="1"/>
      <c r="C14070" s="15" ph="1"/>
      <c r="E14070" s="15" ph="1"/>
      <c r="F14070" s="15" ph="1"/>
    </row>
    <row r="14071" spans="1:6" ht="23.25" x14ac:dyDescent="0.2">
      <c r="A14071" s="15" ph="1"/>
      <c r="C14071" s="15" ph="1"/>
      <c r="E14071" s="15" ph="1"/>
      <c r="F14071" s="15" ph="1"/>
    </row>
    <row r="14072" spans="1:6" ht="23.25" x14ac:dyDescent="0.2">
      <c r="A14072" s="15" ph="1"/>
      <c r="C14072" s="15" ph="1"/>
      <c r="E14072" s="15" ph="1"/>
      <c r="F14072" s="15" ph="1"/>
    </row>
    <row r="14073" spans="1:6" ht="23.25" x14ac:dyDescent="0.2">
      <c r="A14073" s="15" ph="1"/>
      <c r="C14073" s="15" ph="1"/>
      <c r="E14073" s="15" ph="1"/>
      <c r="F14073" s="15" ph="1"/>
    </row>
    <row r="14074" spans="1:6" ht="23.25" x14ac:dyDescent="0.2">
      <c r="A14074" s="15" ph="1"/>
      <c r="C14074" s="15" ph="1"/>
      <c r="E14074" s="15" ph="1"/>
      <c r="F14074" s="15" ph="1"/>
    </row>
    <row r="14075" spans="1:6" ht="23.25" x14ac:dyDescent="0.2">
      <c r="A14075" s="15" ph="1"/>
      <c r="C14075" s="15" ph="1"/>
      <c r="E14075" s="15" ph="1"/>
      <c r="F14075" s="15" ph="1"/>
    </row>
    <row r="14076" spans="1:6" ht="23.25" x14ac:dyDescent="0.2">
      <c r="A14076" s="15" ph="1"/>
      <c r="C14076" s="15" ph="1"/>
      <c r="E14076" s="15" ph="1"/>
      <c r="F14076" s="15" ph="1"/>
    </row>
    <row r="14077" spans="1:6" ht="23.25" x14ac:dyDescent="0.2">
      <c r="A14077" s="15" ph="1"/>
      <c r="C14077" s="15" ph="1"/>
      <c r="E14077" s="15" ph="1"/>
      <c r="F14077" s="15" ph="1"/>
    </row>
    <row r="14078" spans="1:6" ht="23.25" x14ac:dyDescent="0.2">
      <c r="A14078" s="15" ph="1"/>
      <c r="C14078" s="15" ph="1"/>
      <c r="E14078" s="15" ph="1"/>
      <c r="F14078" s="15" ph="1"/>
    </row>
    <row r="14079" spans="1:6" ht="23.25" x14ac:dyDescent="0.2">
      <c r="A14079" s="15" ph="1"/>
      <c r="C14079" s="15" ph="1"/>
      <c r="E14079" s="15" ph="1"/>
      <c r="F14079" s="15" ph="1"/>
    </row>
    <row r="14080" spans="1:6" ht="23.25" x14ac:dyDescent="0.2">
      <c r="A14080" s="15" ph="1"/>
      <c r="C14080" s="15" ph="1"/>
      <c r="E14080" s="15" ph="1"/>
      <c r="F14080" s="15" ph="1"/>
    </row>
    <row r="14081" spans="1:6" ht="23.25" x14ac:dyDescent="0.2">
      <c r="A14081" s="15" ph="1"/>
      <c r="C14081" s="15" ph="1"/>
      <c r="E14081" s="15" ph="1"/>
      <c r="F14081" s="15" ph="1"/>
    </row>
    <row r="14082" spans="1:6" ht="23.25" x14ac:dyDescent="0.2">
      <c r="A14082" s="15" ph="1"/>
      <c r="C14082" s="15" ph="1"/>
      <c r="E14082" s="15" ph="1"/>
      <c r="F14082" s="15" ph="1"/>
    </row>
    <row r="14083" spans="1:6" ht="23.25" x14ac:dyDescent="0.2">
      <c r="A14083" s="15" ph="1"/>
      <c r="C14083" s="15" ph="1"/>
      <c r="E14083" s="15" ph="1"/>
      <c r="F14083" s="15" ph="1"/>
    </row>
    <row r="14084" spans="1:6" ht="23.25" x14ac:dyDescent="0.2">
      <c r="A14084" s="15" ph="1"/>
      <c r="C14084" s="15" ph="1"/>
      <c r="E14084" s="15" ph="1"/>
      <c r="F14084" s="15" ph="1"/>
    </row>
    <row r="14085" spans="1:6" ht="23.25" x14ac:dyDescent="0.2">
      <c r="A14085" s="15" ph="1"/>
      <c r="C14085" s="15" ph="1"/>
      <c r="E14085" s="15" ph="1"/>
      <c r="F14085" s="15" ph="1"/>
    </row>
    <row r="14086" spans="1:6" ht="23.25" x14ac:dyDescent="0.2">
      <c r="A14086" s="15" ph="1"/>
      <c r="C14086" s="15" ph="1"/>
      <c r="E14086" s="15" ph="1"/>
      <c r="F14086" s="15" ph="1"/>
    </row>
    <row r="14087" spans="1:6" ht="23.25" x14ac:dyDescent="0.2">
      <c r="A14087" s="15" ph="1"/>
      <c r="C14087" s="15" ph="1"/>
      <c r="E14087" s="15" ph="1"/>
      <c r="F14087" s="15" ph="1"/>
    </row>
    <row r="14088" spans="1:6" ht="23.25" x14ac:dyDescent="0.2">
      <c r="A14088" s="15" ph="1"/>
      <c r="C14088" s="15" ph="1"/>
      <c r="E14088" s="15" ph="1"/>
      <c r="F14088" s="15" ph="1"/>
    </row>
    <row r="14089" spans="1:6" ht="23.25" x14ac:dyDescent="0.2">
      <c r="A14089" s="15" ph="1"/>
      <c r="C14089" s="15" ph="1"/>
      <c r="E14089" s="15" ph="1"/>
      <c r="F14089" s="15" ph="1"/>
    </row>
    <row r="14090" spans="1:6" ht="23.25" x14ac:dyDescent="0.2">
      <c r="A14090" s="15" ph="1"/>
      <c r="C14090" s="15" ph="1"/>
      <c r="E14090" s="15" ph="1"/>
      <c r="F14090" s="15" ph="1"/>
    </row>
    <row r="14091" spans="1:6" ht="23.25" x14ac:dyDescent="0.2">
      <c r="A14091" s="15" ph="1"/>
      <c r="C14091" s="15" ph="1"/>
      <c r="E14091" s="15" ph="1"/>
      <c r="F14091" s="15" ph="1"/>
    </row>
    <row r="14092" spans="1:6" ht="23.25" x14ac:dyDescent="0.2">
      <c r="A14092" s="15" ph="1"/>
      <c r="C14092" s="15" ph="1"/>
      <c r="E14092" s="15" ph="1"/>
      <c r="F14092" s="15" ph="1"/>
    </row>
    <row r="14093" spans="1:6" ht="23.25" x14ac:dyDescent="0.2">
      <c r="A14093" s="15" ph="1"/>
      <c r="C14093" s="15" ph="1"/>
      <c r="E14093" s="15" ph="1"/>
      <c r="F14093" s="15" ph="1"/>
    </row>
    <row r="14094" spans="1:6" ht="23.25" x14ac:dyDescent="0.2">
      <c r="A14094" s="15" ph="1"/>
      <c r="C14094" s="15" ph="1"/>
      <c r="E14094" s="15" ph="1"/>
      <c r="F14094" s="15" ph="1"/>
    </row>
    <row r="14095" spans="1:6" ht="23.25" x14ac:dyDescent="0.2">
      <c r="A14095" s="15" ph="1"/>
      <c r="C14095" s="15" ph="1"/>
      <c r="E14095" s="15" ph="1"/>
      <c r="F14095" s="15" ph="1"/>
    </row>
    <row r="14096" spans="1:6" ht="23.25" x14ac:dyDescent="0.2">
      <c r="A14096" s="15" ph="1"/>
      <c r="C14096" s="15" ph="1"/>
      <c r="E14096" s="15" ph="1"/>
      <c r="F14096" s="15" ph="1"/>
    </row>
    <row r="14097" spans="1:6" ht="23.25" x14ac:dyDescent="0.2">
      <c r="A14097" s="15" ph="1"/>
      <c r="C14097" s="15" ph="1"/>
      <c r="E14097" s="15" ph="1"/>
      <c r="F14097" s="15" ph="1"/>
    </row>
    <row r="14098" spans="1:6" ht="23.25" x14ac:dyDescent="0.2">
      <c r="A14098" s="15" ph="1"/>
      <c r="C14098" s="15" ph="1"/>
      <c r="E14098" s="15" ph="1"/>
      <c r="F14098" s="15" ph="1"/>
    </row>
    <row r="14099" spans="1:6" ht="23.25" x14ac:dyDescent="0.2">
      <c r="A14099" s="15" ph="1"/>
      <c r="C14099" s="15" ph="1"/>
      <c r="E14099" s="15" ph="1"/>
      <c r="F14099" s="15" ph="1"/>
    </row>
    <row r="14100" spans="1:6" ht="23.25" x14ac:dyDescent="0.2">
      <c r="A14100" s="15" ph="1"/>
      <c r="C14100" s="15" ph="1"/>
      <c r="E14100" s="15" ph="1"/>
      <c r="F14100" s="15" ph="1"/>
    </row>
    <row r="14101" spans="1:6" ht="23.25" x14ac:dyDescent="0.2">
      <c r="A14101" s="15" ph="1"/>
      <c r="C14101" s="15" ph="1"/>
      <c r="E14101" s="15" ph="1"/>
      <c r="F14101" s="15" ph="1"/>
    </row>
    <row r="14102" spans="1:6" ht="23.25" x14ac:dyDescent="0.2">
      <c r="A14102" s="15" ph="1"/>
      <c r="C14102" s="15" ph="1"/>
      <c r="E14102" s="15" ph="1"/>
      <c r="F14102" s="15" ph="1"/>
    </row>
    <row r="14103" spans="1:6" ht="23.25" x14ac:dyDescent="0.2">
      <c r="A14103" s="15" ph="1"/>
      <c r="C14103" s="15" ph="1"/>
      <c r="E14103" s="15" ph="1"/>
      <c r="F14103" s="15" ph="1"/>
    </row>
    <row r="14104" spans="1:6" ht="23.25" x14ac:dyDescent="0.2">
      <c r="A14104" s="15" ph="1"/>
      <c r="C14104" s="15" ph="1"/>
      <c r="E14104" s="15" ph="1"/>
      <c r="F14104" s="15" ph="1"/>
    </row>
    <row r="14105" spans="1:6" ht="23.25" x14ac:dyDescent="0.2">
      <c r="A14105" s="15" ph="1"/>
      <c r="C14105" s="15" ph="1"/>
      <c r="E14105" s="15" ph="1"/>
      <c r="F14105" s="15" ph="1"/>
    </row>
    <row r="14106" spans="1:6" ht="23.25" x14ac:dyDescent="0.2">
      <c r="A14106" s="15" ph="1"/>
      <c r="C14106" s="15" ph="1"/>
      <c r="E14106" s="15" ph="1"/>
      <c r="F14106" s="15" ph="1"/>
    </row>
    <row r="14107" spans="1:6" ht="23.25" x14ac:dyDescent="0.2">
      <c r="A14107" s="15" ph="1"/>
      <c r="C14107" s="15" ph="1"/>
      <c r="E14107" s="15" ph="1"/>
      <c r="F14107" s="15" ph="1"/>
    </row>
    <row r="14108" spans="1:6" ht="23.25" x14ac:dyDescent="0.2">
      <c r="A14108" s="15" ph="1"/>
      <c r="C14108" s="15" ph="1"/>
      <c r="E14108" s="15" ph="1"/>
      <c r="F14108" s="15" ph="1"/>
    </row>
    <row r="14109" spans="1:6" ht="23.25" x14ac:dyDescent="0.2">
      <c r="A14109" s="15" ph="1"/>
      <c r="C14109" s="15" ph="1"/>
      <c r="E14109" s="15" ph="1"/>
      <c r="F14109" s="15" ph="1"/>
    </row>
    <row r="14110" spans="1:6" ht="23.25" x14ac:dyDescent="0.2">
      <c r="A14110" s="15" ph="1"/>
      <c r="C14110" s="15" ph="1"/>
      <c r="E14110" s="15" ph="1"/>
      <c r="F14110" s="15" ph="1"/>
    </row>
    <row r="14111" spans="1:6" ht="23.25" x14ac:dyDescent="0.2">
      <c r="A14111" s="15" ph="1"/>
      <c r="C14111" s="15" ph="1"/>
      <c r="E14111" s="15" ph="1"/>
      <c r="F14111" s="15" ph="1"/>
    </row>
    <row r="14112" spans="1:6" ht="23.25" x14ac:dyDescent="0.2">
      <c r="A14112" s="15" ph="1"/>
      <c r="C14112" s="15" ph="1"/>
      <c r="E14112" s="15" ph="1"/>
      <c r="F14112" s="15" ph="1"/>
    </row>
    <row r="14113" spans="1:6" ht="23.25" x14ac:dyDescent="0.2">
      <c r="A14113" s="15" ph="1"/>
      <c r="C14113" s="15" ph="1"/>
      <c r="E14113" s="15" ph="1"/>
      <c r="F14113" s="15" ph="1"/>
    </row>
    <row r="14114" spans="1:6" ht="23.25" x14ac:dyDescent="0.2">
      <c r="A14114" s="15" ph="1"/>
      <c r="C14114" s="15" ph="1"/>
      <c r="E14114" s="15" ph="1"/>
      <c r="F14114" s="15" ph="1"/>
    </row>
    <row r="14115" spans="1:6" ht="23.25" x14ac:dyDescent="0.2">
      <c r="A14115" s="15" ph="1"/>
      <c r="C14115" s="15" ph="1"/>
      <c r="E14115" s="15" ph="1"/>
      <c r="F14115" s="15" ph="1"/>
    </row>
    <row r="14116" spans="1:6" ht="23.25" x14ac:dyDescent="0.2">
      <c r="A14116" s="15" ph="1"/>
      <c r="C14116" s="15" ph="1"/>
      <c r="E14116" s="15" ph="1"/>
      <c r="F14116" s="15" ph="1"/>
    </row>
    <row r="14117" spans="1:6" ht="23.25" x14ac:dyDescent="0.2">
      <c r="A14117" s="15" ph="1"/>
      <c r="C14117" s="15" ph="1"/>
      <c r="E14117" s="15" ph="1"/>
      <c r="F14117" s="15" ph="1"/>
    </row>
    <row r="14118" spans="1:6" ht="23.25" x14ac:dyDescent="0.2">
      <c r="A14118" s="15" ph="1"/>
      <c r="C14118" s="15" ph="1"/>
      <c r="E14118" s="15" ph="1"/>
      <c r="F14118" s="15" ph="1"/>
    </row>
    <row r="14119" spans="1:6" ht="23.25" x14ac:dyDescent="0.2">
      <c r="A14119" s="15" ph="1"/>
      <c r="C14119" s="15" ph="1"/>
      <c r="E14119" s="15" ph="1"/>
      <c r="F14119" s="15" ph="1"/>
    </row>
    <row r="14120" spans="1:6" ht="23.25" x14ac:dyDescent="0.2">
      <c r="A14120" s="15" ph="1"/>
      <c r="C14120" s="15" ph="1"/>
      <c r="E14120" s="15" ph="1"/>
      <c r="F14120" s="15" ph="1"/>
    </row>
    <row r="14121" spans="1:6" ht="23.25" x14ac:dyDescent="0.2">
      <c r="A14121" s="15" ph="1"/>
      <c r="C14121" s="15" ph="1"/>
      <c r="E14121" s="15" ph="1"/>
      <c r="F14121" s="15" ph="1"/>
    </row>
    <row r="14122" spans="1:6" ht="23.25" x14ac:dyDescent="0.2">
      <c r="A14122" s="15" ph="1"/>
      <c r="C14122" s="15" ph="1"/>
      <c r="E14122" s="15" ph="1"/>
      <c r="F14122" s="15" ph="1"/>
    </row>
    <row r="14123" spans="1:6" ht="23.25" x14ac:dyDescent="0.2">
      <c r="A14123" s="15" ph="1"/>
      <c r="C14123" s="15" ph="1"/>
      <c r="E14123" s="15" ph="1"/>
      <c r="F14123" s="15" ph="1"/>
    </row>
    <row r="14124" spans="1:6" ht="23.25" x14ac:dyDescent="0.2">
      <c r="A14124" s="15" ph="1"/>
      <c r="C14124" s="15" ph="1"/>
      <c r="E14124" s="15" ph="1"/>
      <c r="F14124" s="15" ph="1"/>
    </row>
    <row r="14125" spans="1:6" ht="23.25" x14ac:dyDescent="0.2">
      <c r="A14125" s="15" ph="1"/>
      <c r="C14125" s="15" ph="1"/>
      <c r="E14125" s="15" ph="1"/>
      <c r="F14125" s="15" ph="1"/>
    </row>
    <row r="14126" spans="1:6" ht="23.25" x14ac:dyDescent="0.2">
      <c r="A14126" s="15" ph="1"/>
      <c r="C14126" s="15" ph="1"/>
      <c r="E14126" s="15" ph="1"/>
      <c r="F14126" s="15" ph="1"/>
    </row>
    <row r="14127" spans="1:6" ht="23.25" x14ac:dyDescent="0.2">
      <c r="A14127" s="15" ph="1"/>
      <c r="C14127" s="15" ph="1"/>
      <c r="E14127" s="15" ph="1"/>
      <c r="F14127" s="15" ph="1"/>
    </row>
    <row r="14128" spans="1:6" ht="23.25" x14ac:dyDescent="0.2">
      <c r="A14128" s="15" ph="1"/>
      <c r="C14128" s="15" ph="1"/>
      <c r="E14128" s="15" ph="1"/>
      <c r="F14128" s="15" ph="1"/>
    </row>
    <row r="14129" spans="1:6" ht="23.25" x14ac:dyDescent="0.2">
      <c r="A14129" s="15" ph="1"/>
      <c r="C14129" s="15" ph="1"/>
      <c r="E14129" s="15" ph="1"/>
      <c r="F14129" s="15" ph="1"/>
    </row>
    <row r="14130" spans="1:6" ht="23.25" x14ac:dyDescent="0.2">
      <c r="A14130" s="15" ph="1"/>
      <c r="C14130" s="15" ph="1"/>
      <c r="E14130" s="15" ph="1"/>
      <c r="F14130" s="15" ph="1"/>
    </row>
    <row r="14131" spans="1:6" ht="23.25" x14ac:dyDescent="0.2">
      <c r="A14131" s="15" ph="1"/>
      <c r="C14131" s="15" ph="1"/>
      <c r="E14131" s="15" ph="1"/>
      <c r="F14131" s="15" ph="1"/>
    </row>
    <row r="14132" spans="1:6" ht="23.25" x14ac:dyDescent="0.2">
      <c r="A14132" s="15" ph="1"/>
      <c r="C14132" s="15" ph="1"/>
      <c r="E14132" s="15" ph="1"/>
      <c r="F14132" s="15" ph="1"/>
    </row>
    <row r="14133" spans="1:6" ht="23.25" x14ac:dyDescent="0.2">
      <c r="A14133" s="15" ph="1"/>
      <c r="C14133" s="15" ph="1"/>
      <c r="E14133" s="15" ph="1"/>
      <c r="F14133" s="15" ph="1"/>
    </row>
    <row r="14134" spans="1:6" ht="23.25" x14ac:dyDescent="0.2">
      <c r="A14134" s="15" ph="1"/>
      <c r="C14134" s="15" ph="1"/>
      <c r="E14134" s="15" ph="1"/>
      <c r="F14134" s="15" ph="1"/>
    </row>
    <row r="14135" spans="1:6" ht="23.25" x14ac:dyDescent="0.2">
      <c r="A14135" s="15" ph="1"/>
      <c r="C14135" s="15" ph="1"/>
      <c r="E14135" s="15" ph="1"/>
      <c r="F14135" s="15" ph="1"/>
    </row>
    <row r="14136" spans="1:6" ht="23.25" x14ac:dyDescent="0.2">
      <c r="A14136" s="15" ph="1"/>
      <c r="C14136" s="15" ph="1"/>
      <c r="E14136" s="15" ph="1"/>
      <c r="F14136" s="15" ph="1"/>
    </row>
    <row r="14137" spans="1:6" ht="23.25" x14ac:dyDescent="0.2">
      <c r="A14137" s="15" ph="1"/>
      <c r="C14137" s="15" ph="1"/>
      <c r="E14137" s="15" ph="1"/>
      <c r="F14137" s="15" ph="1"/>
    </row>
    <row r="14138" spans="1:6" ht="23.25" x14ac:dyDescent="0.2">
      <c r="A14138" s="15" ph="1"/>
      <c r="C14138" s="15" ph="1"/>
      <c r="E14138" s="15" ph="1"/>
      <c r="F14138" s="15" ph="1"/>
    </row>
    <row r="14139" spans="1:6" ht="23.25" x14ac:dyDescent="0.2">
      <c r="A14139" s="15" ph="1"/>
      <c r="C14139" s="15" ph="1"/>
      <c r="E14139" s="15" ph="1"/>
      <c r="F14139" s="15" ph="1"/>
    </row>
    <row r="14140" spans="1:6" ht="23.25" x14ac:dyDescent="0.2">
      <c r="A14140" s="15" ph="1"/>
      <c r="C14140" s="15" ph="1"/>
      <c r="E14140" s="15" ph="1"/>
      <c r="F14140" s="15" ph="1"/>
    </row>
    <row r="14141" spans="1:6" ht="23.25" x14ac:dyDescent="0.2">
      <c r="A14141" s="15" ph="1"/>
      <c r="C14141" s="15" ph="1"/>
      <c r="E14141" s="15" ph="1"/>
      <c r="F14141" s="15" ph="1"/>
    </row>
    <row r="14142" spans="1:6" ht="23.25" x14ac:dyDescent="0.2">
      <c r="A14142" s="15" ph="1"/>
      <c r="C14142" s="15" ph="1"/>
      <c r="E14142" s="15" ph="1"/>
      <c r="F14142" s="15" ph="1"/>
    </row>
    <row r="14143" spans="1:6" ht="23.25" x14ac:dyDescent="0.2">
      <c r="A14143" s="15" ph="1"/>
      <c r="C14143" s="15" ph="1"/>
      <c r="E14143" s="15" ph="1"/>
      <c r="F14143" s="15" ph="1"/>
    </row>
    <row r="14144" spans="1:6" ht="23.25" x14ac:dyDescent="0.2">
      <c r="A14144" s="15" ph="1"/>
      <c r="C14144" s="15" ph="1"/>
      <c r="E14144" s="15" ph="1"/>
      <c r="F14144" s="15" ph="1"/>
    </row>
    <row r="14145" spans="1:6" ht="23.25" x14ac:dyDescent="0.2">
      <c r="A14145" s="15" ph="1"/>
      <c r="C14145" s="15" ph="1"/>
      <c r="E14145" s="15" ph="1"/>
      <c r="F14145" s="15" ph="1"/>
    </row>
    <row r="14146" spans="1:6" ht="23.25" x14ac:dyDescent="0.2">
      <c r="A14146" s="15" ph="1"/>
      <c r="C14146" s="15" ph="1"/>
      <c r="E14146" s="15" ph="1"/>
      <c r="F14146" s="15" ph="1"/>
    </row>
    <row r="14147" spans="1:6" ht="23.25" x14ac:dyDescent="0.2">
      <c r="A14147" s="15" ph="1"/>
      <c r="C14147" s="15" ph="1"/>
      <c r="E14147" s="15" ph="1"/>
      <c r="F14147" s="15" ph="1"/>
    </row>
    <row r="14148" spans="1:6" ht="23.25" x14ac:dyDescent="0.2">
      <c r="A14148" s="15" ph="1"/>
      <c r="C14148" s="15" ph="1"/>
      <c r="E14148" s="15" ph="1"/>
      <c r="F14148" s="15" ph="1"/>
    </row>
    <row r="14149" spans="1:6" ht="23.25" x14ac:dyDescent="0.2">
      <c r="A14149" s="15" ph="1"/>
      <c r="C14149" s="15" ph="1"/>
      <c r="E14149" s="15" ph="1"/>
      <c r="F14149" s="15" ph="1"/>
    </row>
    <row r="14150" spans="1:6" ht="23.25" x14ac:dyDescent="0.2">
      <c r="A14150" s="15" ph="1"/>
      <c r="C14150" s="15" ph="1"/>
      <c r="E14150" s="15" ph="1"/>
      <c r="F14150" s="15" ph="1"/>
    </row>
    <row r="14151" spans="1:6" ht="23.25" x14ac:dyDescent="0.2">
      <c r="A14151" s="15" ph="1"/>
      <c r="C14151" s="15" ph="1"/>
      <c r="E14151" s="15" ph="1"/>
      <c r="F14151" s="15" ph="1"/>
    </row>
    <row r="14152" spans="1:6" ht="23.25" x14ac:dyDescent="0.2">
      <c r="A14152" s="15" ph="1"/>
      <c r="C14152" s="15" ph="1"/>
      <c r="E14152" s="15" ph="1"/>
      <c r="F14152" s="15" ph="1"/>
    </row>
    <row r="14153" spans="1:6" ht="23.25" x14ac:dyDescent="0.2">
      <c r="A14153" s="15" ph="1"/>
      <c r="C14153" s="15" ph="1"/>
      <c r="E14153" s="15" ph="1"/>
      <c r="F14153" s="15" ph="1"/>
    </row>
    <row r="14154" spans="1:6" ht="23.25" x14ac:dyDescent="0.2">
      <c r="A14154" s="15" ph="1"/>
      <c r="C14154" s="15" ph="1"/>
      <c r="E14154" s="15" ph="1"/>
      <c r="F14154" s="15" ph="1"/>
    </row>
    <row r="14155" spans="1:6" ht="23.25" x14ac:dyDescent="0.2">
      <c r="A14155" s="15" ph="1"/>
      <c r="C14155" s="15" ph="1"/>
      <c r="E14155" s="15" ph="1"/>
      <c r="F14155" s="15" ph="1"/>
    </row>
    <row r="14156" spans="1:6" ht="23.25" x14ac:dyDescent="0.2">
      <c r="A14156" s="15" ph="1"/>
      <c r="C14156" s="15" ph="1"/>
      <c r="E14156" s="15" ph="1"/>
      <c r="F14156" s="15" ph="1"/>
    </row>
    <row r="14157" spans="1:6" ht="23.25" x14ac:dyDescent="0.2">
      <c r="A14157" s="15" ph="1"/>
      <c r="C14157" s="15" ph="1"/>
      <c r="E14157" s="15" ph="1"/>
      <c r="F14157" s="15" ph="1"/>
    </row>
    <row r="14158" spans="1:6" ht="23.25" x14ac:dyDescent="0.2">
      <c r="A14158" s="15" ph="1"/>
      <c r="C14158" s="15" ph="1"/>
      <c r="E14158" s="15" ph="1"/>
      <c r="F14158" s="15" ph="1"/>
    </row>
    <row r="14159" spans="1:6" ht="23.25" x14ac:dyDescent="0.2">
      <c r="A14159" s="15" ph="1"/>
      <c r="C14159" s="15" ph="1"/>
      <c r="E14159" s="15" ph="1"/>
      <c r="F14159" s="15" ph="1"/>
    </row>
    <row r="14160" spans="1:6" ht="23.25" x14ac:dyDescent="0.2">
      <c r="A14160" s="15" ph="1"/>
      <c r="C14160" s="15" ph="1"/>
      <c r="E14160" s="15" ph="1"/>
      <c r="F14160" s="15" ph="1"/>
    </row>
    <row r="14161" spans="1:6" ht="23.25" x14ac:dyDescent="0.2">
      <c r="A14161" s="15" ph="1"/>
      <c r="C14161" s="15" ph="1"/>
      <c r="E14161" s="15" ph="1"/>
      <c r="F14161" s="15" ph="1"/>
    </row>
    <row r="14162" spans="1:6" ht="23.25" x14ac:dyDescent="0.2">
      <c r="A14162" s="15" ph="1"/>
      <c r="C14162" s="15" ph="1"/>
      <c r="E14162" s="15" ph="1"/>
      <c r="F14162" s="15" ph="1"/>
    </row>
    <row r="14163" spans="1:6" ht="23.25" x14ac:dyDescent="0.2">
      <c r="A14163" s="15" ph="1"/>
      <c r="C14163" s="15" ph="1"/>
      <c r="E14163" s="15" ph="1"/>
      <c r="F14163" s="15" ph="1"/>
    </row>
    <row r="14164" spans="1:6" ht="23.25" x14ac:dyDescent="0.2">
      <c r="A14164" s="15" ph="1"/>
      <c r="C14164" s="15" ph="1"/>
      <c r="E14164" s="15" ph="1"/>
      <c r="F14164" s="15" ph="1"/>
    </row>
    <row r="14165" spans="1:6" ht="23.25" x14ac:dyDescent="0.2">
      <c r="A14165" s="15" ph="1"/>
      <c r="C14165" s="15" ph="1"/>
      <c r="E14165" s="15" ph="1"/>
      <c r="F14165" s="15" ph="1"/>
    </row>
    <row r="14166" spans="1:6" ht="23.25" x14ac:dyDescent="0.2">
      <c r="A14166" s="15" ph="1"/>
      <c r="C14166" s="15" ph="1"/>
      <c r="E14166" s="15" ph="1"/>
      <c r="F14166" s="15" ph="1"/>
    </row>
    <row r="14167" spans="1:6" ht="23.25" x14ac:dyDescent="0.2">
      <c r="A14167" s="15" ph="1"/>
      <c r="C14167" s="15" ph="1"/>
      <c r="E14167" s="15" ph="1"/>
      <c r="F14167" s="15" ph="1"/>
    </row>
    <row r="14168" spans="1:6" ht="23.25" x14ac:dyDescent="0.2">
      <c r="A14168" s="15" ph="1"/>
      <c r="C14168" s="15" ph="1"/>
      <c r="E14168" s="15" ph="1"/>
      <c r="F14168" s="15" ph="1"/>
    </row>
    <row r="14169" spans="1:6" ht="23.25" x14ac:dyDescent="0.2">
      <c r="A14169" s="15" ph="1"/>
      <c r="C14169" s="15" ph="1"/>
      <c r="E14169" s="15" ph="1"/>
      <c r="F14169" s="15" ph="1"/>
    </row>
    <row r="14170" spans="1:6" ht="23.25" x14ac:dyDescent="0.2">
      <c r="A14170" s="15" ph="1"/>
      <c r="C14170" s="15" ph="1"/>
      <c r="E14170" s="15" ph="1"/>
      <c r="F14170" s="15" ph="1"/>
    </row>
    <row r="14171" spans="1:6" ht="23.25" x14ac:dyDescent="0.2">
      <c r="A14171" s="15" ph="1"/>
      <c r="C14171" s="15" ph="1"/>
      <c r="E14171" s="15" ph="1"/>
      <c r="F14171" s="15" ph="1"/>
    </row>
    <row r="14172" spans="1:6" ht="23.25" x14ac:dyDescent="0.2">
      <c r="A14172" s="15" ph="1"/>
      <c r="C14172" s="15" ph="1"/>
      <c r="E14172" s="15" ph="1"/>
      <c r="F14172" s="15" ph="1"/>
    </row>
    <row r="14173" spans="1:6" ht="23.25" x14ac:dyDescent="0.2">
      <c r="A14173" s="15" ph="1"/>
      <c r="C14173" s="15" ph="1"/>
      <c r="E14173" s="15" ph="1"/>
      <c r="F14173" s="15" ph="1"/>
    </row>
    <row r="14174" spans="1:6" ht="23.25" x14ac:dyDescent="0.2">
      <c r="A14174" s="15" ph="1"/>
      <c r="C14174" s="15" ph="1"/>
      <c r="E14174" s="15" ph="1"/>
      <c r="F14174" s="15" ph="1"/>
    </row>
    <row r="14175" spans="1:6" ht="23.25" x14ac:dyDescent="0.2">
      <c r="A14175" s="15" ph="1"/>
      <c r="C14175" s="15" ph="1"/>
      <c r="E14175" s="15" ph="1"/>
      <c r="F14175" s="15" ph="1"/>
    </row>
    <row r="14176" spans="1:6" ht="23.25" x14ac:dyDescent="0.2">
      <c r="A14176" s="15" ph="1"/>
      <c r="C14176" s="15" ph="1"/>
      <c r="E14176" s="15" ph="1"/>
      <c r="F14176" s="15" ph="1"/>
    </row>
    <row r="14177" spans="1:6" ht="23.25" x14ac:dyDescent="0.2">
      <c r="A14177" s="15" ph="1"/>
      <c r="C14177" s="15" ph="1"/>
      <c r="E14177" s="15" ph="1"/>
      <c r="F14177" s="15" ph="1"/>
    </row>
    <row r="14178" spans="1:6" ht="23.25" x14ac:dyDescent="0.2">
      <c r="A14178" s="15" ph="1"/>
      <c r="C14178" s="15" ph="1"/>
      <c r="E14178" s="15" ph="1"/>
      <c r="F14178" s="15" ph="1"/>
    </row>
    <row r="14179" spans="1:6" ht="23.25" x14ac:dyDescent="0.2">
      <c r="A14179" s="15" ph="1"/>
      <c r="C14179" s="15" ph="1"/>
      <c r="E14179" s="15" ph="1"/>
      <c r="F14179" s="15" ph="1"/>
    </row>
    <row r="14180" spans="1:6" ht="23.25" x14ac:dyDescent="0.2">
      <c r="A14180" s="15" ph="1"/>
      <c r="C14180" s="15" ph="1"/>
      <c r="E14180" s="15" ph="1"/>
      <c r="F14180" s="15" ph="1"/>
    </row>
    <row r="14181" spans="1:6" ht="23.25" x14ac:dyDescent="0.2">
      <c r="A14181" s="15" ph="1"/>
      <c r="C14181" s="15" ph="1"/>
      <c r="E14181" s="15" ph="1"/>
      <c r="F14181" s="15" ph="1"/>
    </row>
    <row r="14182" spans="1:6" ht="23.25" x14ac:dyDescent="0.2">
      <c r="A14182" s="15" ph="1"/>
      <c r="C14182" s="15" ph="1"/>
      <c r="E14182" s="15" ph="1"/>
      <c r="F14182" s="15" ph="1"/>
    </row>
    <row r="14183" spans="1:6" ht="23.25" x14ac:dyDescent="0.2">
      <c r="A14183" s="15" ph="1"/>
      <c r="C14183" s="15" ph="1"/>
      <c r="E14183" s="15" ph="1"/>
      <c r="F14183" s="15" ph="1"/>
    </row>
    <row r="14184" spans="1:6" ht="23.25" x14ac:dyDescent="0.2">
      <c r="A14184" s="15" ph="1"/>
      <c r="C14184" s="15" ph="1"/>
      <c r="E14184" s="15" ph="1"/>
      <c r="F14184" s="15" ph="1"/>
    </row>
    <row r="14185" spans="1:6" ht="23.25" x14ac:dyDescent="0.2">
      <c r="A14185" s="15" ph="1"/>
      <c r="C14185" s="15" ph="1"/>
      <c r="E14185" s="15" ph="1"/>
      <c r="F14185" s="15" ph="1"/>
    </row>
    <row r="14186" spans="1:6" ht="23.25" x14ac:dyDescent="0.2">
      <c r="A14186" s="15" ph="1"/>
      <c r="C14186" s="15" ph="1"/>
      <c r="E14186" s="15" ph="1"/>
      <c r="F14186" s="15" ph="1"/>
    </row>
    <row r="14187" spans="1:6" ht="23.25" x14ac:dyDescent="0.2">
      <c r="A14187" s="15" ph="1"/>
      <c r="C14187" s="15" ph="1"/>
      <c r="E14187" s="15" ph="1"/>
      <c r="F14187" s="15" ph="1"/>
    </row>
    <row r="14188" spans="1:6" ht="23.25" x14ac:dyDescent="0.2">
      <c r="A14188" s="15" ph="1"/>
      <c r="C14188" s="15" ph="1"/>
      <c r="E14188" s="15" ph="1"/>
      <c r="F14188" s="15" ph="1"/>
    </row>
    <row r="14189" spans="1:6" ht="23.25" x14ac:dyDescent="0.2">
      <c r="A14189" s="15" ph="1"/>
      <c r="C14189" s="15" ph="1"/>
      <c r="E14189" s="15" ph="1"/>
      <c r="F14189" s="15" ph="1"/>
    </row>
    <row r="14190" spans="1:6" ht="23.25" x14ac:dyDescent="0.2">
      <c r="A14190" s="15" ph="1"/>
      <c r="C14190" s="15" ph="1"/>
      <c r="E14190" s="15" ph="1"/>
      <c r="F14190" s="15" ph="1"/>
    </row>
    <row r="14191" spans="1:6" ht="23.25" x14ac:dyDescent="0.2">
      <c r="A14191" s="15" ph="1"/>
      <c r="C14191" s="15" ph="1"/>
      <c r="E14191" s="15" ph="1"/>
      <c r="F14191" s="15" ph="1"/>
    </row>
    <row r="14192" spans="1:6" ht="23.25" x14ac:dyDescent="0.2">
      <c r="A14192" s="15" ph="1"/>
      <c r="C14192" s="15" ph="1"/>
      <c r="E14192" s="15" ph="1"/>
      <c r="F14192" s="15" ph="1"/>
    </row>
    <row r="14193" spans="1:6" ht="23.25" x14ac:dyDescent="0.2">
      <c r="A14193" s="15" ph="1"/>
      <c r="C14193" s="15" ph="1"/>
      <c r="E14193" s="15" ph="1"/>
      <c r="F14193" s="15" ph="1"/>
    </row>
    <row r="14194" spans="1:6" ht="23.25" x14ac:dyDescent="0.2">
      <c r="A14194" s="15" ph="1"/>
      <c r="C14194" s="15" ph="1"/>
      <c r="E14194" s="15" ph="1"/>
      <c r="F14194" s="15" ph="1"/>
    </row>
    <row r="14195" spans="1:6" ht="23.25" x14ac:dyDescent="0.2">
      <c r="A14195" s="15" ph="1"/>
      <c r="C14195" s="15" ph="1"/>
      <c r="E14195" s="15" ph="1"/>
      <c r="F14195" s="15" ph="1"/>
    </row>
    <row r="14196" spans="1:6" ht="23.25" x14ac:dyDescent="0.2">
      <c r="A14196" s="15" ph="1"/>
      <c r="C14196" s="15" ph="1"/>
      <c r="E14196" s="15" ph="1"/>
      <c r="F14196" s="15" ph="1"/>
    </row>
    <row r="14197" spans="1:6" ht="23.25" x14ac:dyDescent="0.2">
      <c r="A14197" s="15" ph="1"/>
      <c r="C14197" s="15" ph="1"/>
      <c r="E14197" s="15" ph="1"/>
      <c r="F14197" s="15" ph="1"/>
    </row>
    <row r="14198" spans="1:6" ht="23.25" x14ac:dyDescent="0.2">
      <c r="A14198" s="15" ph="1"/>
      <c r="C14198" s="15" ph="1"/>
      <c r="E14198" s="15" ph="1"/>
      <c r="F14198" s="15" ph="1"/>
    </row>
    <row r="14199" spans="1:6" ht="23.25" x14ac:dyDescent="0.2">
      <c r="A14199" s="15" ph="1"/>
      <c r="C14199" s="15" ph="1"/>
      <c r="E14199" s="15" ph="1"/>
      <c r="F14199" s="15" ph="1"/>
    </row>
    <row r="14200" spans="1:6" ht="23.25" x14ac:dyDescent="0.2">
      <c r="A14200" s="15" ph="1"/>
      <c r="C14200" s="15" ph="1"/>
      <c r="E14200" s="15" ph="1"/>
      <c r="F14200" s="15" ph="1"/>
    </row>
    <row r="14201" spans="1:6" ht="23.25" x14ac:dyDescent="0.2">
      <c r="A14201" s="15" ph="1"/>
      <c r="C14201" s="15" ph="1"/>
      <c r="E14201" s="15" ph="1"/>
      <c r="F14201" s="15" ph="1"/>
    </row>
    <row r="14202" spans="1:6" ht="23.25" x14ac:dyDescent="0.2">
      <c r="A14202" s="15" ph="1"/>
      <c r="C14202" s="15" ph="1"/>
      <c r="E14202" s="15" ph="1"/>
      <c r="F14202" s="15" ph="1"/>
    </row>
    <row r="14203" spans="1:6" ht="23.25" x14ac:dyDescent="0.2">
      <c r="A14203" s="15" ph="1"/>
      <c r="C14203" s="15" ph="1"/>
      <c r="E14203" s="15" ph="1"/>
      <c r="F14203" s="15" ph="1"/>
    </row>
    <row r="14204" spans="1:6" ht="23.25" x14ac:dyDescent="0.2">
      <c r="A14204" s="15" ph="1"/>
      <c r="C14204" s="15" ph="1"/>
      <c r="E14204" s="15" ph="1"/>
      <c r="F14204" s="15" ph="1"/>
    </row>
    <row r="14205" spans="1:6" ht="23.25" x14ac:dyDescent="0.2">
      <c r="A14205" s="15" ph="1"/>
      <c r="C14205" s="15" ph="1"/>
      <c r="E14205" s="15" ph="1"/>
      <c r="F14205" s="15" ph="1"/>
    </row>
    <row r="14206" spans="1:6" ht="23.25" x14ac:dyDescent="0.2">
      <c r="A14206" s="15" ph="1"/>
      <c r="C14206" s="15" ph="1"/>
      <c r="E14206" s="15" ph="1"/>
      <c r="F14206" s="15" ph="1"/>
    </row>
    <row r="14207" spans="1:6" ht="23.25" x14ac:dyDescent="0.2">
      <c r="A14207" s="15" ph="1"/>
      <c r="C14207" s="15" ph="1"/>
      <c r="E14207" s="15" ph="1"/>
      <c r="F14207" s="15" ph="1"/>
    </row>
    <row r="14208" spans="1:6" ht="23.25" x14ac:dyDescent="0.2">
      <c r="A14208" s="15" ph="1"/>
      <c r="C14208" s="15" ph="1"/>
      <c r="E14208" s="15" ph="1"/>
      <c r="F14208" s="15" ph="1"/>
    </row>
    <row r="14209" spans="1:6" ht="23.25" x14ac:dyDescent="0.2">
      <c r="A14209" s="15" ph="1"/>
      <c r="C14209" s="15" ph="1"/>
      <c r="E14209" s="15" ph="1"/>
      <c r="F14209" s="15" ph="1"/>
    </row>
    <row r="14210" spans="1:6" ht="23.25" x14ac:dyDescent="0.2">
      <c r="A14210" s="15" ph="1"/>
      <c r="C14210" s="15" ph="1"/>
      <c r="E14210" s="15" ph="1"/>
      <c r="F14210" s="15" ph="1"/>
    </row>
    <row r="14211" spans="1:6" ht="23.25" x14ac:dyDescent="0.2">
      <c r="A14211" s="15" ph="1"/>
      <c r="C14211" s="15" ph="1"/>
      <c r="E14211" s="15" ph="1"/>
      <c r="F14211" s="15" ph="1"/>
    </row>
    <row r="14212" spans="1:6" ht="23.25" x14ac:dyDescent="0.2">
      <c r="A14212" s="15" ph="1"/>
      <c r="C14212" s="15" ph="1"/>
      <c r="E14212" s="15" ph="1"/>
      <c r="F14212" s="15" ph="1"/>
    </row>
    <row r="14213" spans="1:6" ht="23.25" x14ac:dyDescent="0.2">
      <c r="A14213" s="15" ph="1"/>
      <c r="C14213" s="15" ph="1"/>
      <c r="E14213" s="15" ph="1"/>
      <c r="F14213" s="15" ph="1"/>
    </row>
    <row r="14214" spans="1:6" ht="23.25" x14ac:dyDescent="0.2">
      <c r="A14214" s="15" ph="1"/>
      <c r="C14214" s="15" ph="1"/>
      <c r="E14214" s="15" ph="1"/>
      <c r="F14214" s="15" ph="1"/>
    </row>
    <row r="14215" spans="1:6" ht="23.25" x14ac:dyDescent="0.2">
      <c r="A14215" s="15" ph="1"/>
      <c r="C14215" s="15" ph="1"/>
      <c r="E14215" s="15" ph="1"/>
      <c r="F14215" s="15" ph="1"/>
    </row>
    <row r="14216" spans="1:6" ht="23.25" x14ac:dyDescent="0.2">
      <c r="A14216" s="15" ph="1"/>
      <c r="C14216" s="15" ph="1"/>
      <c r="E14216" s="15" ph="1"/>
      <c r="F14216" s="15" ph="1"/>
    </row>
    <row r="14217" spans="1:6" ht="23.25" x14ac:dyDescent="0.2">
      <c r="A14217" s="15" ph="1"/>
      <c r="C14217" s="15" ph="1"/>
      <c r="E14217" s="15" ph="1"/>
      <c r="F14217" s="15" ph="1"/>
    </row>
    <row r="14218" spans="1:6" ht="23.25" x14ac:dyDescent="0.2">
      <c r="A14218" s="15" ph="1"/>
      <c r="C14218" s="15" ph="1"/>
      <c r="E14218" s="15" ph="1"/>
      <c r="F14218" s="15" ph="1"/>
    </row>
    <row r="14219" spans="1:6" ht="23.25" x14ac:dyDescent="0.2">
      <c r="A14219" s="15" ph="1"/>
      <c r="C14219" s="15" ph="1"/>
      <c r="E14219" s="15" ph="1"/>
      <c r="F14219" s="15" ph="1"/>
    </row>
    <row r="14220" spans="1:6" ht="23.25" x14ac:dyDescent="0.2">
      <c r="A14220" s="15" ph="1"/>
      <c r="C14220" s="15" ph="1"/>
      <c r="E14220" s="15" ph="1"/>
      <c r="F14220" s="15" ph="1"/>
    </row>
    <row r="14221" spans="1:6" ht="23.25" x14ac:dyDescent="0.2">
      <c r="A14221" s="15" ph="1"/>
      <c r="C14221" s="15" ph="1"/>
      <c r="E14221" s="15" ph="1"/>
      <c r="F14221" s="15" ph="1"/>
    </row>
    <row r="14222" spans="1:6" ht="23.25" x14ac:dyDescent="0.2">
      <c r="A14222" s="15" ph="1"/>
      <c r="C14222" s="15" ph="1"/>
      <c r="E14222" s="15" ph="1"/>
      <c r="F14222" s="15" ph="1"/>
    </row>
    <row r="14223" spans="1:6" ht="23.25" x14ac:dyDescent="0.2">
      <c r="A14223" s="15" ph="1"/>
      <c r="C14223" s="15" ph="1"/>
      <c r="E14223" s="15" ph="1"/>
      <c r="F14223" s="15" ph="1"/>
    </row>
    <row r="14224" spans="1:6" ht="23.25" x14ac:dyDescent="0.2">
      <c r="A14224" s="15" ph="1"/>
      <c r="C14224" s="15" ph="1"/>
      <c r="E14224" s="15" ph="1"/>
      <c r="F14224" s="15" ph="1"/>
    </row>
    <row r="14225" spans="1:6" ht="23.25" x14ac:dyDescent="0.2">
      <c r="A14225" s="15" ph="1"/>
      <c r="C14225" s="15" ph="1"/>
      <c r="E14225" s="15" ph="1"/>
      <c r="F14225" s="15" ph="1"/>
    </row>
    <row r="14226" spans="1:6" ht="23.25" x14ac:dyDescent="0.2">
      <c r="A14226" s="15" ph="1"/>
      <c r="C14226" s="15" ph="1"/>
      <c r="E14226" s="15" ph="1"/>
      <c r="F14226" s="15" ph="1"/>
    </row>
    <row r="14227" spans="1:6" ht="23.25" x14ac:dyDescent="0.2">
      <c r="A14227" s="15" ph="1"/>
      <c r="C14227" s="15" ph="1"/>
      <c r="E14227" s="15" ph="1"/>
      <c r="F14227" s="15" ph="1"/>
    </row>
    <row r="14228" spans="1:6" ht="23.25" x14ac:dyDescent="0.2">
      <c r="A14228" s="15" ph="1"/>
      <c r="C14228" s="15" ph="1"/>
      <c r="E14228" s="15" ph="1"/>
      <c r="F14228" s="15" ph="1"/>
    </row>
    <row r="14229" spans="1:6" ht="23.25" x14ac:dyDescent="0.2">
      <c r="A14229" s="15" ph="1"/>
      <c r="C14229" s="15" ph="1"/>
      <c r="E14229" s="15" ph="1"/>
      <c r="F14229" s="15" ph="1"/>
    </row>
    <row r="14230" spans="1:6" ht="23.25" x14ac:dyDescent="0.2">
      <c r="A14230" s="15" ph="1"/>
      <c r="C14230" s="15" ph="1"/>
      <c r="E14230" s="15" ph="1"/>
      <c r="F14230" s="15" ph="1"/>
    </row>
    <row r="14231" spans="1:6" ht="23.25" x14ac:dyDescent="0.2">
      <c r="A14231" s="15" ph="1"/>
      <c r="C14231" s="15" ph="1"/>
      <c r="E14231" s="15" ph="1"/>
      <c r="F14231" s="15" ph="1"/>
    </row>
    <row r="14232" spans="1:6" ht="23.25" x14ac:dyDescent="0.2">
      <c r="A14232" s="15" ph="1"/>
      <c r="C14232" s="15" ph="1"/>
      <c r="E14232" s="15" ph="1"/>
      <c r="F14232" s="15" ph="1"/>
    </row>
    <row r="14233" spans="1:6" ht="23.25" x14ac:dyDescent="0.2">
      <c r="A14233" s="15" ph="1"/>
      <c r="C14233" s="15" ph="1"/>
      <c r="E14233" s="15" ph="1"/>
      <c r="F14233" s="15" ph="1"/>
    </row>
    <row r="14234" spans="1:6" ht="23.25" x14ac:dyDescent="0.2">
      <c r="A14234" s="15" ph="1"/>
      <c r="C14234" s="15" ph="1"/>
      <c r="E14234" s="15" ph="1"/>
      <c r="F14234" s="15" ph="1"/>
    </row>
    <row r="14235" spans="1:6" ht="23.25" x14ac:dyDescent="0.2">
      <c r="A14235" s="15" ph="1"/>
      <c r="C14235" s="15" ph="1"/>
      <c r="E14235" s="15" ph="1"/>
      <c r="F14235" s="15" ph="1"/>
    </row>
    <row r="14236" spans="1:6" ht="23.25" x14ac:dyDescent="0.2">
      <c r="A14236" s="15" ph="1"/>
      <c r="C14236" s="15" ph="1"/>
      <c r="E14236" s="15" ph="1"/>
      <c r="F14236" s="15" ph="1"/>
    </row>
    <row r="14237" spans="1:6" ht="23.25" x14ac:dyDescent="0.2">
      <c r="A14237" s="15" ph="1"/>
      <c r="C14237" s="15" ph="1"/>
      <c r="E14237" s="15" ph="1"/>
      <c r="F14237" s="15" ph="1"/>
    </row>
    <row r="14238" spans="1:6" ht="23.25" x14ac:dyDescent="0.2">
      <c r="A14238" s="15" ph="1"/>
      <c r="C14238" s="15" ph="1"/>
      <c r="E14238" s="15" ph="1"/>
      <c r="F14238" s="15" ph="1"/>
    </row>
    <row r="14239" spans="1:6" ht="23.25" x14ac:dyDescent="0.2">
      <c r="A14239" s="15" ph="1"/>
      <c r="C14239" s="15" ph="1"/>
      <c r="E14239" s="15" ph="1"/>
      <c r="F14239" s="15" ph="1"/>
    </row>
    <row r="14240" spans="1:6" ht="23.25" x14ac:dyDescent="0.2">
      <c r="A14240" s="15" ph="1"/>
      <c r="C14240" s="15" ph="1"/>
      <c r="E14240" s="15" ph="1"/>
      <c r="F14240" s="15" ph="1"/>
    </row>
    <row r="14241" spans="1:6" ht="23.25" x14ac:dyDescent="0.2">
      <c r="A14241" s="15" ph="1"/>
      <c r="C14241" s="15" ph="1"/>
      <c r="E14241" s="15" ph="1"/>
      <c r="F14241" s="15" ph="1"/>
    </row>
    <row r="14242" spans="1:6" ht="23.25" x14ac:dyDescent="0.2">
      <c r="A14242" s="15" ph="1"/>
      <c r="C14242" s="15" ph="1"/>
      <c r="E14242" s="15" ph="1"/>
      <c r="F14242" s="15" ph="1"/>
    </row>
    <row r="14243" spans="1:6" ht="23.25" x14ac:dyDescent="0.2">
      <c r="A14243" s="15" ph="1"/>
      <c r="C14243" s="15" ph="1"/>
      <c r="E14243" s="15" ph="1"/>
      <c r="F14243" s="15" ph="1"/>
    </row>
    <row r="14244" spans="1:6" ht="23.25" x14ac:dyDescent="0.2">
      <c r="A14244" s="15" ph="1"/>
      <c r="C14244" s="15" ph="1"/>
      <c r="E14244" s="15" ph="1"/>
      <c r="F14244" s="15" ph="1"/>
    </row>
    <row r="14245" spans="1:6" ht="23.25" x14ac:dyDescent="0.2">
      <c r="A14245" s="15" ph="1"/>
      <c r="C14245" s="15" ph="1"/>
      <c r="E14245" s="15" ph="1"/>
      <c r="F14245" s="15" ph="1"/>
    </row>
    <row r="14246" spans="1:6" ht="23.25" x14ac:dyDescent="0.2">
      <c r="A14246" s="15" ph="1"/>
      <c r="C14246" s="15" ph="1"/>
      <c r="E14246" s="15" ph="1"/>
      <c r="F14246" s="15" ph="1"/>
    </row>
    <row r="14247" spans="1:6" ht="23.25" x14ac:dyDescent="0.2">
      <c r="A14247" s="15" ph="1"/>
      <c r="C14247" s="15" ph="1"/>
      <c r="E14247" s="15" ph="1"/>
      <c r="F14247" s="15" ph="1"/>
    </row>
    <row r="14248" spans="1:6" ht="23.25" x14ac:dyDescent="0.2">
      <c r="A14248" s="15" ph="1"/>
      <c r="C14248" s="15" ph="1"/>
      <c r="E14248" s="15" ph="1"/>
      <c r="F14248" s="15" ph="1"/>
    </row>
    <row r="14249" spans="1:6" ht="23.25" x14ac:dyDescent="0.2">
      <c r="A14249" s="15" ph="1"/>
      <c r="C14249" s="15" ph="1"/>
      <c r="E14249" s="15" ph="1"/>
      <c r="F14249" s="15" ph="1"/>
    </row>
    <row r="14250" spans="1:6" ht="23.25" x14ac:dyDescent="0.2">
      <c r="A14250" s="15" ph="1"/>
      <c r="C14250" s="15" ph="1"/>
      <c r="E14250" s="15" ph="1"/>
      <c r="F14250" s="15" ph="1"/>
    </row>
    <row r="14251" spans="1:6" ht="23.25" x14ac:dyDescent="0.2">
      <c r="A14251" s="15" ph="1"/>
      <c r="C14251" s="15" ph="1"/>
      <c r="E14251" s="15" ph="1"/>
      <c r="F14251" s="15" ph="1"/>
    </row>
    <row r="14252" spans="1:6" ht="23.25" x14ac:dyDescent="0.2">
      <c r="A14252" s="15" ph="1"/>
      <c r="C14252" s="15" ph="1"/>
      <c r="E14252" s="15" ph="1"/>
      <c r="F14252" s="15" ph="1"/>
    </row>
    <row r="14253" spans="1:6" ht="23.25" x14ac:dyDescent="0.2">
      <c r="A14253" s="15" ph="1"/>
      <c r="C14253" s="15" ph="1"/>
      <c r="E14253" s="15" ph="1"/>
      <c r="F14253" s="15" ph="1"/>
    </row>
    <row r="14254" spans="1:6" ht="23.25" x14ac:dyDescent="0.2">
      <c r="A14254" s="15" ph="1"/>
      <c r="C14254" s="15" ph="1"/>
      <c r="E14254" s="15" ph="1"/>
      <c r="F14254" s="15" ph="1"/>
    </row>
    <row r="14255" spans="1:6" ht="23.25" x14ac:dyDescent="0.2">
      <c r="A14255" s="15" ph="1"/>
      <c r="C14255" s="15" ph="1"/>
      <c r="E14255" s="15" ph="1"/>
      <c r="F14255" s="15" ph="1"/>
    </row>
    <row r="14256" spans="1:6" ht="23.25" x14ac:dyDescent="0.2">
      <c r="A14256" s="15" ph="1"/>
      <c r="C14256" s="15" ph="1"/>
      <c r="E14256" s="15" ph="1"/>
      <c r="F14256" s="15" ph="1"/>
    </row>
    <row r="14257" spans="1:6" ht="23.25" x14ac:dyDescent="0.2">
      <c r="A14257" s="15" ph="1"/>
      <c r="C14257" s="15" ph="1"/>
      <c r="E14257" s="15" ph="1"/>
      <c r="F14257" s="15" ph="1"/>
    </row>
    <row r="14258" spans="1:6" ht="23.25" x14ac:dyDescent="0.2">
      <c r="A14258" s="15" ph="1"/>
      <c r="C14258" s="15" ph="1"/>
      <c r="E14258" s="15" ph="1"/>
      <c r="F14258" s="15" ph="1"/>
    </row>
    <row r="14259" spans="1:6" ht="23.25" x14ac:dyDescent="0.2">
      <c r="A14259" s="15" ph="1"/>
      <c r="C14259" s="15" ph="1"/>
      <c r="E14259" s="15" ph="1"/>
      <c r="F14259" s="15" ph="1"/>
    </row>
    <row r="14260" spans="1:6" ht="23.25" x14ac:dyDescent="0.2">
      <c r="A14260" s="15" ph="1"/>
      <c r="C14260" s="15" ph="1"/>
      <c r="E14260" s="15" ph="1"/>
      <c r="F14260" s="15" ph="1"/>
    </row>
    <row r="14261" spans="1:6" ht="23.25" x14ac:dyDescent="0.2">
      <c r="A14261" s="15" ph="1"/>
      <c r="C14261" s="15" ph="1"/>
      <c r="E14261" s="15" ph="1"/>
      <c r="F14261" s="15" ph="1"/>
    </row>
    <row r="14262" spans="1:6" ht="23.25" x14ac:dyDescent="0.2">
      <c r="A14262" s="15" ph="1"/>
      <c r="C14262" s="15" ph="1"/>
      <c r="E14262" s="15" ph="1"/>
      <c r="F14262" s="15" ph="1"/>
    </row>
    <row r="14263" spans="1:6" ht="23.25" x14ac:dyDescent="0.2">
      <c r="A14263" s="15" ph="1"/>
      <c r="C14263" s="15" ph="1"/>
      <c r="E14263" s="15" ph="1"/>
      <c r="F14263" s="15" ph="1"/>
    </row>
    <row r="14264" spans="1:6" ht="23.25" x14ac:dyDescent="0.2">
      <c r="A14264" s="15" ph="1"/>
      <c r="C14264" s="15" ph="1"/>
      <c r="E14264" s="15" ph="1"/>
      <c r="F14264" s="15" ph="1"/>
    </row>
    <row r="14265" spans="1:6" ht="23.25" x14ac:dyDescent="0.2">
      <c r="A14265" s="15" ph="1"/>
      <c r="C14265" s="15" ph="1"/>
      <c r="E14265" s="15" ph="1"/>
      <c r="F14265" s="15" ph="1"/>
    </row>
    <row r="14266" spans="1:6" ht="23.25" x14ac:dyDescent="0.2">
      <c r="A14266" s="15" ph="1"/>
      <c r="C14266" s="15" ph="1"/>
      <c r="E14266" s="15" ph="1"/>
      <c r="F14266" s="15" ph="1"/>
    </row>
    <row r="14267" spans="1:6" ht="23.25" x14ac:dyDescent="0.2">
      <c r="A14267" s="15" ph="1"/>
      <c r="C14267" s="15" ph="1"/>
      <c r="E14267" s="15" ph="1"/>
      <c r="F14267" s="15" ph="1"/>
    </row>
    <row r="14268" spans="1:6" ht="23.25" x14ac:dyDescent="0.2">
      <c r="A14268" s="15" ph="1"/>
      <c r="C14268" s="15" ph="1"/>
      <c r="E14268" s="15" ph="1"/>
      <c r="F14268" s="15" ph="1"/>
    </row>
    <row r="14269" spans="1:6" ht="23.25" x14ac:dyDescent="0.2">
      <c r="A14269" s="15" ph="1"/>
      <c r="C14269" s="15" ph="1"/>
      <c r="E14269" s="15" ph="1"/>
      <c r="F14269" s="15" ph="1"/>
    </row>
    <row r="14270" spans="1:6" ht="23.25" x14ac:dyDescent="0.2">
      <c r="A14270" s="15" ph="1"/>
      <c r="C14270" s="15" ph="1"/>
      <c r="E14270" s="15" ph="1"/>
      <c r="F14270" s="15" ph="1"/>
    </row>
    <row r="14271" spans="1:6" ht="23.25" x14ac:dyDescent="0.2">
      <c r="A14271" s="15" ph="1"/>
      <c r="C14271" s="15" ph="1"/>
      <c r="E14271" s="15" ph="1"/>
      <c r="F14271" s="15" ph="1"/>
    </row>
    <row r="14272" spans="1:6" ht="23.25" x14ac:dyDescent="0.2">
      <c r="A14272" s="15" ph="1"/>
      <c r="C14272" s="15" ph="1"/>
      <c r="E14272" s="15" ph="1"/>
      <c r="F14272" s="15" ph="1"/>
    </row>
    <row r="14273" spans="1:6" ht="23.25" x14ac:dyDescent="0.2">
      <c r="A14273" s="15" ph="1"/>
      <c r="C14273" s="15" ph="1"/>
      <c r="E14273" s="15" ph="1"/>
      <c r="F14273" s="15" ph="1"/>
    </row>
    <row r="14274" spans="1:6" ht="23.25" x14ac:dyDescent="0.2">
      <c r="A14274" s="15" ph="1"/>
      <c r="C14274" s="15" ph="1"/>
      <c r="E14274" s="15" ph="1"/>
      <c r="F14274" s="15" ph="1"/>
    </row>
    <row r="14275" spans="1:6" ht="23.25" x14ac:dyDescent="0.2">
      <c r="A14275" s="15" ph="1"/>
      <c r="C14275" s="15" ph="1"/>
      <c r="E14275" s="15" ph="1"/>
      <c r="F14275" s="15" ph="1"/>
    </row>
    <row r="14276" spans="1:6" ht="23.25" x14ac:dyDescent="0.2">
      <c r="A14276" s="15" ph="1"/>
      <c r="C14276" s="15" ph="1"/>
      <c r="E14276" s="15" ph="1"/>
      <c r="F14276" s="15" ph="1"/>
    </row>
    <row r="14277" spans="1:6" ht="23.25" x14ac:dyDescent="0.2">
      <c r="A14277" s="15" ph="1"/>
      <c r="C14277" s="15" ph="1"/>
      <c r="E14277" s="15" ph="1"/>
      <c r="F14277" s="15" ph="1"/>
    </row>
    <row r="14278" spans="1:6" ht="23.25" x14ac:dyDescent="0.2">
      <c r="A14278" s="15" ph="1"/>
      <c r="C14278" s="15" ph="1"/>
      <c r="E14278" s="15" ph="1"/>
      <c r="F14278" s="15" ph="1"/>
    </row>
    <row r="14279" spans="1:6" ht="23.25" x14ac:dyDescent="0.2">
      <c r="A14279" s="15" ph="1"/>
      <c r="C14279" s="15" ph="1"/>
      <c r="E14279" s="15" ph="1"/>
      <c r="F14279" s="15" ph="1"/>
    </row>
    <row r="14280" spans="1:6" ht="23.25" x14ac:dyDescent="0.2">
      <c r="A14280" s="15" ph="1"/>
      <c r="C14280" s="15" ph="1"/>
      <c r="E14280" s="15" ph="1"/>
      <c r="F14280" s="15" ph="1"/>
    </row>
    <row r="14281" spans="1:6" ht="23.25" x14ac:dyDescent="0.2">
      <c r="A14281" s="15" ph="1"/>
      <c r="C14281" s="15" ph="1"/>
      <c r="E14281" s="15" ph="1"/>
      <c r="F14281" s="15" ph="1"/>
    </row>
    <row r="14282" spans="1:6" ht="23.25" x14ac:dyDescent="0.2">
      <c r="A14282" s="15" ph="1"/>
      <c r="C14282" s="15" ph="1"/>
      <c r="E14282" s="15" ph="1"/>
      <c r="F14282" s="15" ph="1"/>
    </row>
    <row r="14283" spans="1:6" ht="23.25" x14ac:dyDescent="0.2">
      <c r="A14283" s="15" ph="1"/>
      <c r="C14283" s="15" ph="1"/>
      <c r="E14283" s="15" ph="1"/>
      <c r="F14283" s="15" ph="1"/>
    </row>
    <row r="14284" spans="1:6" ht="23.25" x14ac:dyDescent="0.2">
      <c r="A14284" s="15" ph="1"/>
      <c r="C14284" s="15" ph="1"/>
      <c r="E14284" s="15" ph="1"/>
      <c r="F14284" s="15" ph="1"/>
    </row>
    <row r="14285" spans="1:6" ht="23.25" x14ac:dyDescent="0.2">
      <c r="A14285" s="15" ph="1"/>
      <c r="C14285" s="15" ph="1"/>
      <c r="E14285" s="15" ph="1"/>
      <c r="F14285" s="15" ph="1"/>
    </row>
    <row r="14286" spans="1:6" ht="23.25" x14ac:dyDescent="0.2">
      <c r="A14286" s="15" ph="1"/>
      <c r="C14286" s="15" ph="1"/>
      <c r="E14286" s="15" ph="1"/>
      <c r="F14286" s="15" ph="1"/>
    </row>
    <row r="14287" spans="1:6" ht="23.25" x14ac:dyDescent="0.2">
      <c r="A14287" s="15" ph="1"/>
      <c r="C14287" s="15" ph="1"/>
      <c r="E14287" s="15" ph="1"/>
      <c r="F14287" s="15" ph="1"/>
    </row>
    <row r="14288" spans="1:6" ht="23.25" x14ac:dyDescent="0.2">
      <c r="A14288" s="15" ph="1"/>
      <c r="C14288" s="15" ph="1"/>
      <c r="E14288" s="15" ph="1"/>
      <c r="F14288" s="15" ph="1"/>
    </row>
    <row r="14289" spans="1:22" ht="23.25" x14ac:dyDescent="0.2">
      <c r="A14289" s="15" ph="1"/>
      <c r="C14289" s="15" ph="1"/>
      <c r="E14289" s="15" ph="1"/>
      <c r="F14289" s="15" ph="1"/>
    </row>
    <row r="14290" spans="1:22" ht="23.25" x14ac:dyDescent="0.2">
      <c r="A14290" s="15" ph="1"/>
      <c r="C14290" s="15" ph="1"/>
      <c r="E14290" s="15" ph="1"/>
      <c r="F14290" s="15" ph="1"/>
    </row>
    <row r="14291" spans="1:22" ht="23.25" x14ac:dyDescent="0.2">
      <c r="A14291" s="15" ph="1"/>
      <c r="C14291" s="15" ph="1"/>
      <c r="E14291" s="15" ph="1"/>
      <c r="F14291" s="15" ph="1"/>
    </row>
    <row r="14292" spans="1:22" ht="23.25" x14ac:dyDescent="0.2">
      <c r="A14292" s="15" ph="1"/>
      <c r="C14292" s="15" ph="1"/>
      <c r="E14292" s="15" ph="1"/>
      <c r="F14292" s="15" ph="1"/>
    </row>
    <row r="14293" spans="1:22" ht="23.25" x14ac:dyDescent="0.2">
      <c r="A14293" s="15" ph="1"/>
      <c r="C14293" s="15" ph="1"/>
      <c r="E14293" s="15" ph="1"/>
      <c r="F14293" s="15" ph="1"/>
    </row>
    <row r="14294" spans="1:22" ht="23.25" x14ac:dyDescent="0.2">
      <c r="A14294" s="15" ph="1"/>
      <c r="C14294" s="15" ph="1"/>
      <c r="E14294" s="15" ph="1"/>
      <c r="F14294" s="15" ph="1"/>
    </row>
    <row r="14295" spans="1:22" ht="23.25" x14ac:dyDescent="0.2">
      <c r="A14295" s="15" ph="1"/>
      <c r="C14295" s="15" ph="1"/>
      <c r="E14295" s="15" ph="1"/>
      <c r="F14295" s="15" ph="1"/>
    </row>
    <row r="14296" spans="1:22" ht="23.25" x14ac:dyDescent="0.2">
      <c r="A14296" s="15" ph="1"/>
      <c r="C14296" s="15" ph="1"/>
      <c r="E14296" s="15" ph="1"/>
      <c r="F14296" s="15" ph="1"/>
    </row>
    <row r="14298" spans="1:22" x14ac:dyDescent="0.2">
      <c r="T14298">
        <v>70100201</v>
      </c>
      <c r="U14298" s="18" t="s">
        <v>2069</v>
      </c>
      <c r="V14298" s="23">
        <v>303000</v>
      </c>
    </row>
    <row r="14299" spans="1:22" x14ac:dyDescent="0.2">
      <c r="T14299">
        <v>70100202</v>
      </c>
      <c r="U14299" s="18" t="s">
        <v>2070</v>
      </c>
      <c r="V14299" s="23">
        <v>303000</v>
      </c>
    </row>
    <row r="14300" spans="1:22" x14ac:dyDescent="0.2">
      <c r="T14300">
        <v>70100203</v>
      </c>
      <c r="U14300" s="18" t="s">
        <v>2071</v>
      </c>
      <c r="V14300" s="23">
        <v>303000</v>
      </c>
    </row>
    <row r="14301" spans="1:22" x14ac:dyDescent="0.2">
      <c r="T14301">
        <v>70100204</v>
      </c>
      <c r="U14301" s="18" t="s">
        <v>2072</v>
      </c>
      <c r="V14301" s="23">
        <v>319000</v>
      </c>
    </row>
    <row r="14302" spans="1:22" x14ac:dyDescent="0.2">
      <c r="T14302">
        <v>70100205</v>
      </c>
      <c r="U14302" s="18" t="s">
        <v>2073</v>
      </c>
      <c r="V14302" s="23">
        <v>334000</v>
      </c>
    </row>
    <row r="14303" spans="1:22" x14ac:dyDescent="0.2">
      <c r="T14303">
        <v>70100206</v>
      </c>
      <c r="U14303" s="18" t="s">
        <v>1217</v>
      </c>
      <c r="V14303" s="23">
        <v>1590000</v>
      </c>
    </row>
    <row r="14304" spans="1:22" x14ac:dyDescent="0.2">
      <c r="T14304">
        <v>70100207</v>
      </c>
      <c r="U14304" s="18" t="s">
        <v>1232</v>
      </c>
      <c r="V14304" s="23">
        <v>7940000</v>
      </c>
    </row>
    <row r="14305" spans="20:22" x14ac:dyDescent="0.2">
      <c r="T14305">
        <v>70100208</v>
      </c>
      <c r="U14305" s="18" t="s">
        <v>1233</v>
      </c>
      <c r="V14305" s="23">
        <v>7940000</v>
      </c>
    </row>
    <row r="14306" spans="20:22" x14ac:dyDescent="0.2">
      <c r="T14306">
        <v>70100209</v>
      </c>
      <c r="U14306" s="18" t="s">
        <v>2074</v>
      </c>
      <c r="V14306" s="23">
        <v>31800000</v>
      </c>
    </row>
    <row r="14307" spans="20:22" x14ac:dyDescent="0.2">
      <c r="T14307">
        <v>70100210</v>
      </c>
      <c r="U14307" s="18" t="s">
        <v>2075</v>
      </c>
      <c r="V14307" s="23">
        <v>36300000</v>
      </c>
    </row>
    <row r="14308" spans="20:22" x14ac:dyDescent="0.2">
      <c r="T14308">
        <v>70100211</v>
      </c>
      <c r="U14308" s="18" t="s">
        <v>2076</v>
      </c>
      <c r="V14308" s="23">
        <v>79400000</v>
      </c>
    </row>
    <row r="14309" spans="20:22" x14ac:dyDescent="0.2">
      <c r="T14309">
        <v>70100212</v>
      </c>
      <c r="U14309" s="18" t="s">
        <v>2077</v>
      </c>
      <c r="V14309" s="23">
        <v>90800000</v>
      </c>
    </row>
    <row r="14310" spans="20:22" x14ac:dyDescent="0.2">
      <c r="T14310">
        <v>70100213</v>
      </c>
      <c r="U14310" s="18" t="s">
        <v>2078</v>
      </c>
      <c r="V14310" s="23">
        <v>90800000</v>
      </c>
    </row>
    <row r="14311" spans="20:22" x14ac:dyDescent="0.2">
      <c r="T14311">
        <v>70100214</v>
      </c>
      <c r="U14311" s="18" t="s">
        <v>2079</v>
      </c>
      <c r="V14311" s="23">
        <v>90800000</v>
      </c>
    </row>
    <row r="14312" spans="20:22" x14ac:dyDescent="0.2">
      <c r="T14312">
        <v>70100215</v>
      </c>
      <c r="U14312" s="18" t="s">
        <v>2080</v>
      </c>
      <c r="V14312" s="23">
        <v>158800000</v>
      </c>
    </row>
    <row r="14313" spans="20:22" x14ac:dyDescent="0.2">
      <c r="T14313">
        <v>70100216</v>
      </c>
      <c r="U14313" s="18" t="s">
        <v>2081</v>
      </c>
      <c r="V14313" s="23">
        <v>158800000</v>
      </c>
    </row>
    <row r="14314" spans="20:22" x14ac:dyDescent="0.2">
      <c r="T14314">
        <v>70100217</v>
      </c>
      <c r="U14314" s="18" t="s">
        <v>2082</v>
      </c>
      <c r="V14314" s="23">
        <v>158800000</v>
      </c>
    </row>
    <row r="14315" spans="20:22" x14ac:dyDescent="0.2">
      <c r="T14315">
        <v>70100218</v>
      </c>
      <c r="U14315" s="18" t="s">
        <v>2083</v>
      </c>
      <c r="V14315" s="23">
        <v>158800000</v>
      </c>
    </row>
    <row r="14316" spans="20:22" x14ac:dyDescent="0.2">
      <c r="T14316">
        <v>70100219</v>
      </c>
      <c r="U14316" s="18" t="s">
        <v>2084</v>
      </c>
      <c r="V14316" s="23">
        <v>319000</v>
      </c>
    </row>
    <row r="14317" spans="20:22" x14ac:dyDescent="0.2">
      <c r="T14317">
        <v>70100220</v>
      </c>
      <c r="U14317" s="18" t="s">
        <v>2085</v>
      </c>
      <c r="V14317" s="23">
        <v>334000</v>
      </c>
    </row>
    <row r="14318" spans="20:22" x14ac:dyDescent="0.2">
      <c r="T14318">
        <v>70100221</v>
      </c>
      <c r="U14318" s="18" t="s">
        <v>2086</v>
      </c>
      <c r="V14318" s="23">
        <v>1590000</v>
      </c>
    </row>
    <row r="14319" spans="20:22" x14ac:dyDescent="0.2">
      <c r="T14319">
        <v>70100222</v>
      </c>
      <c r="U14319" s="18" t="s">
        <v>1234</v>
      </c>
      <c r="V14319" s="23">
        <v>7940000</v>
      </c>
    </row>
    <row r="14320" spans="20:22" x14ac:dyDescent="0.2">
      <c r="T14320">
        <v>70100223</v>
      </c>
      <c r="U14320" s="18" t="s">
        <v>2087</v>
      </c>
      <c r="V14320" s="23">
        <v>31800000</v>
      </c>
    </row>
    <row r="14321" spans="20:22" x14ac:dyDescent="0.2">
      <c r="T14321">
        <v>70100224</v>
      </c>
      <c r="U14321" s="18" t="s">
        <v>2088</v>
      </c>
      <c r="V14321" s="23">
        <v>36300000</v>
      </c>
    </row>
    <row r="14322" spans="20:22" x14ac:dyDescent="0.2">
      <c r="T14322">
        <v>70100225</v>
      </c>
      <c r="U14322" s="18" t="s">
        <v>2089</v>
      </c>
      <c r="V14322" s="23">
        <v>79400000</v>
      </c>
    </row>
    <row r="14323" spans="20:22" x14ac:dyDescent="0.2">
      <c r="T14323">
        <v>70100226</v>
      </c>
      <c r="U14323" s="18" t="s">
        <v>2090</v>
      </c>
      <c r="V14323" s="23">
        <v>90800000</v>
      </c>
    </row>
    <row r="14324" spans="20:22" x14ac:dyDescent="0.2">
      <c r="T14324">
        <v>70100227</v>
      </c>
      <c r="U14324" s="18" t="s">
        <v>2091</v>
      </c>
      <c r="V14324" s="23">
        <v>90800000</v>
      </c>
    </row>
    <row r="14325" spans="20:22" x14ac:dyDescent="0.2">
      <c r="T14325">
        <v>70100228</v>
      </c>
      <c r="U14325" s="18" t="s">
        <v>2092</v>
      </c>
      <c r="V14325" s="23">
        <v>90800000</v>
      </c>
    </row>
    <row r="14326" spans="20:22" x14ac:dyDescent="0.2">
      <c r="T14326">
        <v>70100229</v>
      </c>
      <c r="U14326" s="18" t="s">
        <v>2093</v>
      </c>
      <c r="V14326" s="23">
        <v>158800000</v>
      </c>
    </row>
    <row r="14327" spans="20:22" x14ac:dyDescent="0.2">
      <c r="T14327">
        <v>70100230</v>
      </c>
      <c r="U14327" s="18" t="s">
        <v>2094</v>
      </c>
      <c r="V14327" s="23">
        <v>158800000</v>
      </c>
    </row>
    <row r="14328" spans="20:22" x14ac:dyDescent="0.2">
      <c r="T14328">
        <v>70100231</v>
      </c>
      <c r="U14328" s="18" t="s">
        <v>2095</v>
      </c>
      <c r="V14328" s="23">
        <v>158800000</v>
      </c>
    </row>
    <row r="14329" spans="20:22" x14ac:dyDescent="0.2">
      <c r="T14329">
        <v>70100232</v>
      </c>
      <c r="U14329" s="18" t="s">
        <v>2096</v>
      </c>
      <c r="V14329" s="23">
        <v>158800000</v>
      </c>
    </row>
    <row r="14330" spans="20:22" x14ac:dyDescent="0.2">
      <c r="T14330">
        <v>70100233</v>
      </c>
      <c r="U14330" s="18" t="s">
        <v>2097</v>
      </c>
      <c r="V14330" s="23">
        <v>158800000</v>
      </c>
    </row>
    <row r="14331" spans="20:22" x14ac:dyDescent="0.2">
      <c r="T14331">
        <v>70100234</v>
      </c>
      <c r="U14331" s="18" t="s">
        <v>1205</v>
      </c>
      <c r="V14331" s="23">
        <v>319000</v>
      </c>
    </row>
    <row r="14332" spans="20:22" x14ac:dyDescent="0.2">
      <c r="T14332">
        <v>70100235</v>
      </c>
      <c r="U14332" s="18" t="s">
        <v>2098</v>
      </c>
      <c r="V14332" s="23">
        <v>334000</v>
      </c>
    </row>
    <row r="14333" spans="20:22" x14ac:dyDescent="0.2">
      <c r="T14333">
        <v>70100236</v>
      </c>
      <c r="U14333" s="18" t="s">
        <v>1218</v>
      </c>
      <c r="V14333" s="23">
        <v>1590000</v>
      </c>
    </row>
    <row r="14334" spans="20:22" x14ac:dyDescent="0.2">
      <c r="T14334">
        <v>70100237</v>
      </c>
      <c r="U14334" s="18" t="s">
        <v>1235</v>
      </c>
      <c r="V14334" s="23">
        <v>7940000</v>
      </c>
    </row>
    <row r="14335" spans="20:22" x14ac:dyDescent="0.2">
      <c r="T14335">
        <v>70100238</v>
      </c>
      <c r="U14335" s="18" t="s">
        <v>2099</v>
      </c>
      <c r="V14335" s="23">
        <v>31800000</v>
      </c>
    </row>
    <row r="14336" spans="20:22" x14ac:dyDescent="0.2">
      <c r="T14336">
        <v>70100239</v>
      </c>
      <c r="U14336" s="18" t="s">
        <v>2100</v>
      </c>
      <c r="V14336" s="23">
        <v>36300000</v>
      </c>
    </row>
    <row r="14337" spans="20:22" x14ac:dyDescent="0.2">
      <c r="T14337">
        <v>70100240</v>
      </c>
      <c r="U14337" s="18" t="s">
        <v>2101</v>
      </c>
      <c r="V14337" s="23">
        <v>36300000</v>
      </c>
    </row>
    <row r="14338" spans="20:22" x14ac:dyDescent="0.2">
      <c r="T14338">
        <v>70100241</v>
      </c>
      <c r="U14338" s="18" t="s">
        <v>2102</v>
      </c>
      <c r="V14338" s="23">
        <v>79400000</v>
      </c>
    </row>
    <row r="14339" spans="20:22" x14ac:dyDescent="0.2">
      <c r="T14339">
        <v>70100242</v>
      </c>
      <c r="U14339" s="18" t="s">
        <v>2103</v>
      </c>
      <c r="V14339" s="23">
        <v>90800000</v>
      </c>
    </row>
    <row r="14340" spans="20:22" x14ac:dyDescent="0.2">
      <c r="T14340">
        <v>70100243</v>
      </c>
      <c r="U14340" s="18" t="s">
        <v>2104</v>
      </c>
      <c r="V14340" s="23">
        <v>90800000</v>
      </c>
    </row>
    <row r="14341" spans="20:22" x14ac:dyDescent="0.2">
      <c r="T14341">
        <v>70100244</v>
      </c>
      <c r="U14341" s="18" t="s">
        <v>2105</v>
      </c>
      <c r="V14341" s="23">
        <v>90800000</v>
      </c>
    </row>
    <row r="14342" spans="20:22" x14ac:dyDescent="0.2">
      <c r="T14342">
        <v>70100245</v>
      </c>
      <c r="U14342" s="18" t="s">
        <v>2106</v>
      </c>
      <c r="V14342" s="23">
        <v>158800000</v>
      </c>
    </row>
    <row r="14343" spans="20:22" x14ac:dyDescent="0.2">
      <c r="T14343">
        <v>70100246</v>
      </c>
      <c r="U14343" s="18" t="s">
        <v>2107</v>
      </c>
      <c r="V14343" s="23">
        <v>158800000</v>
      </c>
    </row>
    <row r="14344" spans="20:22" x14ac:dyDescent="0.2">
      <c r="T14344">
        <v>70100247</v>
      </c>
      <c r="U14344" s="18" t="s">
        <v>2108</v>
      </c>
      <c r="V14344" s="23">
        <v>158800000</v>
      </c>
    </row>
    <row r="14345" spans="20:22" x14ac:dyDescent="0.2">
      <c r="T14345">
        <v>70100248</v>
      </c>
      <c r="U14345" s="18" t="s">
        <v>2109</v>
      </c>
      <c r="V14345" s="23">
        <v>158800000</v>
      </c>
    </row>
    <row r="14346" spans="20:22" x14ac:dyDescent="0.2">
      <c r="T14346">
        <v>70100249</v>
      </c>
      <c r="U14346" s="18" t="s">
        <v>2110</v>
      </c>
      <c r="V14346" s="23">
        <v>1520000</v>
      </c>
    </row>
    <row r="14347" spans="20:22" x14ac:dyDescent="0.2">
      <c r="T14347">
        <v>70100250</v>
      </c>
      <c r="U14347" s="18" t="s">
        <v>2111</v>
      </c>
      <c r="V14347" s="23">
        <v>1670000</v>
      </c>
    </row>
    <row r="14348" spans="20:22" x14ac:dyDescent="0.2">
      <c r="T14348">
        <v>70100251</v>
      </c>
      <c r="U14348" s="18" t="s">
        <v>2112</v>
      </c>
      <c r="V14348" s="23">
        <v>7570000</v>
      </c>
    </row>
    <row r="14349" spans="20:22" x14ac:dyDescent="0.2">
      <c r="T14349">
        <v>70100252</v>
      </c>
      <c r="U14349" s="18" t="s">
        <v>2113</v>
      </c>
      <c r="V14349" s="23">
        <v>8320000</v>
      </c>
    </row>
    <row r="14350" spans="20:22" x14ac:dyDescent="0.2">
      <c r="T14350">
        <v>70100253</v>
      </c>
      <c r="U14350" s="18" t="s">
        <v>2114</v>
      </c>
      <c r="V14350" s="23">
        <v>7570000</v>
      </c>
    </row>
    <row r="14351" spans="20:22" x14ac:dyDescent="0.2">
      <c r="T14351">
        <v>70100254</v>
      </c>
      <c r="U14351" s="18" t="s">
        <v>2115</v>
      </c>
      <c r="V14351" s="23">
        <v>8320000</v>
      </c>
    </row>
    <row r="14352" spans="20:22" x14ac:dyDescent="0.2">
      <c r="T14352">
        <v>70100255</v>
      </c>
      <c r="U14352" s="18" t="s">
        <v>1250</v>
      </c>
      <c r="V14352" s="23">
        <v>30300000</v>
      </c>
    </row>
    <row r="14353" spans="20:22" x14ac:dyDescent="0.2">
      <c r="T14353">
        <v>70100256</v>
      </c>
      <c r="U14353" s="18" t="s">
        <v>2116</v>
      </c>
      <c r="V14353" s="23">
        <v>33300000</v>
      </c>
    </row>
    <row r="14354" spans="20:22" x14ac:dyDescent="0.2">
      <c r="T14354">
        <v>70100257</v>
      </c>
      <c r="U14354" s="18" t="s">
        <v>1251</v>
      </c>
      <c r="V14354" s="23">
        <v>34800000</v>
      </c>
    </row>
    <row r="14355" spans="20:22" x14ac:dyDescent="0.2">
      <c r="T14355">
        <v>70100258</v>
      </c>
      <c r="U14355" s="18" t="s">
        <v>2117</v>
      </c>
      <c r="V14355" s="23">
        <v>37900000</v>
      </c>
    </row>
    <row r="14356" spans="20:22" x14ac:dyDescent="0.2">
      <c r="T14356">
        <v>70100259</v>
      </c>
      <c r="U14356" s="18" t="s">
        <v>1148</v>
      </c>
      <c r="V14356" s="23">
        <v>75700000</v>
      </c>
    </row>
    <row r="14357" spans="20:22" x14ac:dyDescent="0.2">
      <c r="T14357">
        <v>70100260</v>
      </c>
      <c r="U14357" s="18" t="s">
        <v>2118</v>
      </c>
      <c r="V14357" s="23">
        <v>83200000</v>
      </c>
    </row>
    <row r="14358" spans="20:22" x14ac:dyDescent="0.2">
      <c r="T14358">
        <v>70100261</v>
      </c>
      <c r="U14358" s="18" t="s">
        <v>1149</v>
      </c>
      <c r="V14358" s="23">
        <v>87000000</v>
      </c>
    </row>
    <row r="14359" spans="20:22" x14ac:dyDescent="0.2">
      <c r="T14359">
        <v>70100262</v>
      </c>
      <c r="U14359" s="18" t="s">
        <v>2119</v>
      </c>
      <c r="V14359" s="23">
        <v>94600000</v>
      </c>
    </row>
    <row r="14360" spans="20:22" x14ac:dyDescent="0.2">
      <c r="T14360">
        <v>70100263</v>
      </c>
      <c r="U14360" s="18" t="s">
        <v>1150</v>
      </c>
      <c r="V14360" s="23">
        <v>87000000</v>
      </c>
    </row>
    <row r="14361" spans="20:22" x14ac:dyDescent="0.2">
      <c r="T14361">
        <v>70100264</v>
      </c>
      <c r="U14361" s="18" t="s">
        <v>2120</v>
      </c>
      <c r="V14361" s="23">
        <v>94600000</v>
      </c>
    </row>
    <row r="14362" spans="20:22" x14ac:dyDescent="0.2">
      <c r="T14362">
        <v>70100265</v>
      </c>
      <c r="U14362" s="18" t="s">
        <v>1151</v>
      </c>
      <c r="V14362" s="23">
        <v>87000000</v>
      </c>
    </row>
    <row r="14363" spans="20:22" x14ac:dyDescent="0.2">
      <c r="T14363">
        <v>70100266</v>
      </c>
      <c r="U14363" s="18" t="s">
        <v>2121</v>
      </c>
      <c r="V14363" s="23">
        <v>94600000</v>
      </c>
    </row>
    <row r="14364" spans="20:22" x14ac:dyDescent="0.2">
      <c r="T14364">
        <v>70100267</v>
      </c>
      <c r="U14364" s="18" t="s">
        <v>2122</v>
      </c>
      <c r="V14364" s="23">
        <v>151300000</v>
      </c>
    </row>
    <row r="14365" spans="20:22" x14ac:dyDescent="0.2">
      <c r="T14365">
        <v>70100268</v>
      </c>
      <c r="U14365" s="18" t="s">
        <v>2123</v>
      </c>
      <c r="V14365" s="23">
        <v>166400000</v>
      </c>
    </row>
    <row r="14366" spans="20:22" x14ac:dyDescent="0.2">
      <c r="T14366">
        <v>70100269</v>
      </c>
      <c r="U14366" s="18" t="s">
        <v>2124</v>
      </c>
      <c r="V14366" s="23">
        <v>151300000</v>
      </c>
    </row>
    <row r="14367" spans="20:22" x14ac:dyDescent="0.2">
      <c r="T14367">
        <v>70100270</v>
      </c>
      <c r="U14367" s="18" t="s">
        <v>2125</v>
      </c>
      <c r="V14367" s="23">
        <v>166400000</v>
      </c>
    </row>
    <row r="14368" spans="20:22" x14ac:dyDescent="0.2">
      <c r="T14368">
        <v>70100271</v>
      </c>
      <c r="U14368" s="18" t="s">
        <v>2126</v>
      </c>
      <c r="V14368" s="23">
        <v>151300000</v>
      </c>
    </row>
    <row r="14369" spans="20:22" x14ac:dyDescent="0.2">
      <c r="T14369">
        <v>70100272</v>
      </c>
      <c r="U14369" s="18" t="s">
        <v>2127</v>
      </c>
      <c r="V14369" s="23">
        <v>166400000</v>
      </c>
    </row>
    <row r="14370" spans="20:22" x14ac:dyDescent="0.2">
      <c r="T14370">
        <v>70100273</v>
      </c>
      <c r="U14370" s="18" t="s">
        <v>2128</v>
      </c>
      <c r="V14370" s="23">
        <v>151300000</v>
      </c>
    </row>
    <row r="14371" spans="20:22" x14ac:dyDescent="0.2">
      <c r="T14371">
        <v>70100274</v>
      </c>
      <c r="U14371" s="18" t="s">
        <v>2129</v>
      </c>
      <c r="V14371" s="23">
        <v>166400000</v>
      </c>
    </row>
    <row r="14372" spans="20:22" x14ac:dyDescent="0.2">
      <c r="T14372">
        <v>70100275</v>
      </c>
      <c r="U14372" s="18" t="s">
        <v>2130</v>
      </c>
      <c r="V14372" s="23">
        <v>1520000</v>
      </c>
    </row>
    <row r="14373" spans="20:22" x14ac:dyDescent="0.2">
      <c r="T14373">
        <v>70100276</v>
      </c>
      <c r="U14373" s="18" t="s">
        <v>2131</v>
      </c>
      <c r="V14373" s="23">
        <v>1670000</v>
      </c>
    </row>
    <row r="14374" spans="20:22" x14ac:dyDescent="0.2">
      <c r="T14374">
        <v>70100277</v>
      </c>
      <c r="U14374" s="18" t="s">
        <v>2132</v>
      </c>
      <c r="V14374" s="23">
        <v>7570000</v>
      </c>
    </row>
    <row r="14375" spans="20:22" x14ac:dyDescent="0.2">
      <c r="T14375">
        <v>70100278</v>
      </c>
      <c r="U14375" s="18" t="s">
        <v>2133</v>
      </c>
      <c r="V14375" s="23">
        <v>8320000</v>
      </c>
    </row>
    <row r="14376" spans="20:22" x14ac:dyDescent="0.2">
      <c r="T14376">
        <v>70100279</v>
      </c>
      <c r="U14376" s="18" t="s">
        <v>1252</v>
      </c>
      <c r="V14376" s="23">
        <v>30300000</v>
      </c>
    </row>
    <row r="14377" spans="20:22" x14ac:dyDescent="0.2">
      <c r="T14377">
        <v>70100280</v>
      </c>
      <c r="U14377" s="18" t="s">
        <v>2134</v>
      </c>
      <c r="V14377" s="23">
        <v>33300000</v>
      </c>
    </row>
    <row r="14378" spans="20:22" x14ac:dyDescent="0.2">
      <c r="T14378">
        <v>70100281</v>
      </c>
      <c r="U14378" s="18" t="s">
        <v>2135</v>
      </c>
      <c r="V14378" s="23">
        <v>34800000</v>
      </c>
    </row>
    <row r="14379" spans="20:22" x14ac:dyDescent="0.2">
      <c r="T14379">
        <v>70100282</v>
      </c>
      <c r="U14379" s="18" t="s">
        <v>2136</v>
      </c>
      <c r="V14379" s="23">
        <v>37900000</v>
      </c>
    </row>
    <row r="14380" spans="20:22" x14ac:dyDescent="0.2">
      <c r="T14380">
        <v>70100283</v>
      </c>
      <c r="U14380" s="18" t="s">
        <v>1152</v>
      </c>
      <c r="V14380" s="23">
        <v>75700000</v>
      </c>
    </row>
    <row r="14381" spans="20:22" x14ac:dyDescent="0.2">
      <c r="T14381">
        <v>70100284</v>
      </c>
      <c r="U14381" s="18" t="s">
        <v>2137</v>
      </c>
      <c r="V14381" s="23">
        <v>83200000</v>
      </c>
    </row>
    <row r="14382" spans="20:22" x14ac:dyDescent="0.2">
      <c r="T14382">
        <v>70100285</v>
      </c>
      <c r="U14382" s="18" t="s">
        <v>1153</v>
      </c>
      <c r="V14382" s="23">
        <v>87000000</v>
      </c>
    </row>
    <row r="14383" spans="20:22" x14ac:dyDescent="0.2">
      <c r="T14383">
        <v>70100286</v>
      </c>
      <c r="U14383" s="18" t="s">
        <v>2138</v>
      </c>
      <c r="V14383" s="23">
        <v>94600000</v>
      </c>
    </row>
    <row r="14384" spans="20:22" x14ac:dyDescent="0.2">
      <c r="T14384">
        <v>70100287</v>
      </c>
      <c r="U14384" s="18" t="s">
        <v>1154</v>
      </c>
      <c r="V14384" s="23">
        <v>87000000</v>
      </c>
    </row>
    <row r="14385" spans="20:22" x14ac:dyDescent="0.2">
      <c r="T14385">
        <v>70100288</v>
      </c>
      <c r="U14385" s="18" t="s">
        <v>2139</v>
      </c>
      <c r="V14385" s="23">
        <v>94600000</v>
      </c>
    </row>
    <row r="14386" spans="20:22" x14ac:dyDescent="0.2">
      <c r="T14386">
        <v>70100289</v>
      </c>
      <c r="U14386" s="18" t="s">
        <v>1155</v>
      </c>
      <c r="V14386" s="23">
        <v>87000000</v>
      </c>
    </row>
    <row r="14387" spans="20:22" x14ac:dyDescent="0.2">
      <c r="T14387">
        <v>70100290</v>
      </c>
      <c r="U14387" s="18" t="s">
        <v>2140</v>
      </c>
      <c r="V14387" s="23">
        <v>94600000</v>
      </c>
    </row>
    <row r="14388" spans="20:22" x14ac:dyDescent="0.2">
      <c r="T14388">
        <v>70100291</v>
      </c>
      <c r="U14388" s="18" t="s">
        <v>2141</v>
      </c>
      <c r="V14388" s="23">
        <v>151300000</v>
      </c>
    </row>
    <row r="14389" spans="20:22" x14ac:dyDescent="0.2">
      <c r="T14389">
        <v>70100292</v>
      </c>
      <c r="U14389" s="18" t="s">
        <v>2142</v>
      </c>
      <c r="V14389" s="23">
        <v>166400000</v>
      </c>
    </row>
    <row r="14390" spans="20:22" x14ac:dyDescent="0.2">
      <c r="T14390">
        <v>70100293</v>
      </c>
      <c r="U14390" s="18" t="s">
        <v>2143</v>
      </c>
      <c r="V14390" s="23">
        <v>151300000</v>
      </c>
    </row>
    <row r="14391" spans="20:22" x14ac:dyDescent="0.2">
      <c r="T14391">
        <v>70100294</v>
      </c>
      <c r="U14391" s="18" t="s">
        <v>2144</v>
      </c>
      <c r="V14391" s="23">
        <v>166400000</v>
      </c>
    </row>
    <row r="14392" spans="20:22" x14ac:dyDescent="0.2">
      <c r="T14392">
        <v>70100295</v>
      </c>
      <c r="U14392" s="18" t="s">
        <v>2145</v>
      </c>
      <c r="V14392" s="23">
        <v>151300000</v>
      </c>
    </row>
    <row r="14393" spans="20:22" x14ac:dyDescent="0.2">
      <c r="T14393">
        <v>70100296</v>
      </c>
      <c r="U14393" s="18" t="s">
        <v>2146</v>
      </c>
      <c r="V14393" s="23">
        <v>166400000</v>
      </c>
    </row>
    <row r="14394" spans="20:22" x14ac:dyDescent="0.2">
      <c r="T14394">
        <v>70100297</v>
      </c>
      <c r="U14394" s="18" t="s">
        <v>2147</v>
      </c>
      <c r="V14394" s="23">
        <v>151300000</v>
      </c>
    </row>
    <row r="14395" spans="20:22" x14ac:dyDescent="0.2">
      <c r="T14395">
        <v>70100298</v>
      </c>
      <c r="U14395" s="18" t="s">
        <v>2148</v>
      </c>
      <c r="V14395" s="23">
        <v>166400000</v>
      </c>
    </row>
    <row r="14396" spans="20:22" x14ac:dyDescent="0.2">
      <c r="T14396">
        <v>70100299</v>
      </c>
      <c r="U14396" s="18" t="s">
        <v>2149</v>
      </c>
      <c r="V14396" s="23">
        <v>151300000</v>
      </c>
    </row>
    <row r="14397" spans="20:22" x14ac:dyDescent="0.2">
      <c r="T14397">
        <v>70100300</v>
      </c>
      <c r="U14397" s="18" t="s">
        <v>2150</v>
      </c>
      <c r="V14397" s="23">
        <v>166400000</v>
      </c>
    </row>
    <row r="14398" spans="20:22" x14ac:dyDescent="0.2">
      <c r="T14398">
        <v>70100301</v>
      </c>
      <c r="U14398" s="18" t="s">
        <v>2151</v>
      </c>
      <c r="V14398" s="23">
        <v>1520000</v>
      </c>
    </row>
    <row r="14399" spans="20:22" x14ac:dyDescent="0.2">
      <c r="T14399">
        <v>70100302</v>
      </c>
      <c r="U14399" s="18" t="s">
        <v>2152</v>
      </c>
      <c r="V14399" s="23">
        <v>1670000</v>
      </c>
    </row>
    <row r="14400" spans="20:22" x14ac:dyDescent="0.2">
      <c r="T14400">
        <v>70100303</v>
      </c>
      <c r="U14400" s="18" t="s">
        <v>2153</v>
      </c>
      <c r="V14400" s="23">
        <v>7570000</v>
      </c>
    </row>
    <row r="14401" spans="20:22" x14ac:dyDescent="0.2">
      <c r="T14401">
        <v>70100304</v>
      </c>
      <c r="U14401" s="18" t="s">
        <v>2154</v>
      </c>
      <c r="V14401" s="23">
        <v>8320000</v>
      </c>
    </row>
    <row r="14402" spans="20:22" x14ac:dyDescent="0.2">
      <c r="T14402">
        <v>70100305</v>
      </c>
      <c r="U14402" s="18" t="s">
        <v>1253</v>
      </c>
      <c r="V14402" s="23">
        <v>30300000</v>
      </c>
    </row>
    <row r="14403" spans="20:22" x14ac:dyDescent="0.2">
      <c r="T14403">
        <v>70100306</v>
      </c>
      <c r="U14403" s="18" t="s">
        <v>2155</v>
      </c>
      <c r="V14403" s="23">
        <v>33300000</v>
      </c>
    </row>
    <row r="14404" spans="20:22" x14ac:dyDescent="0.2">
      <c r="T14404">
        <v>70100307</v>
      </c>
      <c r="U14404" s="18" t="s">
        <v>1254</v>
      </c>
      <c r="V14404" s="23">
        <v>34800000</v>
      </c>
    </row>
    <row r="14405" spans="20:22" x14ac:dyDescent="0.2">
      <c r="T14405">
        <v>70100308</v>
      </c>
      <c r="U14405" s="18" t="s">
        <v>2156</v>
      </c>
      <c r="V14405" s="23">
        <v>37900000</v>
      </c>
    </row>
    <row r="14406" spans="20:22" x14ac:dyDescent="0.2">
      <c r="T14406">
        <v>70100309</v>
      </c>
      <c r="U14406" s="18" t="s">
        <v>1255</v>
      </c>
      <c r="V14406" s="23">
        <v>34800000</v>
      </c>
    </row>
    <row r="14407" spans="20:22" x14ac:dyDescent="0.2">
      <c r="T14407">
        <v>70100310</v>
      </c>
      <c r="U14407" s="18" t="s">
        <v>2157</v>
      </c>
      <c r="V14407" s="23">
        <v>37900000</v>
      </c>
    </row>
    <row r="14408" spans="20:22" x14ac:dyDescent="0.2">
      <c r="T14408">
        <v>70100311</v>
      </c>
      <c r="U14408" s="18" t="s">
        <v>1156</v>
      </c>
      <c r="V14408" s="23">
        <v>75700000</v>
      </c>
    </row>
    <row r="14409" spans="20:22" x14ac:dyDescent="0.2">
      <c r="T14409">
        <v>70100312</v>
      </c>
      <c r="U14409" s="18" t="s">
        <v>2158</v>
      </c>
      <c r="V14409" s="23">
        <v>83200000</v>
      </c>
    </row>
    <row r="14410" spans="20:22" x14ac:dyDescent="0.2">
      <c r="T14410">
        <v>70100313</v>
      </c>
      <c r="U14410" s="18" t="s">
        <v>2159</v>
      </c>
      <c r="V14410" s="23">
        <v>87000000</v>
      </c>
    </row>
    <row r="14411" spans="20:22" x14ac:dyDescent="0.2">
      <c r="T14411">
        <v>70100314</v>
      </c>
      <c r="U14411" s="18" t="s">
        <v>2160</v>
      </c>
      <c r="V14411" s="23">
        <v>94600000</v>
      </c>
    </row>
    <row r="14412" spans="20:22" x14ac:dyDescent="0.2">
      <c r="T14412">
        <v>70100315</v>
      </c>
      <c r="U14412" s="18" t="s">
        <v>2161</v>
      </c>
      <c r="V14412" s="23">
        <v>87000000</v>
      </c>
    </row>
    <row r="14413" spans="20:22" x14ac:dyDescent="0.2">
      <c r="T14413">
        <v>70100316</v>
      </c>
      <c r="U14413" s="18" t="s">
        <v>2162</v>
      </c>
      <c r="V14413" s="23">
        <v>94600000</v>
      </c>
    </row>
    <row r="14414" spans="20:22" x14ac:dyDescent="0.2">
      <c r="T14414">
        <v>70100317</v>
      </c>
      <c r="U14414" s="18" t="s">
        <v>2163</v>
      </c>
      <c r="V14414" s="23">
        <v>87000000</v>
      </c>
    </row>
    <row r="14415" spans="20:22" x14ac:dyDescent="0.2">
      <c r="T14415">
        <v>70100318</v>
      </c>
      <c r="U14415" s="18" t="s">
        <v>2164</v>
      </c>
      <c r="V14415" s="23">
        <v>94600000</v>
      </c>
    </row>
    <row r="14416" spans="20:22" x14ac:dyDescent="0.2">
      <c r="T14416">
        <v>70100319</v>
      </c>
      <c r="U14416" s="18" t="s">
        <v>2165</v>
      </c>
      <c r="V14416" s="23">
        <v>151300000</v>
      </c>
    </row>
    <row r="14417" spans="20:22" x14ac:dyDescent="0.2">
      <c r="T14417">
        <v>70100320</v>
      </c>
      <c r="U14417" s="18" t="s">
        <v>2166</v>
      </c>
      <c r="V14417" s="23">
        <v>166400000</v>
      </c>
    </row>
    <row r="14418" spans="20:22" x14ac:dyDescent="0.2">
      <c r="T14418">
        <v>70100321</v>
      </c>
      <c r="U14418" s="18" t="s">
        <v>2167</v>
      </c>
      <c r="V14418" s="23">
        <v>151300000</v>
      </c>
    </row>
    <row r="14419" spans="20:22" x14ac:dyDescent="0.2">
      <c r="T14419">
        <v>70100322</v>
      </c>
      <c r="U14419" s="18" t="s">
        <v>2168</v>
      </c>
      <c r="V14419" s="23">
        <v>166400000</v>
      </c>
    </row>
    <row r="14420" spans="20:22" x14ac:dyDescent="0.2">
      <c r="T14420">
        <v>70100323</v>
      </c>
      <c r="U14420" s="18" t="s">
        <v>2169</v>
      </c>
      <c r="V14420" s="23">
        <v>151300000</v>
      </c>
    </row>
    <row r="14421" spans="20:22" x14ac:dyDescent="0.2">
      <c r="T14421">
        <v>70100324</v>
      </c>
      <c r="U14421" s="18" t="s">
        <v>2170</v>
      </c>
      <c r="V14421" s="23">
        <v>166400000</v>
      </c>
    </row>
    <row r="14422" spans="20:22" x14ac:dyDescent="0.2">
      <c r="T14422">
        <v>70100325</v>
      </c>
      <c r="U14422" s="18" t="s">
        <v>2171</v>
      </c>
      <c r="V14422" s="23">
        <v>151300000</v>
      </c>
    </row>
    <row r="14423" spans="20:22" x14ac:dyDescent="0.2">
      <c r="T14423">
        <v>70100326</v>
      </c>
      <c r="U14423" s="18" t="s">
        <v>2172</v>
      </c>
      <c r="V14423" s="23">
        <v>166400000</v>
      </c>
    </row>
    <row r="14424" spans="20:22" x14ac:dyDescent="0.2">
      <c r="T14424">
        <v>70100431</v>
      </c>
      <c r="U14424" s="18" t="s">
        <v>2173</v>
      </c>
      <c r="V14424" s="23">
        <v>303000</v>
      </c>
    </row>
    <row r="14425" spans="20:22" x14ac:dyDescent="0.2">
      <c r="T14425">
        <v>70100432</v>
      </c>
      <c r="U14425" s="18" t="s">
        <v>2174</v>
      </c>
      <c r="V14425" s="23">
        <v>1590000</v>
      </c>
    </row>
    <row r="14426" spans="20:22" x14ac:dyDescent="0.2">
      <c r="T14426">
        <v>70100433</v>
      </c>
      <c r="U14426" s="18" t="s">
        <v>2175</v>
      </c>
      <c r="V14426" s="23">
        <v>7940000</v>
      </c>
    </row>
    <row r="14427" spans="20:22" x14ac:dyDescent="0.2">
      <c r="T14427">
        <v>70100434</v>
      </c>
      <c r="U14427" s="18" t="s">
        <v>2176</v>
      </c>
      <c r="V14427" s="23">
        <v>31800000</v>
      </c>
    </row>
    <row r="14428" spans="20:22" x14ac:dyDescent="0.2">
      <c r="T14428">
        <v>70100435</v>
      </c>
      <c r="U14428" s="18" t="s">
        <v>2177</v>
      </c>
      <c r="V14428" s="23">
        <v>79400000</v>
      </c>
    </row>
    <row r="14429" spans="20:22" x14ac:dyDescent="0.2">
      <c r="T14429">
        <v>70100436</v>
      </c>
      <c r="U14429" s="18" t="s">
        <v>2178</v>
      </c>
      <c r="V14429" s="23">
        <v>158800000</v>
      </c>
    </row>
    <row r="14430" spans="20:22" x14ac:dyDescent="0.2">
      <c r="T14430">
        <v>70100437</v>
      </c>
      <c r="U14430" s="18" t="s">
        <v>2179</v>
      </c>
      <c r="V14430" s="23">
        <v>158800000</v>
      </c>
    </row>
    <row r="14431" spans="20:22" x14ac:dyDescent="0.2">
      <c r="T14431">
        <v>70100438</v>
      </c>
      <c r="U14431" s="18" t="s">
        <v>2180</v>
      </c>
      <c r="V14431" s="23">
        <v>334000</v>
      </c>
    </row>
    <row r="14432" spans="20:22" x14ac:dyDescent="0.2">
      <c r="T14432">
        <v>70100439</v>
      </c>
      <c r="U14432" s="18" t="s">
        <v>1237</v>
      </c>
      <c r="V14432" s="23">
        <v>7940000</v>
      </c>
    </row>
    <row r="14433" spans="20:22" x14ac:dyDescent="0.2">
      <c r="T14433">
        <v>70100440</v>
      </c>
      <c r="U14433" s="18" t="s">
        <v>2181</v>
      </c>
      <c r="V14433" s="23">
        <v>31800000</v>
      </c>
    </row>
    <row r="14434" spans="20:22" x14ac:dyDescent="0.2">
      <c r="T14434">
        <v>70100441</v>
      </c>
      <c r="U14434" s="18" t="s">
        <v>2182</v>
      </c>
      <c r="V14434" s="23">
        <v>79400000</v>
      </c>
    </row>
    <row r="14435" spans="20:22" x14ac:dyDescent="0.2">
      <c r="T14435">
        <v>70100442</v>
      </c>
      <c r="U14435" s="18" t="s">
        <v>2183</v>
      </c>
      <c r="V14435" s="23">
        <v>158800000</v>
      </c>
    </row>
    <row r="14436" spans="20:22" x14ac:dyDescent="0.2">
      <c r="T14436">
        <v>70100443</v>
      </c>
      <c r="U14436" s="18" t="s">
        <v>2184</v>
      </c>
      <c r="V14436" s="23">
        <v>36300000</v>
      </c>
    </row>
    <row r="14437" spans="20:22" x14ac:dyDescent="0.2">
      <c r="T14437">
        <v>70100444</v>
      </c>
      <c r="U14437" s="18" t="s">
        <v>2185</v>
      </c>
      <c r="V14437" s="23">
        <v>90800000</v>
      </c>
    </row>
    <row r="14438" spans="20:22" x14ac:dyDescent="0.2">
      <c r="T14438">
        <v>70100445</v>
      </c>
      <c r="U14438" s="18" t="s">
        <v>2186</v>
      </c>
      <c r="V14438" s="23">
        <v>158800000</v>
      </c>
    </row>
    <row r="14439" spans="20:22" x14ac:dyDescent="0.2">
      <c r="T14439">
        <v>70100446</v>
      </c>
      <c r="U14439" s="18" t="s">
        <v>2187</v>
      </c>
      <c r="V14439" s="23">
        <v>1520000</v>
      </c>
    </row>
    <row r="14440" spans="20:22" x14ac:dyDescent="0.2">
      <c r="T14440">
        <v>70100447</v>
      </c>
      <c r="U14440" s="18" t="s">
        <v>2188</v>
      </c>
      <c r="V14440" s="23">
        <v>1670000</v>
      </c>
    </row>
    <row r="14441" spans="20:22" x14ac:dyDescent="0.2">
      <c r="T14441">
        <v>70100448</v>
      </c>
      <c r="U14441" s="18" t="s">
        <v>2189</v>
      </c>
      <c r="V14441" s="23">
        <v>7570000</v>
      </c>
    </row>
    <row r="14442" spans="20:22" x14ac:dyDescent="0.2">
      <c r="T14442">
        <v>70100449</v>
      </c>
      <c r="U14442" s="18" t="s">
        <v>2190</v>
      </c>
      <c r="V14442" s="23">
        <v>8320000</v>
      </c>
    </row>
    <row r="14443" spans="20:22" x14ac:dyDescent="0.2">
      <c r="T14443">
        <v>70100450</v>
      </c>
      <c r="U14443" s="18" t="s">
        <v>2191</v>
      </c>
      <c r="V14443" s="23">
        <v>30300000</v>
      </c>
    </row>
    <row r="14444" spans="20:22" x14ac:dyDescent="0.2">
      <c r="T14444">
        <v>70100451</v>
      </c>
      <c r="U14444" s="18" t="s">
        <v>2192</v>
      </c>
      <c r="V14444" s="23">
        <v>33300000</v>
      </c>
    </row>
    <row r="14445" spans="20:22" x14ac:dyDescent="0.2">
      <c r="T14445">
        <v>70100452</v>
      </c>
      <c r="U14445" s="18" t="s">
        <v>2193</v>
      </c>
      <c r="V14445" s="23">
        <v>75700000</v>
      </c>
    </row>
    <row r="14446" spans="20:22" x14ac:dyDescent="0.2">
      <c r="T14446">
        <v>70100453</v>
      </c>
      <c r="U14446" s="18" t="s">
        <v>2194</v>
      </c>
      <c r="V14446" s="23">
        <v>83200000</v>
      </c>
    </row>
    <row r="14447" spans="20:22" x14ac:dyDescent="0.2">
      <c r="T14447">
        <v>70100454</v>
      </c>
      <c r="U14447" s="18" t="s">
        <v>2195</v>
      </c>
      <c r="V14447" s="23">
        <v>151300000</v>
      </c>
    </row>
    <row r="14448" spans="20:22" x14ac:dyDescent="0.2">
      <c r="T14448">
        <v>70100455</v>
      </c>
      <c r="U14448" s="18" t="s">
        <v>2196</v>
      </c>
      <c r="V14448" s="23">
        <v>166400000</v>
      </c>
    </row>
    <row r="14449" spans="20:22" x14ac:dyDescent="0.2">
      <c r="T14449">
        <v>70100456</v>
      </c>
      <c r="U14449" s="18" t="s">
        <v>2197</v>
      </c>
      <c r="V14449" s="23">
        <v>151300000</v>
      </c>
    </row>
    <row r="14450" spans="20:22" x14ac:dyDescent="0.2">
      <c r="T14450">
        <v>70100457</v>
      </c>
      <c r="U14450" s="18" t="s">
        <v>2198</v>
      </c>
      <c r="V14450" s="23">
        <v>166400000</v>
      </c>
    </row>
    <row r="14451" spans="20:22" x14ac:dyDescent="0.2">
      <c r="T14451">
        <v>70100458</v>
      </c>
      <c r="U14451" s="18" t="s">
        <v>2199</v>
      </c>
      <c r="V14451" s="23">
        <v>7570000</v>
      </c>
    </row>
    <row r="14452" spans="20:22" x14ac:dyDescent="0.2">
      <c r="T14452">
        <v>70100459</v>
      </c>
      <c r="U14452" s="18" t="s">
        <v>2200</v>
      </c>
      <c r="V14452" s="23">
        <v>8320000</v>
      </c>
    </row>
    <row r="14453" spans="20:22" x14ac:dyDescent="0.2">
      <c r="T14453">
        <v>70100460</v>
      </c>
      <c r="U14453" s="18" t="s">
        <v>2201</v>
      </c>
      <c r="V14453" s="23">
        <v>30300000</v>
      </c>
    </row>
    <row r="14454" spans="20:22" x14ac:dyDescent="0.2">
      <c r="T14454">
        <v>70100461</v>
      </c>
      <c r="U14454" s="18" t="s">
        <v>2202</v>
      </c>
      <c r="V14454" s="23">
        <v>33300000</v>
      </c>
    </row>
    <row r="14455" spans="20:22" x14ac:dyDescent="0.2">
      <c r="T14455">
        <v>70100462</v>
      </c>
      <c r="U14455" s="18" t="s">
        <v>2203</v>
      </c>
      <c r="V14455" s="23">
        <v>75700000</v>
      </c>
    </row>
    <row r="14456" spans="20:22" x14ac:dyDescent="0.2">
      <c r="T14456">
        <v>70100463</v>
      </c>
      <c r="U14456" s="18" t="s">
        <v>2204</v>
      </c>
      <c r="V14456" s="23">
        <v>83200000</v>
      </c>
    </row>
    <row r="14457" spans="20:22" x14ac:dyDescent="0.2">
      <c r="T14457">
        <v>70100464</v>
      </c>
      <c r="U14457" s="18" t="s">
        <v>2205</v>
      </c>
      <c r="V14457" s="23">
        <v>151300000</v>
      </c>
    </row>
    <row r="14458" spans="20:22" x14ac:dyDescent="0.2">
      <c r="T14458">
        <v>70100465</v>
      </c>
      <c r="U14458" s="18" t="s">
        <v>2206</v>
      </c>
      <c r="V14458" s="23">
        <v>166400000</v>
      </c>
    </row>
    <row r="14459" spans="20:22" x14ac:dyDescent="0.2">
      <c r="T14459">
        <v>70100466</v>
      </c>
      <c r="U14459" s="18" t="s">
        <v>2207</v>
      </c>
      <c r="V14459" s="23">
        <v>34800000</v>
      </c>
    </row>
    <row r="14460" spans="20:22" x14ac:dyDescent="0.2">
      <c r="T14460">
        <v>70100467</v>
      </c>
      <c r="U14460" s="18" t="s">
        <v>2208</v>
      </c>
      <c r="V14460" s="23">
        <v>37900000</v>
      </c>
    </row>
    <row r="14461" spans="20:22" x14ac:dyDescent="0.2">
      <c r="T14461">
        <v>70100468</v>
      </c>
      <c r="U14461" s="18" t="s">
        <v>2209</v>
      </c>
      <c r="V14461" s="23">
        <v>87000000</v>
      </c>
    </row>
    <row r="14462" spans="20:22" x14ac:dyDescent="0.2">
      <c r="T14462">
        <v>70100469</v>
      </c>
      <c r="U14462" s="18" t="s">
        <v>2210</v>
      </c>
      <c r="V14462" s="23">
        <v>94600000</v>
      </c>
    </row>
    <row r="14463" spans="20:22" x14ac:dyDescent="0.2">
      <c r="T14463">
        <v>70100470</v>
      </c>
      <c r="U14463" s="18" t="s">
        <v>2211</v>
      </c>
      <c r="V14463" s="23">
        <v>151300000</v>
      </c>
    </row>
    <row r="14464" spans="20:22" x14ac:dyDescent="0.2">
      <c r="T14464">
        <v>70100471</v>
      </c>
      <c r="U14464" s="18" t="s">
        <v>2212</v>
      </c>
      <c r="V14464" s="23">
        <v>166400000</v>
      </c>
    </row>
    <row r="14465" spans="20:22" x14ac:dyDescent="0.2">
      <c r="T14465">
        <v>70100506</v>
      </c>
      <c r="U14465" s="18" t="s">
        <v>2213</v>
      </c>
      <c r="V14465" s="23">
        <v>303000</v>
      </c>
    </row>
    <row r="14466" spans="20:22" x14ac:dyDescent="0.2">
      <c r="T14466">
        <v>70100507</v>
      </c>
      <c r="U14466" s="18" t="s">
        <v>1209</v>
      </c>
      <c r="V14466" s="23">
        <v>303000</v>
      </c>
    </row>
    <row r="14467" spans="20:22" x14ac:dyDescent="0.2">
      <c r="T14467">
        <v>70100508</v>
      </c>
      <c r="U14467" s="18" t="s">
        <v>1208</v>
      </c>
      <c r="V14467" s="23">
        <v>319000</v>
      </c>
    </row>
    <row r="14468" spans="20:22" x14ac:dyDescent="0.2">
      <c r="T14468">
        <v>70100509</v>
      </c>
      <c r="U14468" s="18" t="s">
        <v>2214</v>
      </c>
      <c r="V14468" s="23">
        <v>1590000</v>
      </c>
    </row>
    <row r="14469" spans="20:22" x14ac:dyDescent="0.2">
      <c r="T14469">
        <v>70100510</v>
      </c>
      <c r="U14469" s="18" t="s">
        <v>1221</v>
      </c>
      <c r="V14469" s="23">
        <v>7940000</v>
      </c>
    </row>
    <row r="14470" spans="20:22" x14ac:dyDescent="0.2">
      <c r="T14470">
        <v>70100511</v>
      </c>
      <c r="U14470" s="18" t="s">
        <v>2215</v>
      </c>
      <c r="V14470" s="23">
        <v>31800000</v>
      </c>
    </row>
    <row r="14471" spans="20:22" x14ac:dyDescent="0.2">
      <c r="T14471">
        <v>70100512</v>
      </c>
      <c r="U14471" s="18" t="s">
        <v>2216</v>
      </c>
      <c r="V14471" s="23">
        <v>36300000</v>
      </c>
    </row>
    <row r="14472" spans="20:22" x14ac:dyDescent="0.2">
      <c r="T14472">
        <v>70100513</v>
      </c>
      <c r="U14472" s="18" t="s">
        <v>2217</v>
      </c>
      <c r="V14472" s="23">
        <v>79400000</v>
      </c>
    </row>
    <row r="14473" spans="20:22" x14ac:dyDescent="0.2">
      <c r="T14473">
        <v>70100514</v>
      </c>
      <c r="U14473" s="18" t="s">
        <v>2218</v>
      </c>
      <c r="V14473" s="23">
        <v>90800000</v>
      </c>
    </row>
    <row r="14474" spans="20:22" x14ac:dyDescent="0.2">
      <c r="T14474">
        <v>70100515</v>
      </c>
      <c r="U14474" s="18" t="s">
        <v>2219</v>
      </c>
      <c r="V14474" s="23">
        <v>90800000</v>
      </c>
    </row>
    <row r="14475" spans="20:22" x14ac:dyDescent="0.2">
      <c r="T14475">
        <v>70100516</v>
      </c>
      <c r="U14475" s="18" t="s">
        <v>2220</v>
      </c>
      <c r="V14475" s="23">
        <v>90800000</v>
      </c>
    </row>
    <row r="14476" spans="20:22" x14ac:dyDescent="0.2">
      <c r="T14476">
        <v>70100517</v>
      </c>
      <c r="U14476" s="18" t="s">
        <v>2221</v>
      </c>
      <c r="V14476" s="23">
        <v>158800000</v>
      </c>
    </row>
    <row r="14477" spans="20:22" x14ac:dyDescent="0.2">
      <c r="T14477">
        <v>70100518</v>
      </c>
      <c r="U14477" s="18" t="s">
        <v>2222</v>
      </c>
      <c r="V14477" s="23">
        <v>158800000</v>
      </c>
    </row>
    <row r="14478" spans="20:22" x14ac:dyDescent="0.2">
      <c r="T14478">
        <v>70100519</v>
      </c>
      <c r="U14478" s="18" t="s">
        <v>2223</v>
      </c>
      <c r="V14478" s="23">
        <v>158800000</v>
      </c>
    </row>
    <row r="14479" spans="20:22" x14ac:dyDescent="0.2">
      <c r="T14479">
        <v>70100520</v>
      </c>
      <c r="U14479" s="18" t="s">
        <v>2224</v>
      </c>
      <c r="V14479" s="23">
        <v>158800000</v>
      </c>
    </row>
    <row r="14480" spans="20:22" x14ac:dyDescent="0.2">
      <c r="T14480">
        <v>70100521</v>
      </c>
      <c r="U14480" s="18" t="s">
        <v>2225</v>
      </c>
      <c r="V14480" s="23">
        <v>181500000</v>
      </c>
    </row>
    <row r="14481" spans="20:22" x14ac:dyDescent="0.2">
      <c r="T14481">
        <v>70100522</v>
      </c>
      <c r="U14481" s="18" t="s">
        <v>2226</v>
      </c>
      <c r="V14481" s="23">
        <v>1520000</v>
      </c>
    </row>
    <row r="14482" spans="20:22" x14ac:dyDescent="0.2">
      <c r="T14482">
        <v>70100523</v>
      </c>
      <c r="U14482" s="18" t="s">
        <v>2227</v>
      </c>
      <c r="V14482" s="23">
        <v>1670000</v>
      </c>
    </row>
    <row r="14483" spans="20:22" x14ac:dyDescent="0.2">
      <c r="T14483">
        <v>70100524</v>
      </c>
      <c r="U14483" s="18" t="s">
        <v>2228</v>
      </c>
      <c r="V14483" s="23">
        <v>7570000</v>
      </c>
    </row>
    <row r="14484" spans="20:22" x14ac:dyDescent="0.2">
      <c r="T14484">
        <v>70100525</v>
      </c>
      <c r="U14484" s="18" t="s">
        <v>2229</v>
      </c>
      <c r="V14484" s="23">
        <v>8320000</v>
      </c>
    </row>
    <row r="14485" spans="20:22" x14ac:dyDescent="0.2">
      <c r="T14485">
        <v>70100526</v>
      </c>
      <c r="U14485" s="18" t="s">
        <v>1258</v>
      </c>
      <c r="V14485" s="23">
        <v>30300000</v>
      </c>
    </row>
    <row r="14486" spans="20:22" x14ac:dyDescent="0.2">
      <c r="T14486">
        <v>70100527</v>
      </c>
      <c r="U14486" s="18" t="s">
        <v>2230</v>
      </c>
      <c r="V14486" s="23">
        <v>33300000</v>
      </c>
    </row>
    <row r="14487" spans="20:22" x14ac:dyDescent="0.2">
      <c r="T14487">
        <v>70100528</v>
      </c>
      <c r="U14487" s="18" t="s">
        <v>1259</v>
      </c>
      <c r="V14487" s="23">
        <v>34800000</v>
      </c>
    </row>
    <row r="14488" spans="20:22" x14ac:dyDescent="0.2">
      <c r="T14488">
        <v>70100529</v>
      </c>
      <c r="U14488" s="18" t="s">
        <v>2231</v>
      </c>
      <c r="V14488" s="23">
        <v>37900000</v>
      </c>
    </row>
    <row r="14489" spans="20:22" x14ac:dyDescent="0.2">
      <c r="T14489">
        <v>70100530</v>
      </c>
      <c r="U14489" s="18" t="s">
        <v>1159</v>
      </c>
      <c r="V14489" s="23">
        <v>75700000</v>
      </c>
    </row>
    <row r="14490" spans="20:22" x14ac:dyDescent="0.2">
      <c r="T14490">
        <v>70100531</v>
      </c>
      <c r="U14490" s="18" t="s">
        <v>2232</v>
      </c>
      <c r="V14490" s="23">
        <v>83200000</v>
      </c>
    </row>
    <row r="14491" spans="20:22" x14ac:dyDescent="0.2">
      <c r="T14491">
        <v>70100532</v>
      </c>
      <c r="U14491" s="18" t="s">
        <v>1160</v>
      </c>
      <c r="V14491" s="23">
        <v>87000000</v>
      </c>
    </row>
    <row r="14492" spans="20:22" x14ac:dyDescent="0.2">
      <c r="T14492">
        <v>70100533</v>
      </c>
      <c r="U14492" s="18" t="s">
        <v>2233</v>
      </c>
      <c r="V14492" s="23">
        <v>94600000</v>
      </c>
    </row>
    <row r="14493" spans="20:22" x14ac:dyDescent="0.2">
      <c r="T14493">
        <v>70100534</v>
      </c>
      <c r="U14493" s="18" t="s">
        <v>1161</v>
      </c>
      <c r="V14493" s="23">
        <v>87000000</v>
      </c>
    </row>
    <row r="14494" spans="20:22" x14ac:dyDescent="0.2">
      <c r="T14494">
        <v>70100535</v>
      </c>
      <c r="U14494" s="18" t="s">
        <v>2234</v>
      </c>
      <c r="V14494" s="23">
        <v>94600000</v>
      </c>
    </row>
    <row r="14495" spans="20:22" x14ac:dyDescent="0.2">
      <c r="T14495">
        <v>70100536</v>
      </c>
      <c r="U14495" s="18" t="s">
        <v>1162</v>
      </c>
      <c r="V14495" s="23">
        <v>87000000</v>
      </c>
    </row>
    <row r="14496" spans="20:22" x14ac:dyDescent="0.2">
      <c r="T14496">
        <v>70100537</v>
      </c>
      <c r="U14496" s="18" t="s">
        <v>2235</v>
      </c>
      <c r="V14496" s="23">
        <v>94600000</v>
      </c>
    </row>
    <row r="14497" spans="20:22" x14ac:dyDescent="0.2">
      <c r="T14497">
        <v>70100538</v>
      </c>
      <c r="U14497" s="18" t="s">
        <v>2236</v>
      </c>
      <c r="V14497" s="23">
        <v>151300000</v>
      </c>
    </row>
    <row r="14498" spans="20:22" x14ac:dyDescent="0.2">
      <c r="T14498">
        <v>70100539</v>
      </c>
      <c r="U14498" s="18" t="s">
        <v>2237</v>
      </c>
      <c r="V14498" s="23">
        <v>166400000</v>
      </c>
    </row>
    <row r="14499" spans="20:22" x14ac:dyDescent="0.2">
      <c r="T14499">
        <v>70100540</v>
      </c>
      <c r="U14499" s="18" t="s">
        <v>2238</v>
      </c>
      <c r="V14499" s="23">
        <v>151300000</v>
      </c>
    </row>
    <row r="14500" spans="20:22" x14ac:dyDescent="0.2">
      <c r="T14500">
        <v>70100541</v>
      </c>
      <c r="U14500" s="18" t="s">
        <v>2239</v>
      </c>
      <c r="V14500" s="23">
        <v>166400000</v>
      </c>
    </row>
    <row r="14501" spans="20:22" x14ac:dyDescent="0.2">
      <c r="T14501">
        <v>70100542</v>
      </c>
      <c r="U14501" s="18" t="s">
        <v>2240</v>
      </c>
      <c r="V14501" s="23">
        <v>151300000</v>
      </c>
    </row>
    <row r="14502" spans="20:22" x14ac:dyDescent="0.2">
      <c r="T14502">
        <v>70100543</v>
      </c>
      <c r="U14502" s="18" t="s">
        <v>2241</v>
      </c>
      <c r="V14502" s="23">
        <v>166400000</v>
      </c>
    </row>
    <row r="14503" spans="20:22" x14ac:dyDescent="0.2">
      <c r="T14503">
        <v>70100544</v>
      </c>
      <c r="U14503" s="18" t="s">
        <v>2242</v>
      </c>
      <c r="V14503" s="23">
        <v>151300000</v>
      </c>
    </row>
    <row r="14504" spans="20:22" x14ac:dyDescent="0.2">
      <c r="T14504">
        <v>70100545</v>
      </c>
      <c r="U14504" s="18" t="s">
        <v>2243</v>
      </c>
      <c r="V14504" s="23">
        <v>166400000</v>
      </c>
    </row>
    <row r="14505" spans="20:22" x14ac:dyDescent="0.2">
      <c r="T14505">
        <v>70100546</v>
      </c>
      <c r="U14505" s="18" t="s">
        <v>2244</v>
      </c>
      <c r="V14505" s="23">
        <v>173900000</v>
      </c>
    </row>
    <row r="14506" spans="20:22" x14ac:dyDescent="0.2">
      <c r="T14506">
        <v>70100547</v>
      </c>
      <c r="U14506" s="18" t="s">
        <v>2245</v>
      </c>
      <c r="V14506" s="23">
        <v>189100000</v>
      </c>
    </row>
    <row r="14507" spans="20:22" x14ac:dyDescent="0.2">
      <c r="T14507">
        <v>70100548</v>
      </c>
      <c r="U14507" s="18" t="s">
        <v>2246</v>
      </c>
      <c r="V14507" s="23">
        <v>303000</v>
      </c>
    </row>
    <row r="14508" spans="20:22" x14ac:dyDescent="0.2">
      <c r="T14508">
        <v>70100585</v>
      </c>
      <c r="U14508" s="18" t="s">
        <v>2247</v>
      </c>
      <c r="V14508" s="23">
        <v>303000</v>
      </c>
    </row>
    <row r="14509" spans="20:22" x14ac:dyDescent="0.2">
      <c r="T14509">
        <v>70100586</v>
      </c>
      <c r="U14509" s="18" t="s">
        <v>2248</v>
      </c>
      <c r="V14509" s="23">
        <v>303000</v>
      </c>
    </row>
    <row r="14510" spans="20:22" x14ac:dyDescent="0.2">
      <c r="T14510">
        <v>70100587</v>
      </c>
      <c r="U14510" s="18" t="s">
        <v>2249</v>
      </c>
      <c r="V14510" s="23">
        <v>319000</v>
      </c>
    </row>
    <row r="14511" spans="20:22" x14ac:dyDescent="0.2">
      <c r="T14511">
        <v>70100588</v>
      </c>
      <c r="U14511" s="18" t="s">
        <v>2250</v>
      </c>
      <c r="V14511" s="23">
        <v>334000</v>
      </c>
    </row>
    <row r="14512" spans="20:22" x14ac:dyDescent="0.2">
      <c r="T14512">
        <v>70100589</v>
      </c>
      <c r="U14512" s="18" t="s">
        <v>2251</v>
      </c>
      <c r="V14512" s="23">
        <v>334000</v>
      </c>
    </row>
    <row r="14513" spans="20:22" x14ac:dyDescent="0.2">
      <c r="T14513">
        <v>70100590</v>
      </c>
      <c r="U14513" s="18" t="s">
        <v>2252</v>
      </c>
      <c r="V14513" s="23">
        <v>334000</v>
      </c>
    </row>
    <row r="14514" spans="20:22" x14ac:dyDescent="0.2">
      <c r="T14514">
        <v>70100591</v>
      </c>
      <c r="U14514" s="18" t="s">
        <v>2253</v>
      </c>
      <c r="V14514" s="23">
        <v>1590000</v>
      </c>
    </row>
    <row r="14515" spans="20:22" x14ac:dyDescent="0.2">
      <c r="T14515">
        <v>70100592</v>
      </c>
      <c r="U14515" s="18" t="s">
        <v>2254</v>
      </c>
      <c r="V14515" s="23">
        <v>7940000</v>
      </c>
    </row>
    <row r="14516" spans="20:22" x14ac:dyDescent="0.2">
      <c r="T14516">
        <v>70100593</v>
      </c>
      <c r="U14516" s="18" t="s">
        <v>2255</v>
      </c>
      <c r="V14516" s="23">
        <v>1590000</v>
      </c>
    </row>
    <row r="14517" spans="20:22" x14ac:dyDescent="0.2">
      <c r="T14517">
        <v>70100594</v>
      </c>
      <c r="U14517" s="18" t="s">
        <v>2256</v>
      </c>
      <c r="V14517" s="23">
        <v>7940000</v>
      </c>
    </row>
    <row r="14518" spans="20:22" x14ac:dyDescent="0.2">
      <c r="T14518">
        <v>70100595</v>
      </c>
      <c r="U14518" s="18" t="s">
        <v>2257</v>
      </c>
      <c r="V14518" s="23">
        <v>31800000</v>
      </c>
    </row>
    <row r="14519" spans="20:22" x14ac:dyDescent="0.2">
      <c r="T14519">
        <v>70100596</v>
      </c>
      <c r="U14519" s="18" t="s">
        <v>2258</v>
      </c>
      <c r="V14519" s="23">
        <v>31800000</v>
      </c>
    </row>
    <row r="14520" spans="20:22" x14ac:dyDescent="0.2">
      <c r="T14520">
        <v>70100597</v>
      </c>
      <c r="U14520" s="18" t="s">
        <v>2259</v>
      </c>
      <c r="V14520" s="23">
        <v>31800000</v>
      </c>
    </row>
    <row r="14521" spans="20:22" x14ac:dyDescent="0.2">
      <c r="T14521">
        <v>70100598</v>
      </c>
      <c r="U14521" s="18" t="s">
        <v>2260</v>
      </c>
      <c r="V14521" s="23">
        <v>31800000</v>
      </c>
    </row>
    <row r="14522" spans="20:22" x14ac:dyDescent="0.2">
      <c r="T14522">
        <v>70100599</v>
      </c>
      <c r="U14522" s="18" t="s">
        <v>2261</v>
      </c>
      <c r="V14522" s="23">
        <v>36300000</v>
      </c>
    </row>
    <row r="14523" spans="20:22" x14ac:dyDescent="0.2">
      <c r="T14523">
        <v>70100600</v>
      </c>
      <c r="U14523" s="18" t="s">
        <v>2262</v>
      </c>
      <c r="V14523" s="23">
        <v>36300000</v>
      </c>
    </row>
    <row r="14524" spans="20:22" x14ac:dyDescent="0.2">
      <c r="T14524">
        <v>70100601</v>
      </c>
      <c r="U14524" s="18" t="s">
        <v>2263</v>
      </c>
      <c r="V14524" s="23">
        <v>36300000</v>
      </c>
    </row>
    <row r="14525" spans="20:22" x14ac:dyDescent="0.2">
      <c r="T14525">
        <v>70100602</v>
      </c>
      <c r="U14525" s="18" t="s">
        <v>2264</v>
      </c>
      <c r="V14525" s="23">
        <v>79400000</v>
      </c>
    </row>
    <row r="14526" spans="20:22" x14ac:dyDescent="0.2">
      <c r="T14526">
        <v>70100603</v>
      </c>
      <c r="U14526" s="18" t="s">
        <v>2265</v>
      </c>
      <c r="V14526" s="23">
        <v>36300000</v>
      </c>
    </row>
    <row r="14527" spans="20:22" x14ac:dyDescent="0.2">
      <c r="T14527">
        <v>70100604</v>
      </c>
      <c r="U14527" s="18" t="s">
        <v>2266</v>
      </c>
      <c r="V14527" s="23">
        <v>79400000</v>
      </c>
    </row>
    <row r="14528" spans="20:22" x14ac:dyDescent="0.2">
      <c r="T14528">
        <v>70100605</v>
      </c>
      <c r="U14528" s="18" t="s">
        <v>2267</v>
      </c>
      <c r="V14528" s="23">
        <v>79400000</v>
      </c>
    </row>
    <row r="14529" spans="20:22" x14ac:dyDescent="0.2">
      <c r="T14529">
        <v>70100606</v>
      </c>
      <c r="U14529" s="18" t="s">
        <v>2268</v>
      </c>
      <c r="V14529" s="23">
        <v>79400000</v>
      </c>
    </row>
    <row r="14530" spans="20:22" x14ac:dyDescent="0.2">
      <c r="T14530">
        <v>70100607</v>
      </c>
      <c r="U14530" s="18" t="s">
        <v>2269</v>
      </c>
      <c r="V14530" s="23">
        <v>79400000</v>
      </c>
    </row>
    <row r="14531" spans="20:22" x14ac:dyDescent="0.2">
      <c r="T14531">
        <v>70100608</v>
      </c>
      <c r="U14531" s="18" t="s">
        <v>2270</v>
      </c>
      <c r="V14531" s="23">
        <v>90800000</v>
      </c>
    </row>
    <row r="14532" spans="20:22" x14ac:dyDescent="0.2">
      <c r="T14532">
        <v>70100609</v>
      </c>
      <c r="U14532" s="18" t="s">
        <v>2271</v>
      </c>
      <c r="V14532" s="23">
        <v>90800000</v>
      </c>
    </row>
    <row r="14533" spans="20:22" x14ac:dyDescent="0.2">
      <c r="T14533">
        <v>70100610</v>
      </c>
      <c r="U14533" s="18" t="s">
        <v>2272</v>
      </c>
      <c r="V14533" s="23">
        <v>90800000</v>
      </c>
    </row>
    <row r="14534" spans="20:22" x14ac:dyDescent="0.2">
      <c r="T14534">
        <v>70100611</v>
      </c>
      <c r="U14534" s="18" t="s">
        <v>2273</v>
      </c>
      <c r="V14534" s="23">
        <v>90800000</v>
      </c>
    </row>
    <row r="14535" spans="20:22" x14ac:dyDescent="0.2">
      <c r="T14535">
        <v>70100612</v>
      </c>
      <c r="U14535" s="18" t="s">
        <v>2274</v>
      </c>
      <c r="V14535" s="23">
        <v>90800000</v>
      </c>
    </row>
    <row r="14536" spans="20:22" x14ac:dyDescent="0.2">
      <c r="T14536">
        <v>70100613</v>
      </c>
      <c r="U14536" s="18" t="s">
        <v>2275</v>
      </c>
      <c r="V14536" s="23">
        <v>90800000</v>
      </c>
    </row>
    <row r="14537" spans="20:22" x14ac:dyDescent="0.2">
      <c r="T14537">
        <v>70100614</v>
      </c>
      <c r="U14537" s="18" t="s">
        <v>2276</v>
      </c>
      <c r="V14537" s="23">
        <v>90800000</v>
      </c>
    </row>
    <row r="14538" spans="20:22" x14ac:dyDescent="0.2">
      <c r="T14538">
        <v>70100615</v>
      </c>
      <c r="U14538" s="18" t="s">
        <v>2277</v>
      </c>
      <c r="V14538" s="23">
        <v>90800000</v>
      </c>
    </row>
    <row r="14539" spans="20:22" x14ac:dyDescent="0.2">
      <c r="T14539">
        <v>70100616</v>
      </c>
      <c r="U14539" s="18" t="s">
        <v>2278</v>
      </c>
      <c r="V14539" s="23">
        <v>90800000</v>
      </c>
    </row>
    <row r="14540" spans="20:22" x14ac:dyDescent="0.2">
      <c r="T14540">
        <v>70100617</v>
      </c>
      <c r="U14540" s="18" t="s">
        <v>2279</v>
      </c>
      <c r="V14540" s="23">
        <v>90800000</v>
      </c>
    </row>
    <row r="14541" spans="20:22" x14ac:dyDescent="0.2">
      <c r="T14541">
        <v>70100618</v>
      </c>
      <c r="U14541" s="18" t="s">
        <v>2280</v>
      </c>
      <c r="V14541" s="23">
        <v>90800000</v>
      </c>
    </row>
    <row r="14542" spans="20:22" x14ac:dyDescent="0.2">
      <c r="T14542">
        <v>70100619</v>
      </c>
      <c r="U14542" s="18" t="s">
        <v>2281</v>
      </c>
      <c r="V14542" s="23">
        <v>158800000</v>
      </c>
    </row>
    <row r="14543" spans="20:22" x14ac:dyDescent="0.2">
      <c r="T14543">
        <v>70100620</v>
      </c>
      <c r="U14543" s="18" t="s">
        <v>2282</v>
      </c>
      <c r="V14543" s="23">
        <v>158800000</v>
      </c>
    </row>
    <row r="14544" spans="20:22" x14ac:dyDescent="0.2">
      <c r="T14544">
        <v>70100621</v>
      </c>
      <c r="U14544" s="18" t="s">
        <v>2283</v>
      </c>
      <c r="V14544" s="23">
        <v>158800000</v>
      </c>
    </row>
    <row r="14545" spans="20:22" x14ac:dyDescent="0.2">
      <c r="T14545">
        <v>70100622</v>
      </c>
      <c r="U14545" s="18" t="s">
        <v>2284</v>
      </c>
      <c r="V14545" s="23">
        <v>158800000</v>
      </c>
    </row>
    <row r="14546" spans="20:22" x14ac:dyDescent="0.2">
      <c r="T14546">
        <v>70100623</v>
      </c>
      <c r="U14546" s="18" t="s">
        <v>2285</v>
      </c>
      <c r="V14546" s="23">
        <v>158800000</v>
      </c>
    </row>
    <row r="14547" spans="20:22" x14ac:dyDescent="0.2">
      <c r="T14547">
        <v>70100624</v>
      </c>
      <c r="U14547" s="18" t="s">
        <v>2286</v>
      </c>
      <c r="V14547" s="23">
        <v>158800000</v>
      </c>
    </row>
    <row r="14548" spans="20:22" x14ac:dyDescent="0.2">
      <c r="T14548">
        <v>70100625</v>
      </c>
      <c r="U14548" s="18" t="s">
        <v>2287</v>
      </c>
      <c r="V14548" s="23">
        <v>158800000</v>
      </c>
    </row>
    <row r="14549" spans="20:22" x14ac:dyDescent="0.2">
      <c r="T14549">
        <v>70100626</v>
      </c>
      <c r="U14549" s="18" t="s">
        <v>2288</v>
      </c>
      <c r="V14549" s="23">
        <v>158800000</v>
      </c>
    </row>
    <row r="14550" spans="20:22" x14ac:dyDescent="0.2">
      <c r="T14550">
        <v>70100627</v>
      </c>
      <c r="U14550" s="18" t="s">
        <v>2289</v>
      </c>
      <c r="V14550" s="23">
        <v>181500000</v>
      </c>
    </row>
    <row r="14551" spans="20:22" x14ac:dyDescent="0.2">
      <c r="T14551">
        <v>70100628</v>
      </c>
      <c r="U14551" s="18" t="s">
        <v>2290</v>
      </c>
      <c r="V14551" s="23">
        <v>181500000</v>
      </c>
    </row>
    <row r="14552" spans="20:22" x14ac:dyDescent="0.2">
      <c r="T14552">
        <v>70100629</v>
      </c>
      <c r="U14552" s="18" t="s">
        <v>2291</v>
      </c>
      <c r="V14552" s="23">
        <v>181500000</v>
      </c>
    </row>
    <row r="14553" spans="20:22" x14ac:dyDescent="0.2">
      <c r="T14553">
        <v>70100630</v>
      </c>
      <c r="U14553" s="18" t="s">
        <v>2292</v>
      </c>
      <c r="V14553" s="23">
        <v>181500000</v>
      </c>
    </row>
    <row r="14554" spans="20:22" x14ac:dyDescent="0.2">
      <c r="T14554">
        <v>70100631</v>
      </c>
      <c r="U14554" s="18" t="s">
        <v>2293</v>
      </c>
      <c r="V14554" s="23">
        <v>181500000</v>
      </c>
    </row>
    <row r="14555" spans="20:22" x14ac:dyDescent="0.2">
      <c r="T14555">
        <v>70100632</v>
      </c>
      <c r="U14555" s="18" t="s">
        <v>2294</v>
      </c>
      <c r="V14555" s="23">
        <v>181500000</v>
      </c>
    </row>
    <row r="14556" spans="20:22" x14ac:dyDescent="0.2">
      <c r="T14556">
        <v>70100633</v>
      </c>
      <c r="U14556" s="18" t="s">
        <v>2295</v>
      </c>
      <c r="V14556" s="23">
        <v>181500000</v>
      </c>
    </row>
    <row r="14557" spans="20:22" x14ac:dyDescent="0.2">
      <c r="T14557">
        <v>70100634</v>
      </c>
      <c r="U14557" s="18" t="s">
        <v>2296</v>
      </c>
      <c r="V14557" s="23">
        <v>181500000</v>
      </c>
    </row>
    <row r="14558" spans="20:22" x14ac:dyDescent="0.2">
      <c r="T14558">
        <v>70100635</v>
      </c>
      <c r="U14558" s="18" t="s">
        <v>2297</v>
      </c>
      <c r="V14558" s="23">
        <v>181500000</v>
      </c>
    </row>
    <row r="14559" spans="20:22" x14ac:dyDescent="0.2">
      <c r="T14559">
        <v>70100636</v>
      </c>
      <c r="U14559" s="18" t="s">
        <v>2298</v>
      </c>
      <c r="V14559" s="23">
        <v>181500000</v>
      </c>
    </row>
    <row r="14560" spans="20:22" x14ac:dyDescent="0.2">
      <c r="T14560">
        <v>70100637</v>
      </c>
      <c r="U14560" s="18" t="s">
        <v>2299</v>
      </c>
      <c r="V14560" s="23">
        <v>181500000</v>
      </c>
    </row>
    <row r="14561" spans="20:22" x14ac:dyDescent="0.2">
      <c r="T14561">
        <v>70100638</v>
      </c>
      <c r="U14561" s="18" t="s">
        <v>2300</v>
      </c>
      <c r="V14561" s="23">
        <v>1520000</v>
      </c>
    </row>
    <row r="14562" spans="20:22" x14ac:dyDescent="0.2">
      <c r="T14562">
        <v>70100639</v>
      </c>
      <c r="U14562" s="18" t="s">
        <v>2301</v>
      </c>
      <c r="V14562" s="23">
        <v>1670000</v>
      </c>
    </row>
    <row r="14563" spans="20:22" x14ac:dyDescent="0.2">
      <c r="T14563">
        <v>70100640</v>
      </c>
      <c r="U14563" s="18" t="s">
        <v>2302</v>
      </c>
      <c r="V14563" s="23">
        <v>7570000</v>
      </c>
    </row>
    <row r="14564" spans="20:22" x14ac:dyDescent="0.2">
      <c r="T14564">
        <v>70100641</v>
      </c>
      <c r="U14564" s="18" t="s">
        <v>2303</v>
      </c>
      <c r="V14564" s="23">
        <v>8320000</v>
      </c>
    </row>
    <row r="14565" spans="20:22" x14ac:dyDescent="0.2">
      <c r="T14565">
        <v>70100642</v>
      </c>
      <c r="U14565" s="18" t="s">
        <v>2304</v>
      </c>
      <c r="V14565" s="23">
        <v>1520000</v>
      </c>
    </row>
    <row r="14566" spans="20:22" x14ac:dyDescent="0.2">
      <c r="T14566">
        <v>70100643</v>
      </c>
      <c r="U14566" s="18" t="s">
        <v>2305</v>
      </c>
      <c r="V14566" s="23">
        <v>1670000</v>
      </c>
    </row>
    <row r="14567" spans="20:22" x14ac:dyDescent="0.2">
      <c r="T14567">
        <v>70100644</v>
      </c>
      <c r="U14567" s="18" t="s">
        <v>2306</v>
      </c>
      <c r="V14567" s="23">
        <v>7570000</v>
      </c>
    </row>
    <row r="14568" spans="20:22" x14ac:dyDescent="0.2">
      <c r="T14568">
        <v>70100645</v>
      </c>
      <c r="U14568" s="18" t="s">
        <v>2307</v>
      </c>
      <c r="V14568" s="23">
        <v>8320000</v>
      </c>
    </row>
    <row r="14569" spans="20:22" x14ac:dyDescent="0.2">
      <c r="T14569">
        <v>70100646</v>
      </c>
      <c r="U14569" s="18" t="s">
        <v>2308</v>
      </c>
      <c r="V14569" s="23">
        <v>30300000</v>
      </c>
    </row>
    <row r="14570" spans="20:22" x14ac:dyDescent="0.2">
      <c r="T14570">
        <v>70100647</v>
      </c>
      <c r="U14570" s="18" t="s">
        <v>2309</v>
      </c>
      <c r="V14570" s="23">
        <v>33300000</v>
      </c>
    </row>
    <row r="14571" spans="20:22" x14ac:dyDescent="0.2">
      <c r="T14571">
        <v>70100648</v>
      </c>
      <c r="U14571" s="18" t="s">
        <v>2310</v>
      </c>
      <c r="V14571" s="23">
        <v>30300000</v>
      </c>
    </row>
    <row r="14572" spans="20:22" x14ac:dyDescent="0.2">
      <c r="T14572">
        <v>70100649</v>
      </c>
      <c r="U14572" s="18" t="s">
        <v>2311</v>
      </c>
      <c r="V14572" s="23">
        <v>33300000</v>
      </c>
    </row>
    <row r="14573" spans="20:22" x14ac:dyDescent="0.2">
      <c r="T14573">
        <v>70100650</v>
      </c>
      <c r="U14573" s="18" t="s">
        <v>2312</v>
      </c>
      <c r="V14573" s="23">
        <v>30300000</v>
      </c>
    </row>
    <row r="14574" spans="20:22" x14ac:dyDescent="0.2">
      <c r="T14574">
        <v>70100651</v>
      </c>
      <c r="U14574" s="18" t="s">
        <v>2313</v>
      </c>
      <c r="V14574" s="23">
        <v>33300000</v>
      </c>
    </row>
    <row r="14575" spans="20:22" x14ac:dyDescent="0.2">
      <c r="T14575">
        <v>70100652</v>
      </c>
      <c r="U14575" s="18" t="s">
        <v>2314</v>
      </c>
      <c r="V14575" s="23">
        <v>30300000</v>
      </c>
    </row>
    <row r="14576" spans="20:22" x14ac:dyDescent="0.2">
      <c r="T14576">
        <v>70100653</v>
      </c>
      <c r="U14576" s="18" t="s">
        <v>2315</v>
      </c>
      <c r="V14576" s="23">
        <v>33300000</v>
      </c>
    </row>
    <row r="14577" spans="20:22" x14ac:dyDescent="0.2">
      <c r="T14577">
        <v>70100654</v>
      </c>
      <c r="U14577" s="18" t="s">
        <v>2316</v>
      </c>
      <c r="V14577" s="23">
        <v>34800000</v>
      </c>
    </row>
    <row r="14578" spans="20:22" x14ac:dyDescent="0.2">
      <c r="T14578">
        <v>70100655</v>
      </c>
      <c r="U14578" s="18" t="s">
        <v>2317</v>
      </c>
      <c r="V14578" s="23">
        <v>37900000</v>
      </c>
    </row>
    <row r="14579" spans="20:22" x14ac:dyDescent="0.2">
      <c r="T14579">
        <v>70100656</v>
      </c>
      <c r="U14579" s="18" t="s">
        <v>2318</v>
      </c>
      <c r="V14579" s="23">
        <v>34800000</v>
      </c>
    </row>
    <row r="14580" spans="20:22" x14ac:dyDescent="0.2">
      <c r="T14580">
        <v>70100657</v>
      </c>
      <c r="U14580" s="18" t="s">
        <v>2319</v>
      </c>
      <c r="V14580" s="23">
        <v>37900000</v>
      </c>
    </row>
    <row r="14581" spans="20:22" x14ac:dyDescent="0.2">
      <c r="T14581">
        <v>70100658</v>
      </c>
      <c r="U14581" s="18" t="s">
        <v>2320</v>
      </c>
      <c r="V14581" s="23">
        <v>34800000</v>
      </c>
    </row>
    <row r="14582" spans="20:22" x14ac:dyDescent="0.2">
      <c r="T14582">
        <v>70100659</v>
      </c>
      <c r="U14582" s="18" t="s">
        <v>2321</v>
      </c>
      <c r="V14582" s="23">
        <v>37900000</v>
      </c>
    </row>
    <row r="14583" spans="20:22" x14ac:dyDescent="0.2">
      <c r="T14583">
        <v>70100660</v>
      </c>
      <c r="U14583" s="18" t="s">
        <v>2322</v>
      </c>
      <c r="V14583" s="23">
        <v>75700000</v>
      </c>
    </row>
    <row r="14584" spans="20:22" x14ac:dyDescent="0.2">
      <c r="T14584">
        <v>70100661</v>
      </c>
      <c r="U14584" s="18" t="s">
        <v>2323</v>
      </c>
      <c r="V14584" s="23">
        <v>83200000</v>
      </c>
    </row>
    <row r="14585" spans="20:22" x14ac:dyDescent="0.2">
      <c r="T14585">
        <v>70100662</v>
      </c>
      <c r="U14585" s="18" t="s">
        <v>2324</v>
      </c>
      <c r="V14585" s="23">
        <v>34800000</v>
      </c>
    </row>
    <row r="14586" spans="20:22" x14ac:dyDescent="0.2">
      <c r="T14586">
        <v>70100663</v>
      </c>
      <c r="U14586" s="18" t="s">
        <v>2325</v>
      </c>
      <c r="V14586" s="23">
        <v>37900000</v>
      </c>
    </row>
    <row r="14587" spans="20:22" x14ac:dyDescent="0.2">
      <c r="T14587">
        <v>70100664</v>
      </c>
      <c r="U14587" s="18" t="s">
        <v>2326</v>
      </c>
      <c r="V14587" s="23">
        <v>75700000</v>
      </c>
    </row>
    <row r="14588" spans="20:22" x14ac:dyDescent="0.2">
      <c r="T14588">
        <v>70100665</v>
      </c>
      <c r="U14588" s="18" t="s">
        <v>2327</v>
      </c>
      <c r="V14588" s="23">
        <v>83200000</v>
      </c>
    </row>
    <row r="14589" spans="20:22" x14ac:dyDescent="0.2">
      <c r="T14589">
        <v>70100666</v>
      </c>
      <c r="U14589" s="18" t="s">
        <v>2328</v>
      </c>
      <c r="V14589" s="23">
        <v>75700000</v>
      </c>
    </row>
    <row r="14590" spans="20:22" x14ac:dyDescent="0.2">
      <c r="T14590">
        <v>70100667</v>
      </c>
      <c r="U14590" s="18" t="s">
        <v>2329</v>
      </c>
      <c r="V14590" s="23">
        <v>83200000</v>
      </c>
    </row>
    <row r="14591" spans="20:22" x14ac:dyDescent="0.2">
      <c r="T14591">
        <v>70100668</v>
      </c>
      <c r="U14591" s="18" t="s">
        <v>2330</v>
      </c>
      <c r="V14591" s="23">
        <v>75700000</v>
      </c>
    </row>
    <row r="14592" spans="20:22" x14ac:dyDescent="0.2">
      <c r="T14592">
        <v>70100669</v>
      </c>
      <c r="U14592" s="18" t="s">
        <v>2331</v>
      </c>
      <c r="V14592" s="23">
        <v>83200000</v>
      </c>
    </row>
    <row r="14593" spans="20:22" x14ac:dyDescent="0.2">
      <c r="T14593">
        <v>70100670</v>
      </c>
      <c r="U14593" s="18" t="s">
        <v>2332</v>
      </c>
      <c r="V14593" s="23">
        <v>75700000</v>
      </c>
    </row>
    <row r="14594" spans="20:22" x14ac:dyDescent="0.2">
      <c r="T14594">
        <v>70100671</v>
      </c>
      <c r="U14594" s="18" t="s">
        <v>2333</v>
      </c>
      <c r="V14594" s="23">
        <v>83200000</v>
      </c>
    </row>
    <row r="14595" spans="20:22" x14ac:dyDescent="0.2">
      <c r="T14595">
        <v>70100672</v>
      </c>
      <c r="U14595" s="18" t="s">
        <v>2334</v>
      </c>
      <c r="V14595" s="23">
        <v>87000000</v>
      </c>
    </row>
    <row r="14596" spans="20:22" x14ac:dyDescent="0.2">
      <c r="T14596">
        <v>70100673</v>
      </c>
      <c r="U14596" s="18" t="s">
        <v>2335</v>
      </c>
      <c r="V14596" s="23">
        <v>94600000</v>
      </c>
    </row>
    <row r="14597" spans="20:22" x14ac:dyDescent="0.2">
      <c r="T14597">
        <v>70100674</v>
      </c>
      <c r="U14597" s="18" t="s">
        <v>2336</v>
      </c>
      <c r="V14597" s="23">
        <v>87000000</v>
      </c>
    </row>
    <row r="14598" spans="20:22" x14ac:dyDescent="0.2">
      <c r="T14598">
        <v>70100675</v>
      </c>
      <c r="U14598" s="18" t="s">
        <v>2337</v>
      </c>
      <c r="V14598" s="23">
        <v>94600000</v>
      </c>
    </row>
    <row r="14599" spans="20:22" x14ac:dyDescent="0.2">
      <c r="T14599">
        <v>70100676</v>
      </c>
      <c r="U14599" s="18" t="s">
        <v>2338</v>
      </c>
      <c r="V14599" s="23">
        <v>87000000</v>
      </c>
    </row>
    <row r="14600" spans="20:22" x14ac:dyDescent="0.2">
      <c r="T14600">
        <v>70100677</v>
      </c>
      <c r="U14600" s="18" t="s">
        <v>2339</v>
      </c>
      <c r="V14600" s="23">
        <v>94600000</v>
      </c>
    </row>
    <row r="14601" spans="20:22" x14ac:dyDescent="0.2">
      <c r="T14601">
        <v>70100678</v>
      </c>
      <c r="U14601" s="18" t="s">
        <v>2340</v>
      </c>
      <c r="V14601" s="23">
        <v>87000000</v>
      </c>
    </row>
    <row r="14602" spans="20:22" x14ac:dyDescent="0.2">
      <c r="T14602">
        <v>70100679</v>
      </c>
      <c r="U14602" s="18" t="s">
        <v>2341</v>
      </c>
      <c r="V14602" s="23">
        <v>94600000</v>
      </c>
    </row>
    <row r="14603" spans="20:22" x14ac:dyDescent="0.2">
      <c r="T14603">
        <v>70100680</v>
      </c>
      <c r="U14603" s="18" t="s">
        <v>2342</v>
      </c>
      <c r="V14603" s="23">
        <v>87000000</v>
      </c>
    </row>
    <row r="14604" spans="20:22" x14ac:dyDescent="0.2">
      <c r="T14604">
        <v>70100681</v>
      </c>
      <c r="U14604" s="18" t="s">
        <v>2343</v>
      </c>
      <c r="V14604" s="23">
        <v>94600000</v>
      </c>
    </row>
    <row r="14605" spans="20:22" x14ac:dyDescent="0.2">
      <c r="T14605">
        <v>70100682</v>
      </c>
      <c r="U14605" s="18" t="s">
        <v>2344</v>
      </c>
      <c r="V14605" s="23">
        <v>87000000</v>
      </c>
    </row>
    <row r="14606" spans="20:22" x14ac:dyDescent="0.2">
      <c r="T14606">
        <v>70100683</v>
      </c>
      <c r="U14606" s="18" t="s">
        <v>2345</v>
      </c>
      <c r="V14606" s="23">
        <v>94600000</v>
      </c>
    </row>
    <row r="14607" spans="20:22" x14ac:dyDescent="0.2">
      <c r="T14607">
        <v>70100684</v>
      </c>
      <c r="U14607" s="18" t="s">
        <v>2346</v>
      </c>
      <c r="V14607" s="23">
        <v>87000000</v>
      </c>
    </row>
    <row r="14608" spans="20:22" x14ac:dyDescent="0.2">
      <c r="T14608">
        <v>70100685</v>
      </c>
      <c r="U14608" s="18" t="s">
        <v>2347</v>
      </c>
      <c r="V14608" s="23">
        <v>94600000</v>
      </c>
    </row>
    <row r="14609" spans="20:22" x14ac:dyDescent="0.2">
      <c r="T14609">
        <v>70100686</v>
      </c>
      <c r="U14609" s="18" t="s">
        <v>2348</v>
      </c>
      <c r="V14609" s="23">
        <v>87000000</v>
      </c>
    </row>
    <row r="14610" spans="20:22" x14ac:dyDescent="0.2">
      <c r="T14610">
        <v>70100687</v>
      </c>
      <c r="U14610" s="18" t="s">
        <v>2349</v>
      </c>
      <c r="V14610" s="23">
        <v>94600000</v>
      </c>
    </row>
    <row r="14611" spans="20:22" x14ac:dyDescent="0.2">
      <c r="T14611">
        <v>70100688</v>
      </c>
      <c r="U14611" s="18" t="s">
        <v>2350</v>
      </c>
      <c r="V14611" s="23">
        <v>87000000</v>
      </c>
    </row>
    <row r="14612" spans="20:22" x14ac:dyDescent="0.2">
      <c r="T14612">
        <v>70100689</v>
      </c>
      <c r="U14612" s="18" t="s">
        <v>2351</v>
      </c>
      <c r="V14612" s="23">
        <v>94600000</v>
      </c>
    </row>
    <row r="14613" spans="20:22" x14ac:dyDescent="0.2">
      <c r="T14613">
        <v>70100690</v>
      </c>
      <c r="U14613" s="18" t="s">
        <v>2352</v>
      </c>
      <c r="V14613" s="23">
        <v>87000000</v>
      </c>
    </row>
    <row r="14614" spans="20:22" x14ac:dyDescent="0.2">
      <c r="T14614">
        <v>70100691</v>
      </c>
      <c r="U14614" s="18" t="s">
        <v>2353</v>
      </c>
      <c r="V14614" s="23">
        <v>94600000</v>
      </c>
    </row>
    <row r="14615" spans="20:22" x14ac:dyDescent="0.2">
      <c r="T14615">
        <v>70100692</v>
      </c>
      <c r="U14615" s="18" t="s">
        <v>2354</v>
      </c>
      <c r="V14615" s="23">
        <v>87000000</v>
      </c>
    </row>
    <row r="14616" spans="20:22" x14ac:dyDescent="0.2">
      <c r="T14616">
        <v>70100693</v>
      </c>
      <c r="U14616" s="18" t="s">
        <v>2355</v>
      </c>
      <c r="V14616" s="23">
        <v>94600000</v>
      </c>
    </row>
    <row r="14617" spans="20:22" x14ac:dyDescent="0.2">
      <c r="T14617">
        <v>70100694</v>
      </c>
      <c r="U14617" s="18" t="s">
        <v>2356</v>
      </c>
      <c r="V14617" s="23">
        <v>151300000</v>
      </c>
    </row>
    <row r="14618" spans="20:22" x14ac:dyDescent="0.2">
      <c r="T14618">
        <v>70100695</v>
      </c>
      <c r="U14618" s="18" t="s">
        <v>2357</v>
      </c>
      <c r="V14618" s="23">
        <v>166400000</v>
      </c>
    </row>
    <row r="14619" spans="20:22" x14ac:dyDescent="0.2">
      <c r="T14619">
        <v>70100696</v>
      </c>
      <c r="U14619" s="18" t="s">
        <v>2358</v>
      </c>
      <c r="V14619" s="23">
        <v>151300000</v>
      </c>
    </row>
    <row r="14620" spans="20:22" x14ac:dyDescent="0.2">
      <c r="T14620">
        <v>70100697</v>
      </c>
      <c r="U14620" s="18" t="s">
        <v>2359</v>
      </c>
      <c r="V14620" s="23">
        <v>166400000</v>
      </c>
    </row>
    <row r="14621" spans="20:22" x14ac:dyDescent="0.2">
      <c r="T14621">
        <v>70100698</v>
      </c>
      <c r="U14621" s="18" t="s">
        <v>2360</v>
      </c>
      <c r="V14621" s="23">
        <v>151300000</v>
      </c>
    </row>
    <row r="14622" spans="20:22" x14ac:dyDescent="0.2">
      <c r="T14622">
        <v>70100699</v>
      </c>
      <c r="U14622" s="18" t="s">
        <v>2361</v>
      </c>
      <c r="V14622" s="23">
        <v>166400000</v>
      </c>
    </row>
    <row r="14623" spans="20:22" x14ac:dyDescent="0.2">
      <c r="T14623">
        <v>70100700</v>
      </c>
      <c r="U14623" s="18" t="s">
        <v>2362</v>
      </c>
      <c r="V14623" s="23">
        <v>151300000</v>
      </c>
    </row>
    <row r="14624" spans="20:22" x14ac:dyDescent="0.2">
      <c r="T14624">
        <v>70100701</v>
      </c>
      <c r="U14624" s="18" t="s">
        <v>2363</v>
      </c>
      <c r="V14624" s="23">
        <v>166400000</v>
      </c>
    </row>
    <row r="14625" spans="20:22" x14ac:dyDescent="0.2">
      <c r="T14625">
        <v>70100702</v>
      </c>
      <c r="U14625" s="18" t="s">
        <v>2364</v>
      </c>
      <c r="V14625" s="23">
        <v>151300000</v>
      </c>
    </row>
    <row r="14626" spans="20:22" x14ac:dyDescent="0.2">
      <c r="T14626">
        <v>70100703</v>
      </c>
      <c r="U14626" s="18" t="s">
        <v>2365</v>
      </c>
      <c r="V14626" s="23">
        <v>166400000</v>
      </c>
    </row>
    <row r="14627" spans="20:22" x14ac:dyDescent="0.2">
      <c r="T14627">
        <v>70100704</v>
      </c>
      <c r="U14627" s="18" t="s">
        <v>2366</v>
      </c>
      <c r="V14627" s="23">
        <v>151300000</v>
      </c>
    </row>
    <row r="14628" spans="20:22" x14ac:dyDescent="0.2">
      <c r="T14628">
        <v>70100705</v>
      </c>
      <c r="U14628" s="18" t="s">
        <v>2367</v>
      </c>
      <c r="V14628" s="23">
        <v>166400000</v>
      </c>
    </row>
    <row r="14629" spans="20:22" x14ac:dyDescent="0.2">
      <c r="T14629">
        <v>70100706</v>
      </c>
      <c r="U14629" s="18" t="s">
        <v>2368</v>
      </c>
      <c r="V14629" s="23">
        <v>151300000</v>
      </c>
    </row>
    <row r="14630" spans="20:22" x14ac:dyDescent="0.2">
      <c r="T14630">
        <v>70100707</v>
      </c>
      <c r="U14630" s="18" t="s">
        <v>2369</v>
      </c>
      <c r="V14630" s="23">
        <v>166400000</v>
      </c>
    </row>
    <row r="14631" spans="20:22" x14ac:dyDescent="0.2">
      <c r="T14631">
        <v>70100708</v>
      </c>
      <c r="U14631" s="18" t="s">
        <v>2370</v>
      </c>
      <c r="V14631" s="23">
        <v>151300000</v>
      </c>
    </row>
    <row r="14632" spans="20:22" x14ac:dyDescent="0.2">
      <c r="T14632">
        <v>70100709</v>
      </c>
      <c r="U14632" s="18" t="s">
        <v>2371</v>
      </c>
      <c r="V14632" s="23">
        <v>166400000</v>
      </c>
    </row>
    <row r="14633" spans="20:22" x14ac:dyDescent="0.2">
      <c r="T14633">
        <v>70100710</v>
      </c>
      <c r="U14633" s="18" t="s">
        <v>2372</v>
      </c>
      <c r="V14633" s="23">
        <v>173900000</v>
      </c>
    </row>
    <row r="14634" spans="20:22" x14ac:dyDescent="0.2">
      <c r="T14634">
        <v>70100711</v>
      </c>
      <c r="U14634" s="18" t="s">
        <v>2373</v>
      </c>
      <c r="V14634" s="23">
        <v>189100000</v>
      </c>
    </row>
    <row r="14635" spans="20:22" x14ac:dyDescent="0.2">
      <c r="T14635">
        <v>70100712</v>
      </c>
      <c r="U14635" s="18" t="s">
        <v>2374</v>
      </c>
      <c r="V14635" s="23">
        <v>173900000</v>
      </c>
    </row>
    <row r="14636" spans="20:22" x14ac:dyDescent="0.2">
      <c r="T14636">
        <v>70100713</v>
      </c>
      <c r="U14636" s="18" t="s">
        <v>2375</v>
      </c>
      <c r="V14636" s="23">
        <v>189100000</v>
      </c>
    </row>
    <row r="14637" spans="20:22" x14ac:dyDescent="0.2">
      <c r="T14637">
        <v>70100714</v>
      </c>
      <c r="U14637" s="18" t="s">
        <v>2376</v>
      </c>
      <c r="V14637" s="23">
        <v>173900000</v>
      </c>
    </row>
    <row r="14638" spans="20:22" x14ac:dyDescent="0.2">
      <c r="T14638">
        <v>70100715</v>
      </c>
      <c r="U14638" s="18" t="s">
        <v>2377</v>
      </c>
      <c r="V14638" s="23">
        <v>189100000</v>
      </c>
    </row>
    <row r="14639" spans="20:22" x14ac:dyDescent="0.2">
      <c r="T14639">
        <v>70100716</v>
      </c>
      <c r="U14639" s="18" t="s">
        <v>2378</v>
      </c>
      <c r="V14639" s="23">
        <v>173900000</v>
      </c>
    </row>
    <row r="14640" spans="20:22" x14ac:dyDescent="0.2">
      <c r="T14640">
        <v>70100717</v>
      </c>
      <c r="U14640" s="18" t="s">
        <v>2379</v>
      </c>
      <c r="V14640" s="23">
        <v>189100000</v>
      </c>
    </row>
    <row r="14641" spans="20:22" x14ac:dyDescent="0.2">
      <c r="T14641">
        <v>70100718</v>
      </c>
      <c r="U14641" s="18" t="s">
        <v>2380</v>
      </c>
      <c r="V14641" s="23">
        <v>173900000</v>
      </c>
    </row>
    <row r="14642" spans="20:22" x14ac:dyDescent="0.2">
      <c r="T14642">
        <v>70100719</v>
      </c>
      <c r="U14642" s="18" t="s">
        <v>2381</v>
      </c>
      <c r="V14642" s="23">
        <v>189100000</v>
      </c>
    </row>
    <row r="14643" spans="20:22" x14ac:dyDescent="0.2">
      <c r="T14643">
        <v>70100720</v>
      </c>
      <c r="U14643" s="18" t="s">
        <v>2382</v>
      </c>
      <c r="V14643" s="23">
        <v>173900000</v>
      </c>
    </row>
    <row r="14644" spans="20:22" x14ac:dyDescent="0.2">
      <c r="T14644">
        <v>70100721</v>
      </c>
      <c r="U14644" s="18" t="s">
        <v>2383</v>
      </c>
      <c r="V14644" s="23">
        <v>189100000</v>
      </c>
    </row>
    <row r="14645" spans="20:22" x14ac:dyDescent="0.2">
      <c r="T14645">
        <v>70100722</v>
      </c>
      <c r="U14645" s="18" t="s">
        <v>2384</v>
      </c>
      <c r="V14645" s="23">
        <v>173900000</v>
      </c>
    </row>
    <row r="14646" spans="20:22" x14ac:dyDescent="0.2">
      <c r="T14646">
        <v>70100723</v>
      </c>
      <c r="U14646" s="18" t="s">
        <v>2385</v>
      </c>
      <c r="V14646" s="23">
        <v>189100000</v>
      </c>
    </row>
    <row r="14647" spans="20:22" x14ac:dyDescent="0.2">
      <c r="T14647">
        <v>70100724</v>
      </c>
      <c r="U14647" s="18" t="s">
        <v>2386</v>
      </c>
      <c r="V14647" s="23">
        <v>173900000</v>
      </c>
    </row>
    <row r="14648" spans="20:22" x14ac:dyDescent="0.2">
      <c r="T14648">
        <v>70100725</v>
      </c>
      <c r="U14648" s="18" t="s">
        <v>2387</v>
      </c>
      <c r="V14648" s="23">
        <v>189100000</v>
      </c>
    </row>
    <row r="14649" spans="20:22" x14ac:dyDescent="0.2">
      <c r="T14649">
        <v>70100726</v>
      </c>
      <c r="U14649" s="18" t="s">
        <v>2388</v>
      </c>
      <c r="V14649" s="23">
        <v>173900000</v>
      </c>
    </row>
    <row r="14650" spans="20:22" x14ac:dyDescent="0.2">
      <c r="T14650">
        <v>70100727</v>
      </c>
      <c r="U14650" s="18" t="s">
        <v>2389</v>
      </c>
      <c r="V14650" s="23">
        <v>189100000</v>
      </c>
    </row>
    <row r="14651" spans="20:22" x14ac:dyDescent="0.2">
      <c r="T14651">
        <v>70100728</v>
      </c>
      <c r="U14651" s="18" t="s">
        <v>2390</v>
      </c>
      <c r="V14651" s="23">
        <v>173900000</v>
      </c>
    </row>
    <row r="14652" spans="20:22" x14ac:dyDescent="0.2">
      <c r="T14652">
        <v>70100729</v>
      </c>
      <c r="U14652" s="18" t="s">
        <v>2391</v>
      </c>
      <c r="V14652" s="23">
        <v>189100000</v>
      </c>
    </row>
    <row r="14653" spans="20:22" x14ac:dyDescent="0.2">
      <c r="T14653">
        <v>70100730</v>
      </c>
      <c r="U14653" s="18" t="s">
        <v>2392</v>
      </c>
      <c r="V14653" s="23">
        <v>173900000</v>
      </c>
    </row>
    <row r="14654" spans="20:22" x14ac:dyDescent="0.2">
      <c r="T14654">
        <v>70100731</v>
      </c>
      <c r="U14654" s="18" t="s">
        <v>2393</v>
      </c>
      <c r="V14654" s="23">
        <v>189100000</v>
      </c>
    </row>
    <row r="14655" spans="20:22" x14ac:dyDescent="0.2">
      <c r="T14655">
        <v>70100846</v>
      </c>
      <c r="U14655" s="18" t="s">
        <v>2394</v>
      </c>
      <c r="V14655" s="23">
        <v>303000</v>
      </c>
    </row>
    <row r="14656" spans="20:22" x14ac:dyDescent="0.2">
      <c r="T14656">
        <v>70100847</v>
      </c>
      <c r="U14656" s="18" t="s">
        <v>2395</v>
      </c>
      <c r="V14656" s="23">
        <v>303000</v>
      </c>
    </row>
    <row r="14657" spans="20:22" x14ac:dyDescent="0.2">
      <c r="T14657">
        <v>70100848</v>
      </c>
      <c r="U14657" s="18" t="s">
        <v>1212</v>
      </c>
      <c r="V14657" s="23">
        <v>303000</v>
      </c>
    </row>
    <row r="14658" spans="20:22" x14ac:dyDescent="0.2">
      <c r="T14658">
        <v>70100849</v>
      </c>
      <c r="U14658" s="18" t="s">
        <v>2396</v>
      </c>
      <c r="V14658" s="23">
        <v>319000</v>
      </c>
    </row>
    <row r="14659" spans="20:22" x14ac:dyDescent="0.2">
      <c r="T14659">
        <v>70100850</v>
      </c>
      <c r="U14659" s="18" t="s">
        <v>2397</v>
      </c>
      <c r="V14659" s="23">
        <v>319000</v>
      </c>
    </row>
    <row r="14660" spans="20:22" x14ac:dyDescent="0.2">
      <c r="T14660">
        <v>70100851</v>
      </c>
      <c r="U14660" s="18" t="s">
        <v>1213</v>
      </c>
      <c r="V14660" s="23">
        <v>334000</v>
      </c>
    </row>
    <row r="14661" spans="20:22" x14ac:dyDescent="0.2">
      <c r="T14661">
        <v>70100852</v>
      </c>
      <c r="U14661" s="18" t="s">
        <v>2398</v>
      </c>
      <c r="V14661" s="23">
        <v>334000</v>
      </c>
    </row>
    <row r="14662" spans="20:22" x14ac:dyDescent="0.2">
      <c r="T14662">
        <v>70100853</v>
      </c>
      <c r="U14662" s="18" t="s">
        <v>1214</v>
      </c>
      <c r="V14662" s="23">
        <v>334000</v>
      </c>
    </row>
    <row r="14663" spans="20:22" x14ac:dyDescent="0.2">
      <c r="T14663">
        <v>70100854</v>
      </c>
      <c r="U14663" s="18" t="s">
        <v>2399</v>
      </c>
      <c r="V14663" s="23">
        <v>334000</v>
      </c>
    </row>
    <row r="14664" spans="20:22" x14ac:dyDescent="0.2">
      <c r="T14664">
        <v>70100855</v>
      </c>
      <c r="U14664" s="18" t="s">
        <v>2400</v>
      </c>
      <c r="V14664" s="23">
        <v>1590000</v>
      </c>
    </row>
    <row r="14665" spans="20:22" x14ac:dyDescent="0.2">
      <c r="T14665">
        <v>70100856</v>
      </c>
      <c r="U14665" s="18" t="s">
        <v>1224</v>
      </c>
      <c r="V14665" s="23">
        <v>1590000</v>
      </c>
    </row>
    <row r="14666" spans="20:22" x14ac:dyDescent="0.2">
      <c r="T14666">
        <v>70100857</v>
      </c>
      <c r="U14666" s="18" t="s">
        <v>2401</v>
      </c>
      <c r="V14666" s="23">
        <v>1590000</v>
      </c>
    </row>
    <row r="14667" spans="20:22" x14ac:dyDescent="0.2">
      <c r="T14667">
        <v>70100858</v>
      </c>
      <c r="U14667" s="18" t="s">
        <v>1225</v>
      </c>
      <c r="V14667" s="23">
        <v>1590000</v>
      </c>
    </row>
    <row r="14668" spans="20:22" x14ac:dyDescent="0.2">
      <c r="T14668">
        <v>70100859</v>
      </c>
      <c r="U14668" s="18" t="s">
        <v>1226</v>
      </c>
      <c r="V14668" s="23">
        <v>1590000</v>
      </c>
    </row>
    <row r="14669" spans="20:22" x14ac:dyDescent="0.2">
      <c r="T14669">
        <v>70100860</v>
      </c>
      <c r="U14669" s="18" t="s">
        <v>2402</v>
      </c>
      <c r="V14669" s="23">
        <v>1590000</v>
      </c>
    </row>
    <row r="14670" spans="20:22" x14ac:dyDescent="0.2">
      <c r="T14670">
        <v>70100861</v>
      </c>
      <c r="U14670" s="18" t="s">
        <v>2403</v>
      </c>
      <c r="V14670" s="23">
        <v>1590000</v>
      </c>
    </row>
    <row r="14671" spans="20:22" x14ac:dyDescent="0.2">
      <c r="T14671">
        <v>70100862</v>
      </c>
      <c r="U14671" s="18" t="s">
        <v>1227</v>
      </c>
      <c r="V14671" s="23">
        <v>1590000</v>
      </c>
    </row>
    <row r="14672" spans="20:22" x14ac:dyDescent="0.2">
      <c r="T14672">
        <v>70100863</v>
      </c>
      <c r="U14672" s="18" t="s">
        <v>2404</v>
      </c>
      <c r="V14672" s="23">
        <v>1590000</v>
      </c>
    </row>
    <row r="14673" spans="20:22" x14ac:dyDescent="0.2">
      <c r="T14673">
        <v>70100864</v>
      </c>
      <c r="U14673" s="18" t="s">
        <v>1228</v>
      </c>
      <c r="V14673" s="23">
        <v>1590000</v>
      </c>
    </row>
    <row r="14674" spans="20:22" x14ac:dyDescent="0.2">
      <c r="T14674">
        <v>70100865</v>
      </c>
      <c r="U14674" s="18" t="s">
        <v>1229</v>
      </c>
      <c r="V14674" s="23">
        <v>1590000</v>
      </c>
    </row>
    <row r="14675" spans="20:22" x14ac:dyDescent="0.2">
      <c r="T14675">
        <v>70100866</v>
      </c>
      <c r="U14675" s="18" t="s">
        <v>2405</v>
      </c>
      <c r="V14675" s="23">
        <v>1590000</v>
      </c>
    </row>
    <row r="14676" spans="20:22" x14ac:dyDescent="0.2">
      <c r="T14676">
        <v>70100867</v>
      </c>
      <c r="U14676" s="18" t="s">
        <v>2406</v>
      </c>
      <c r="V14676" s="23">
        <v>7940000</v>
      </c>
    </row>
    <row r="14677" spans="20:22" x14ac:dyDescent="0.2">
      <c r="T14677">
        <v>70100868</v>
      </c>
      <c r="U14677" s="18" t="s">
        <v>1241</v>
      </c>
      <c r="V14677" s="23">
        <v>7940000</v>
      </c>
    </row>
    <row r="14678" spans="20:22" x14ac:dyDescent="0.2">
      <c r="T14678">
        <v>70100869</v>
      </c>
      <c r="U14678" s="18" t="s">
        <v>2407</v>
      </c>
      <c r="V14678" s="23">
        <v>7940000</v>
      </c>
    </row>
    <row r="14679" spans="20:22" x14ac:dyDescent="0.2">
      <c r="T14679">
        <v>70100870</v>
      </c>
      <c r="U14679" s="18" t="s">
        <v>1242</v>
      </c>
      <c r="V14679" s="23">
        <v>7940000</v>
      </c>
    </row>
    <row r="14680" spans="20:22" x14ac:dyDescent="0.2">
      <c r="T14680">
        <v>70100871</v>
      </c>
      <c r="U14680" s="18" t="s">
        <v>2408</v>
      </c>
      <c r="V14680" s="23">
        <v>7940000</v>
      </c>
    </row>
    <row r="14681" spans="20:22" x14ac:dyDescent="0.2">
      <c r="T14681">
        <v>70100872</v>
      </c>
      <c r="U14681" s="18" t="s">
        <v>2409</v>
      </c>
      <c r="V14681" s="23">
        <v>158800000</v>
      </c>
    </row>
    <row r="14682" spans="20:22" x14ac:dyDescent="0.2">
      <c r="T14682">
        <v>70100873</v>
      </c>
      <c r="U14682" s="18" t="s">
        <v>1243</v>
      </c>
      <c r="V14682" s="23">
        <v>7940000</v>
      </c>
    </row>
    <row r="14683" spans="20:22" x14ac:dyDescent="0.2">
      <c r="T14683">
        <v>70100874</v>
      </c>
      <c r="U14683" s="18" t="s">
        <v>1244</v>
      </c>
      <c r="V14683" s="23">
        <v>7940000</v>
      </c>
    </row>
    <row r="14684" spans="20:22" x14ac:dyDescent="0.2">
      <c r="T14684">
        <v>70100875</v>
      </c>
      <c r="U14684" s="18" t="s">
        <v>1245</v>
      </c>
      <c r="V14684" s="23">
        <v>7940000</v>
      </c>
    </row>
    <row r="14685" spans="20:22" x14ac:dyDescent="0.2">
      <c r="T14685">
        <v>70100876</v>
      </c>
      <c r="U14685" s="18" t="s">
        <v>1246</v>
      </c>
      <c r="V14685" s="23">
        <v>7940000</v>
      </c>
    </row>
    <row r="14686" spans="20:22" x14ac:dyDescent="0.2">
      <c r="T14686">
        <v>70100877</v>
      </c>
      <c r="U14686" s="18" t="s">
        <v>1247</v>
      </c>
      <c r="V14686" s="23">
        <v>7940000</v>
      </c>
    </row>
    <row r="14687" spans="20:22" x14ac:dyDescent="0.2">
      <c r="T14687">
        <v>70100878</v>
      </c>
      <c r="U14687" s="18" t="s">
        <v>2410</v>
      </c>
      <c r="V14687" s="23">
        <v>181500000</v>
      </c>
    </row>
    <row r="14688" spans="20:22" x14ac:dyDescent="0.2">
      <c r="T14688">
        <v>70100879</v>
      </c>
      <c r="U14688" s="18" t="s">
        <v>2411</v>
      </c>
      <c r="V14688" s="23">
        <v>31800000</v>
      </c>
    </row>
    <row r="14689" spans="20:22" x14ac:dyDescent="0.2">
      <c r="T14689">
        <v>70100880</v>
      </c>
      <c r="U14689" s="18" t="s">
        <v>2412</v>
      </c>
      <c r="V14689" s="23">
        <v>31800000</v>
      </c>
    </row>
    <row r="14690" spans="20:22" x14ac:dyDescent="0.2">
      <c r="T14690">
        <v>70100881</v>
      </c>
      <c r="U14690" s="18" t="s">
        <v>2413</v>
      </c>
      <c r="V14690" s="23">
        <v>31800000</v>
      </c>
    </row>
    <row r="14691" spans="20:22" x14ac:dyDescent="0.2">
      <c r="T14691">
        <v>70100882</v>
      </c>
      <c r="U14691" s="18" t="s">
        <v>2414</v>
      </c>
      <c r="V14691" s="23">
        <v>31800000</v>
      </c>
    </row>
    <row r="14692" spans="20:22" x14ac:dyDescent="0.2">
      <c r="T14692">
        <v>70100883</v>
      </c>
      <c r="U14692" s="18" t="s">
        <v>2415</v>
      </c>
      <c r="V14692" s="23">
        <v>31800000</v>
      </c>
    </row>
    <row r="14693" spans="20:22" x14ac:dyDescent="0.2">
      <c r="T14693">
        <v>70100884</v>
      </c>
      <c r="U14693" s="18" t="s">
        <v>2416</v>
      </c>
      <c r="V14693" s="23">
        <v>31800000</v>
      </c>
    </row>
    <row r="14694" spans="20:22" x14ac:dyDescent="0.2">
      <c r="T14694">
        <v>70100885</v>
      </c>
      <c r="U14694" s="18" t="s">
        <v>2417</v>
      </c>
      <c r="V14694" s="23">
        <v>31800000</v>
      </c>
    </row>
    <row r="14695" spans="20:22" x14ac:dyDescent="0.2">
      <c r="T14695">
        <v>70100886</v>
      </c>
      <c r="U14695" s="18" t="s">
        <v>2418</v>
      </c>
      <c r="V14695" s="23">
        <v>31800000</v>
      </c>
    </row>
    <row r="14696" spans="20:22" x14ac:dyDescent="0.2">
      <c r="T14696">
        <v>70100887</v>
      </c>
      <c r="U14696" s="18" t="s">
        <v>2419</v>
      </c>
      <c r="V14696" s="23">
        <v>31800000</v>
      </c>
    </row>
    <row r="14697" spans="20:22" x14ac:dyDescent="0.2">
      <c r="T14697">
        <v>70100888</v>
      </c>
      <c r="U14697" s="18" t="s">
        <v>2420</v>
      </c>
      <c r="V14697" s="23">
        <v>31800000</v>
      </c>
    </row>
    <row r="14698" spans="20:22" x14ac:dyDescent="0.2">
      <c r="T14698">
        <v>70100889</v>
      </c>
      <c r="U14698" s="18" t="s">
        <v>2421</v>
      </c>
      <c r="V14698" s="23">
        <v>31800000</v>
      </c>
    </row>
    <row r="14699" spans="20:22" x14ac:dyDescent="0.2">
      <c r="T14699">
        <v>70100890</v>
      </c>
      <c r="U14699" s="18" t="s">
        <v>2422</v>
      </c>
      <c r="V14699" s="23">
        <v>31800000</v>
      </c>
    </row>
    <row r="14700" spans="20:22" x14ac:dyDescent="0.2">
      <c r="T14700">
        <v>70100891</v>
      </c>
      <c r="U14700" s="18" t="s">
        <v>2423</v>
      </c>
      <c r="V14700" s="23">
        <v>31800000</v>
      </c>
    </row>
    <row r="14701" spans="20:22" x14ac:dyDescent="0.2">
      <c r="T14701">
        <v>70100892</v>
      </c>
      <c r="U14701" s="18" t="s">
        <v>2424</v>
      </c>
      <c r="V14701" s="23">
        <v>31800000</v>
      </c>
    </row>
    <row r="14702" spans="20:22" x14ac:dyDescent="0.2">
      <c r="T14702">
        <v>70100893</v>
      </c>
      <c r="U14702" s="18" t="s">
        <v>2425</v>
      </c>
      <c r="V14702" s="23">
        <v>31800000</v>
      </c>
    </row>
    <row r="14703" spans="20:22" x14ac:dyDescent="0.2">
      <c r="T14703">
        <v>70100894</v>
      </c>
      <c r="U14703" s="18" t="s">
        <v>2426</v>
      </c>
      <c r="V14703" s="23">
        <v>31800000</v>
      </c>
    </row>
    <row r="14704" spans="20:22" x14ac:dyDescent="0.2">
      <c r="T14704">
        <v>70100895</v>
      </c>
      <c r="U14704" s="18" t="s">
        <v>2427</v>
      </c>
      <c r="V14704" s="23">
        <v>31800000</v>
      </c>
    </row>
    <row r="14705" spans="20:22" x14ac:dyDescent="0.2">
      <c r="T14705">
        <v>70100896</v>
      </c>
      <c r="U14705" s="18" t="s">
        <v>2428</v>
      </c>
      <c r="V14705" s="23">
        <v>31800000</v>
      </c>
    </row>
    <row r="14706" spans="20:22" x14ac:dyDescent="0.2">
      <c r="T14706">
        <v>70100897</v>
      </c>
      <c r="U14706" s="18" t="s">
        <v>2429</v>
      </c>
      <c r="V14706" s="23">
        <v>31800000</v>
      </c>
    </row>
    <row r="14707" spans="20:22" x14ac:dyDescent="0.2">
      <c r="T14707">
        <v>70100898</v>
      </c>
      <c r="U14707" s="18" t="s">
        <v>2430</v>
      </c>
      <c r="V14707" s="23">
        <v>31800000</v>
      </c>
    </row>
    <row r="14708" spans="20:22" x14ac:dyDescent="0.2">
      <c r="T14708">
        <v>70100899</v>
      </c>
      <c r="U14708" s="18" t="s">
        <v>2431</v>
      </c>
      <c r="V14708" s="23">
        <v>31800000</v>
      </c>
    </row>
    <row r="14709" spans="20:22" x14ac:dyDescent="0.2">
      <c r="T14709">
        <v>70100900</v>
      </c>
      <c r="U14709" s="18" t="s">
        <v>2432</v>
      </c>
      <c r="V14709" s="23">
        <v>31800000</v>
      </c>
    </row>
    <row r="14710" spans="20:22" x14ac:dyDescent="0.2">
      <c r="T14710">
        <v>70100901</v>
      </c>
      <c r="U14710" s="18" t="s">
        <v>2433</v>
      </c>
      <c r="V14710" s="23">
        <v>36300000</v>
      </c>
    </row>
    <row r="14711" spans="20:22" x14ac:dyDescent="0.2">
      <c r="T14711">
        <v>70100902</v>
      </c>
      <c r="U14711" s="18" t="s">
        <v>2434</v>
      </c>
      <c r="V14711" s="23">
        <v>36300000</v>
      </c>
    </row>
    <row r="14712" spans="20:22" x14ac:dyDescent="0.2">
      <c r="T14712">
        <v>70100903</v>
      </c>
      <c r="U14712" s="18" t="s">
        <v>2435</v>
      </c>
      <c r="V14712" s="23">
        <v>36300000</v>
      </c>
    </row>
    <row r="14713" spans="20:22" x14ac:dyDescent="0.2">
      <c r="T14713">
        <v>70100904</v>
      </c>
      <c r="U14713" s="18" t="s">
        <v>2436</v>
      </c>
      <c r="V14713" s="23">
        <v>36300000</v>
      </c>
    </row>
    <row r="14714" spans="20:22" x14ac:dyDescent="0.2">
      <c r="T14714">
        <v>70100905</v>
      </c>
      <c r="U14714" s="18" t="s">
        <v>2437</v>
      </c>
      <c r="V14714" s="23">
        <v>36300000</v>
      </c>
    </row>
    <row r="14715" spans="20:22" x14ac:dyDescent="0.2">
      <c r="T14715">
        <v>70100906</v>
      </c>
      <c r="U14715" s="18" t="s">
        <v>2438</v>
      </c>
      <c r="V14715" s="23">
        <v>36300000</v>
      </c>
    </row>
    <row r="14716" spans="20:22" x14ac:dyDescent="0.2">
      <c r="T14716">
        <v>70100907</v>
      </c>
      <c r="U14716" s="18" t="s">
        <v>2439</v>
      </c>
      <c r="V14716" s="23">
        <v>36300000</v>
      </c>
    </row>
    <row r="14717" spans="20:22" x14ac:dyDescent="0.2">
      <c r="T14717">
        <v>70100908</v>
      </c>
      <c r="U14717" s="18" t="s">
        <v>2440</v>
      </c>
      <c r="V14717" s="23">
        <v>36300000</v>
      </c>
    </row>
    <row r="14718" spans="20:22" x14ac:dyDescent="0.2">
      <c r="T14718">
        <v>70100909</v>
      </c>
      <c r="U14718" s="18" t="s">
        <v>2441</v>
      </c>
      <c r="V14718" s="23">
        <v>36300000</v>
      </c>
    </row>
    <row r="14719" spans="20:22" x14ac:dyDescent="0.2">
      <c r="T14719">
        <v>70100910</v>
      </c>
      <c r="U14719" s="18" t="s">
        <v>2442</v>
      </c>
      <c r="V14719" s="23">
        <v>36300000</v>
      </c>
    </row>
    <row r="14720" spans="20:22" x14ac:dyDescent="0.2">
      <c r="T14720">
        <v>70100911</v>
      </c>
      <c r="U14720" s="18" t="s">
        <v>2443</v>
      </c>
      <c r="V14720" s="23">
        <v>36300000</v>
      </c>
    </row>
    <row r="14721" spans="20:22" x14ac:dyDescent="0.2">
      <c r="T14721">
        <v>70100912</v>
      </c>
      <c r="U14721" s="18" t="s">
        <v>2444</v>
      </c>
      <c r="V14721" s="23">
        <v>36300000</v>
      </c>
    </row>
    <row r="14722" spans="20:22" x14ac:dyDescent="0.2">
      <c r="T14722">
        <v>70100913</v>
      </c>
      <c r="U14722" s="18" t="s">
        <v>2445</v>
      </c>
      <c r="V14722" s="23">
        <v>36300000</v>
      </c>
    </row>
    <row r="14723" spans="20:22" x14ac:dyDescent="0.2">
      <c r="T14723">
        <v>70100914</v>
      </c>
      <c r="U14723" s="18" t="s">
        <v>2446</v>
      </c>
      <c r="V14723" s="23">
        <v>36300000</v>
      </c>
    </row>
    <row r="14724" spans="20:22" x14ac:dyDescent="0.2">
      <c r="T14724">
        <v>70100915</v>
      </c>
      <c r="U14724" s="18" t="s">
        <v>2447</v>
      </c>
      <c r="V14724" s="23">
        <v>36300000</v>
      </c>
    </row>
    <row r="14725" spans="20:22" x14ac:dyDescent="0.2">
      <c r="T14725">
        <v>70100916</v>
      </c>
      <c r="U14725" s="18" t="s">
        <v>2448</v>
      </c>
      <c r="V14725" s="23">
        <v>36300000</v>
      </c>
    </row>
    <row r="14726" spans="20:22" x14ac:dyDescent="0.2">
      <c r="T14726">
        <v>70100917</v>
      </c>
      <c r="U14726" s="18" t="s">
        <v>2449</v>
      </c>
      <c r="V14726" s="23">
        <v>36300000</v>
      </c>
    </row>
    <row r="14727" spans="20:22" x14ac:dyDescent="0.2">
      <c r="T14727">
        <v>70100918</v>
      </c>
      <c r="U14727" s="18" t="s">
        <v>2450</v>
      </c>
      <c r="V14727" s="23">
        <v>36300000</v>
      </c>
    </row>
    <row r="14728" spans="20:22" x14ac:dyDescent="0.2">
      <c r="T14728">
        <v>70100919</v>
      </c>
      <c r="U14728" s="18" t="s">
        <v>2451</v>
      </c>
      <c r="V14728" s="23">
        <v>36300000</v>
      </c>
    </row>
    <row r="14729" spans="20:22" x14ac:dyDescent="0.2">
      <c r="T14729">
        <v>70100920</v>
      </c>
      <c r="U14729" s="18" t="s">
        <v>2452</v>
      </c>
      <c r="V14729" s="23">
        <v>36300000</v>
      </c>
    </row>
    <row r="14730" spans="20:22" x14ac:dyDescent="0.2">
      <c r="T14730">
        <v>70100921</v>
      </c>
      <c r="U14730" s="18" t="s">
        <v>2453</v>
      </c>
      <c r="V14730" s="23">
        <v>36300000</v>
      </c>
    </row>
    <row r="14731" spans="20:22" x14ac:dyDescent="0.2">
      <c r="T14731">
        <v>70100922</v>
      </c>
      <c r="U14731" s="18" t="s">
        <v>2454</v>
      </c>
      <c r="V14731" s="23">
        <v>36300000</v>
      </c>
    </row>
    <row r="14732" spans="20:22" x14ac:dyDescent="0.2">
      <c r="T14732">
        <v>70100923</v>
      </c>
      <c r="U14732" s="18" t="s">
        <v>2455</v>
      </c>
      <c r="V14732" s="23">
        <v>79400000</v>
      </c>
    </row>
    <row r="14733" spans="20:22" x14ac:dyDescent="0.2">
      <c r="T14733">
        <v>70100924</v>
      </c>
      <c r="U14733" s="18" t="s">
        <v>2456</v>
      </c>
      <c r="V14733" s="23">
        <v>79400000</v>
      </c>
    </row>
    <row r="14734" spans="20:22" x14ac:dyDescent="0.2">
      <c r="T14734">
        <v>70100925</v>
      </c>
      <c r="U14734" s="18" t="s">
        <v>2457</v>
      </c>
      <c r="V14734" s="23">
        <v>79400000</v>
      </c>
    </row>
    <row r="14735" spans="20:22" x14ac:dyDescent="0.2">
      <c r="T14735">
        <v>70100926</v>
      </c>
      <c r="U14735" s="18" t="s">
        <v>2458</v>
      </c>
      <c r="V14735" s="23">
        <v>79400000</v>
      </c>
    </row>
    <row r="14736" spans="20:22" x14ac:dyDescent="0.2">
      <c r="T14736">
        <v>70100927</v>
      </c>
      <c r="U14736" s="18" t="s">
        <v>2459</v>
      </c>
      <c r="V14736" s="23">
        <v>79400000</v>
      </c>
    </row>
    <row r="14737" spans="20:22" x14ac:dyDescent="0.2">
      <c r="T14737">
        <v>70100928</v>
      </c>
      <c r="U14737" s="18" t="s">
        <v>2460</v>
      </c>
      <c r="V14737" s="23">
        <v>79400000</v>
      </c>
    </row>
    <row r="14738" spans="20:22" x14ac:dyDescent="0.2">
      <c r="T14738">
        <v>70100929</v>
      </c>
      <c r="U14738" s="18" t="s">
        <v>2461</v>
      </c>
      <c r="V14738" s="23">
        <v>79400000</v>
      </c>
    </row>
    <row r="14739" spans="20:22" x14ac:dyDescent="0.2">
      <c r="T14739">
        <v>70100930</v>
      </c>
      <c r="U14739" s="18" t="s">
        <v>2462</v>
      </c>
      <c r="V14739" s="23">
        <v>79400000</v>
      </c>
    </row>
    <row r="14740" spans="20:22" x14ac:dyDescent="0.2">
      <c r="T14740">
        <v>70100931</v>
      </c>
      <c r="U14740" s="18" t="s">
        <v>2463</v>
      </c>
      <c r="V14740" s="23">
        <v>79400000</v>
      </c>
    </row>
    <row r="14741" spans="20:22" x14ac:dyDescent="0.2">
      <c r="T14741">
        <v>70100932</v>
      </c>
      <c r="U14741" s="18" t="s">
        <v>2464</v>
      </c>
      <c r="V14741" s="23">
        <v>79400000</v>
      </c>
    </row>
    <row r="14742" spans="20:22" x14ac:dyDescent="0.2">
      <c r="T14742">
        <v>70100933</v>
      </c>
      <c r="U14742" s="18" t="s">
        <v>2465</v>
      </c>
      <c r="V14742" s="23">
        <v>79400000</v>
      </c>
    </row>
    <row r="14743" spans="20:22" x14ac:dyDescent="0.2">
      <c r="T14743">
        <v>70100934</v>
      </c>
      <c r="U14743" s="18" t="s">
        <v>2466</v>
      </c>
      <c r="V14743" s="23">
        <v>79400000</v>
      </c>
    </row>
    <row r="14744" spans="20:22" x14ac:dyDescent="0.2">
      <c r="T14744">
        <v>70100935</v>
      </c>
      <c r="U14744" s="18" t="s">
        <v>2467</v>
      </c>
      <c r="V14744" s="23">
        <v>79400000</v>
      </c>
    </row>
    <row r="14745" spans="20:22" x14ac:dyDescent="0.2">
      <c r="T14745">
        <v>70100936</v>
      </c>
      <c r="U14745" s="18" t="s">
        <v>2468</v>
      </c>
      <c r="V14745" s="23">
        <v>79400000</v>
      </c>
    </row>
    <row r="14746" spans="20:22" x14ac:dyDescent="0.2">
      <c r="T14746">
        <v>70100937</v>
      </c>
      <c r="U14746" s="18" t="s">
        <v>2469</v>
      </c>
      <c r="V14746" s="23">
        <v>79400000</v>
      </c>
    </row>
    <row r="14747" spans="20:22" x14ac:dyDescent="0.2">
      <c r="T14747">
        <v>70100938</v>
      </c>
      <c r="U14747" s="18" t="s">
        <v>2470</v>
      </c>
      <c r="V14747" s="23">
        <v>79400000</v>
      </c>
    </row>
    <row r="14748" spans="20:22" x14ac:dyDescent="0.2">
      <c r="T14748">
        <v>70100939</v>
      </c>
      <c r="U14748" s="18" t="s">
        <v>2471</v>
      </c>
      <c r="V14748" s="23">
        <v>79400000</v>
      </c>
    </row>
    <row r="14749" spans="20:22" x14ac:dyDescent="0.2">
      <c r="T14749">
        <v>70100940</v>
      </c>
      <c r="U14749" s="18" t="s">
        <v>2472</v>
      </c>
      <c r="V14749" s="23">
        <v>79400000</v>
      </c>
    </row>
    <row r="14750" spans="20:22" x14ac:dyDescent="0.2">
      <c r="T14750">
        <v>70100941</v>
      </c>
      <c r="U14750" s="18" t="s">
        <v>2473</v>
      </c>
      <c r="V14750" s="23">
        <v>79400000</v>
      </c>
    </row>
    <row r="14751" spans="20:22" x14ac:dyDescent="0.2">
      <c r="T14751">
        <v>70100942</v>
      </c>
      <c r="U14751" s="18" t="s">
        <v>2474</v>
      </c>
      <c r="V14751" s="23">
        <v>79400000</v>
      </c>
    </row>
    <row r="14752" spans="20:22" x14ac:dyDescent="0.2">
      <c r="T14752">
        <v>70100943</v>
      </c>
      <c r="U14752" s="18" t="s">
        <v>2475</v>
      </c>
      <c r="V14752" s="23">
        <v>79400000</v>
      </c>
    </row>
    <row r="14753" spans="20:22" x14ac:dyDescent="0.2">
      <c r="T14753">
        <v>70100944</v>
      </c>
      <c r="U14753" s="18" t="s">
        <v>2476</v>
      </c>
      <c r="V14753" s="23">
        <v>79400000</v>
      </c>
    </row>
    <row r="14754" spans="20:22" x14ac:dyDescent="0.2">
      <c r="T14754">
        <v>70100945</v>
      </c>
      <c r="U14754" s="18" t="s">
        <v>2477</v>
      </c>
      <c r="V14754" s="23">
        <v>90800000</v>
      </c>
    </row>
    <row r="14755" spans="20:22" x14ac:dyDescent="0.2">
      <c r="T14755">
        <v>70100946</v>
      </c>
      <c r="U14755" s="18" t="s">
        <v>2478</v>
      </c>
      <c r="V14755" s="23">
        <v>90800000</v>
      </c>
    </row>
    <row r="14756" spans="20:22" x14ac:dyDescent="0.2">
      <c r="T14756">
        <v>70100947</v>
      </c>
      <c r="U14756" s="18" t="s">
        <v>2479</v>
      </c>
      <c r="V14756" s="23">
        <v>90800000</v>
      </c>
    </row>
    <row r="14757" spans="20:22" x14ac:dyDescent="0.2">
      <c r="T14757">
        <v>70100948</v>
      </c>
      <c r="U14757" s="18" t="s">
        <v>2480</v>
      </c>
      <c r="V14757" s="23">
        <v>90800000</v>
      </c>
    </row>
    <row r="14758" spans="20:22" x14ac:dyDescent="0.2">
      <c r="T14758">
        <v>70100949</v>
      </c>
      <c r="U14758" s="18" t="s">
        <v>2481</v>
      </c>
      <c r="V14758" s="23">
        <v>90800000</v>
      </c>
    </row>
    <row r="14759" spans="20:22" x14ac:dyDescent="0.2">
      <c r="T14759">
        <v>70100950</v>
      </c>
      <c r="U14759" s="18" t="s">
        <v>2482</v>
      </c>
      <c r="V14759" s="23">
        <v>90800000</v>
      </c>
    </row>
    <row r="14760" spans="20:22" x14ac:dyDescent="0.2">
      <c r="T14760">
        <v>70100951</v>
      </c>
      <c r="U14760" s="18" t="s">
        <v>2483</v>
      </c>
      <c r="V14760" s="23">
        <v>90800000</v>
      </c>
    </row>
    <row r="14761" spans="20:22" x14ac:dyDescent="0.2">
      <c r="T14761">
        <v>70100952</v>
      </c>
      <c r="U14761" s="18" t="s">
        <v>2484</v>
      </c>
      <c r="V14761" s="23">
        <v>90800000</v>
      </c>
    </row>
    <row r="14762" spans="20:22" x14ac:dyDescent="0.2">
      <c r="T14762">
        <v>70100953</v>
      </c>
      <c r="U14762" s="18" t="s">
        <v>2485</v>
      </c>
      <c r="V14762" s="23">
        <v>90800000</v>
      </c>
    </row>
    <row r="14763" spans="20:22" x14ac:dyDescent="0.2">
      <c r="T14763">
        <v>70100954</v>
      </c>
      <c r="U14763" s="18" t="s">
        <v>2486</v>
      </c>
      <c r="V14763" s="23">
        <v>90800000</v>
      </c>
    </row>
    <row r="14764" spans="20:22" x14ac:dyDescent="0.2">
      <c r="T14764">
        <v>70100955</v>
      </c>
      <c r="U14764" s="18" t="s">
        <v>2487</v>
      </c>
      <c r="V14764" s="23">
        <v>90800000</v>
      </c>
    </row>
    <row r="14765" spans="20:22" x14ac:dyDescent="0.2">
      <c r="T14765">
        <v>70100956</v>
      </c>
      <c r="U14765" s="18" t="s">
        <v>2488</v>
      </c>
      <c r="V14765" s="23">
        <v>90800000</v>
      </c>
    </row>
    <row r="14766" spans="20:22" x14ac:dyDescent="0.2">
      <c r="T14766">
        <v>70100957</v>
      </c>
      <c r="U14766" s="18" t="s">
        <v>2489</v>
      </c>
      <c r="V14766" s="23">
        <v>90800000</v>
      </c>
    </row>
    <row r="14767" spans="20:22" x14ac:dyDescent="0.2">
      <c r="T14767">
        <v>70100958</v>
      </c>
      <c r="U14767" s="18" t="s">
        <v>2490</v>
      </c>
      <c r="V14767" s="23">
        <v>90800000</v>
      </c>
    </row>
    <row r="14768" spans="20:22" x14ac:dyDescent="0.2">
      <c r="T14768">
        <v>70100959</v>
      </c>
      <c r="U14768" s="18" t="s">
        <v>2491</v>
      </c>
      <c r="V14768" s="23">
        <v>90800000</v>
      </c>
    </row>
    <row r="14769" spans="20:22" x14ac:dyDescent="0.2">
      <c r="T14769">
        <v>70100960</v>
      </c>
      <c r="U14769" s="18" t="s">
        <v>2492</v>
      </c>
      <c r="V14769" s="23">
        <v>90800000</v>
      </c>
    </row>
    <row r="14770" spans="20:22" x14ac:dyDescent="0.2">
      <c r="T14770">
        <v>70100961</v>
      </c>
      <c r="U14770" s="18" t="s">
        <v>2493</v>
      </c>
      <c r="V14770" s="23">
        <v>90800000</v>
      </c>
    </row>
    <row r="14771" spans="20:22" x14ac:dyDescent="0.2">
      <c r="T14771">
        <v>70100962</v>
      </c>
      <c r="U14771" s="18" t="s">
        <v>2494</v>
      </c>
      <c r="V14771" s="23">
        <v>90800000</v>
      </c>
    </row>
    <row r="14772" spans="20:22" x14ac:dyDescent="0.2">
      <c r="T14772">
        <v>70100963</v>
      </c>
      <c r="U14772" s="18" t="s">
        <v>2495</v>
      </c>
      <c r="V14772" s="23">
        <v>90800000</v>
      </c>
    </row>
    <row r="14773" spans="20:22" x14ac:dyDescent="0.2">
      <c r="T14773">
        <v>70100964</v>
      </c>
      <c r="U14773" s="18" t="s">
        <v>2496</v>
      </c>
      <c r="V14773" s="23">
        <v>90800000</v>
      </c>
    </row>
    <row r="14774" spans="20:22" x14ac:dyDescent="0.2">
      <c r="T14774">
        <v>70100965</v>
      </c>
      <c r="U14774" s="18" t="s">
        <v>2497</v>
      </c>
      <c r="V14774" s="23">
        <v>90800000</v>
      </c>
    </row>
    <row r="14775" spans="20:22" x14ac:dyDescent="0.2">
      <c r="T14775">
        <v>70100966</v>
      </c>
      <c r="U14775" s="18" t="s">
        <v>2498</v>
      </c>
      <c r="V14775" s="23">
        <v>90800000</v>
      </c>
    </row>
    <row r="14776" spans="20:22" x14ac:dyDescent="0.2">
      <c r="T14776">
        <v>70100967</v>
      </c>
      <c r="U14776" s="18" t="s">
        <v>2499</v>
      </c>
      <c r="V14776" s="23">
        <v>158800000</v>
      </c>
    </row>
    <row r="14777" spans="20:22" x14ac:dyDescent="0.2">
      <c r="T14777">
        <v>70100968</v>
      </c>
      <c r="U14777" s="18" t="s">
        <v>2500</v>
      </c>
      <c r="V14777" s="23">
        <v>158800000</v>
      </c>
    </row>
    <row r="14778" spans="20:22" x14ac:dyDescent="0.2">
      <c r="T14778">
        <v>70100969</v>
      </c>
      <c r="U14778" s="18" t="s">
        <v>2501</v>
      </c>
      <c r="V14778" s="23">
        <v>158800000</v>
      </c>
    </row>
    <row r="14779" spans="20:22" x14ac:dyDescent="0.2">
      <c r="T14779">
        <v>70100970</v>
      </c>
      <c r="U14779" s="18" t="s">
        <v>2502</v>
      </c>
      <c r="V14779" s="23">
        <v>158800000</v>
      </c>
    </row>
    <row r="14780" spans="20:22" x14ac:dyDescent="0.2">
      <c r="T14780">
        <v>70100971</v>
      </c>
      <c r="U14780" s="18" t="s">
        <v>2503</v>
      </c>
      <c r="V14780" s="23">
        <v>158800000</v>
      </c>
    </row>
    <row r="14781" spans="20:22" x14ac:dyDescent="0.2">
      <c r="T14781">
        <v>70100972</v>
      </c>
      <c r="U14781" s="18" t="s">
        <v>2504</v>
      </c>
      <c r="V14781" s="23">
        <v>158800000</v>
      </c>
    </row>
    <row r="14782" spans="20:22" x14ac:dyDescent="0.2">
      <c r="T14782">
        <v>70100973</v>
      </c>
      <c r="U14782" s="18" t="s">
        <v>2505</v>
      </c>
      <c r="V14782" s="23">
        <v>158800000</v>
      </c>
    </row>
    <row r="14783" spans="20:22" x14ac:dyDescent="0.2">
      <c r="T14783">
        <v>70100974</v>
      </c>
      <c r="U14783" s="18" t="s">
        <v>2506</v>
      </c>
      <c r="V14783" s="23">
        <v>158800000</v>
      </c>
    </row>
    <row r="14784" spans="20:22" x14ac:dyDescent="0.2">
      <c r="T14784">
        <v>70100975</v>
      </c>
      <c r="U14784" s="18" t="s">
        <v>2507</v>
      </c>
      <c r="V14784" s="23">
        <v>158800000</v>
      </c>
    </row>
    <row r="14785" spans="20:22" x14ac:dyDescent="0.2">
      <c r="T14785">
        <v>70100976</v>
      </c>
      <c r="U14785" s="18" t="s">
        <v>2508</v>
      </c>
      <c r="V14785" s="23">
        <v>158800000</v>
      </c>
    </row>
    <row r="14786" spans="20:22" x14ac:dyDescent="0.2">
      <c r="T14786">
        <v>70100977</v>
      </c>
      <c r="U14786" s="18" t="s">
        <v>2509</v>
      </c>
      <c r="V14786" s="23">
        <v>158800000</v>
      </c>
    </row>
    <row r="14787" spans="20:22" x14ac:dyDescent="0.2">
      <c r="T14787">
        <v>70100978</v>
      </c>
      <c r="U14787" s="18" t="s">
        <v>2510</v>
      </c>
      <c r="V14787" s="23">
        <v>158800000</v>
      </c>
    </row>
    <row r="14788" spans="20:22" x14ac:dyDescent="0.2">
      <c r="T14788">
        <v>70100979</v>
      </c>
      <c r="U14788" s="18" t="s">
        <v>2511</v>
      </c>
      <c r="V14788" s="23">
        <v>158800000</v>
      </c>
    </row>
    <row r="14789" spans="20:22" x14ac:dyDescent="0.2">
      <c r="T14789">
        <v>70100980</v>
      </c>
      <c r="U14789" s="18" t="s">
        <v>2512</v>
      </c>
      <c r="V14789" s="23">
        <v>158800000</v>
      </c>
    </row>
    <row r="14790" spans="20:22" x14ac:dyDescent="0.2">
      <c r="T14790">
        <v>70100981</v>
      </c>
      <c r="U14790" s="18" t="s">
        <v>2513</v>
      </c>
      <c r="V14790" s="23">
        <v>158800000</v>
      </c>
    </row>
    <row r="14791" spans="20:22" x14ac:dyDescent="0.2">
      <c r="T14791">
        <v>70100982</v>
      </c>
      <c r="U14791" s="18" t="s">
        <v>2514</v>
      </c>
      <c r="V14791" s="23">
        <v>158800000</v>
      </c>
    </row>
    <row r="14792" spans="20:22" x14ac:dyDescent="0.2">
      <c r="T14792">
        <v>70100983</v>
      </c>
      <c r="U14792" s="18" t="s">
        <v>2515</v>
      </c>
      <c r="V14792" s="23">
        <v>158800000</v>
      </c>
    </row>
    <row r="14793" spans="20:22" x14ac:dyDescent="0.2">
      <c r="T14793">
        <v>70100984</v>
      </c>
      <c r="U14793" s="18" t="s">
        <v>2516</v>
      </c>
      <c r="V14793" s="23">
        <v>158800000</v>
      </c>
    </row>
    <row r="14794" spans="20:22" x14ac:dyDescent="0.2">
      <c r="T14794">
        <v>70100985</v>
      </c>
      <c r="U14794" s="18" t="s">
        <v>2517</v>
      </c>
      <c r="V14794" s="23">
        <v>158800000</v>
      </c>
    </row>
    <row r="14795" spans="20:22" x14ac:dyDescent="0.2">
      <c r="T14795">
        <v>70100986</v>
      </c>
      <c r="U14795" s="18" t="s">
        <v>2518</v>
      </c>
      <c r="V14795" s="23">
        <v>158800000</v>
      </c>
    </row>
    <row r="14796" spans="20:22" x14ac:dyDescent="0.2">
      <c r="T14796">
        <v>70100987</v>
      </c>
      <c r="U14796" s="18" t="s">
        <v>2519</v>
      </c>
      <c r="V14796" s="23">
        <v>158800000</v>
      </c>
    </row>
    <row r="14797" spans="20:22" x14ac:dyDescent="0.2">
      <c r="T14797">
        <v>70100988</v>
      </c>
      <c r="U14797" s="18" t="s">
        <v>2520</v>
      </c>
      <c r="V14797" s="23">
        <v>158800000</v>
      </c>
    </row>
    <row r="14798" spans="20:22" x14ac:dyDescent="0.2">
      <c r="T14798">
        <v>70100989</v>
      </c>
      <c r="U14798" s="18" t="s">
        <v>2521</v>
      </c>
      <c r="V14798" s="23">
        <v>158800000</v>
      </c>
    </row>
    <row r="14799" spans="20:22" x14ac:dyDescent="0.2">
      <c r="T14799">
        <v>70100990</v>
      </c>
      <c r="U14799" s="18" t="s">
        <v>2522</v>
      </c>
      <c r="V14799" s="23">
        <v>158800000</v>
      </c>
    </row>
    <row r="14800" spans="20:22" x14ac:dyDescent="0.2">
      <c r="T14800">
        <v>70101026</v>
      </c>
      <c r="U14800" s="18" t="s">
        <v>2523</v>
      </c>
      <c r="V14800" s="23">
        <v>1520000</v>
      </c>
    </row>
    <row r="14801" spans="20:22" x14ac:dyDescent="0.2">
      <c r="T14801">
        <v>70101027</v>
      </c>
      <c r="U14801" s="18" t="s">
        <v>2524</v>
      </c>
      <c r="V14801" s="23">
        <v>1670000</v>
      </c>
    </row>
    <row r="14802" spans="20:22" x14ac:dyDescent="0.2">
      <c r="T14802">
        <v>70101028</v>
      </c>
      <c r="U14802" s="18" t="s">
        <v>2525</v>
      </c>
      <c r="V14802" s="23">
        <v>1520000</v>
      </c>
    </row>
    <row r="14803" spans="20:22" x14ac:dyDescent="0.2">
      <c r="T14803">
        <v>70101029</v>
      </c>
      <c r="U14803" s="18" t="s">
        <v>2526</v>
      </c>
      <c r="V14803" s="23">
        <v>1670000</v>
      </c>
    </row>
    <row r="14804" spans="20:22" x14ac:dyDescent="0.2">
      <c r="T14804">
        <v>70101030</v>
      </c>
      <c r="U14804" s="18" t="s">
        <v>2527</v>
      </c>
      <c r="V14804" s="23">
        <v>1520000</v>
      </c>
    </row>
    <row r="14805" spans="20:22" x14ac:dyDescent="0.2">
      <c r="T14805">
        <v>70101031</v>
      </c>
      <c r="U14805" s="18" t="s">
        <v>2528</v>
      </c>
      <c r="V14805" s="23">
        <v>1670000</v>
      </c>
    </row>
    <row r="14806" spans="20:22" x14ac:dyDescent="0.2">
      <c r="T14806">
        <v>70101032</v>
      </c>
      <c r="U14806" s="18" t="s">
        <v>2529</v>
      </c>
      <c r="V14806" s="23">
        <v>1520000</v>
      </c>
    </row>
    <row r="14807" spans="20:22" x14ac:dyDescent="0.2">
      <c r="T14807">
        <v>70101033</v>
      </c>
      <c r="U14807" s="18" t="s">
        <v>2530</v>
      </c>
      <c r="V14807" s="23">
        <v>1670000</v>
      </c>
    </row>
    <row r="14808" spans="20:22" x14ac:dyDescent="0.2">
      <c r="T14808">
        <v>70101034</v>
      </c>
      <c r="U14808" s="18" t="s">
        <v>2531</v>
      </c>
      <c r="V14808" s="23">
        <v>1520000</v>
      </c>
    </row>
    <row r="14809" spans="20:22" x14ac:dyDescent="0.2">
      <c r="T14809">
        <v>70101035</v>
      </c>
      <c r="U14809" s="18" t="s">
        <v>2532</v>
      </c>
      <c r="V14809" s="23">
        <v>1670000</v>
      </c>
    </row>
    <row r="14810" spans="20:22" x14ac:dyDescent="0.2">
      <c r="T14810">
        <v>70101036</v>
      </c>
      <c r="U14810" s="18" t="s">
        <v>2533</v>
      </c>
      <c r="V14810" s="23">
        <v>1520000</v>
      </c>
    </row>
    <row r="14811" spans="20:22" x14ac:dyDescent="0.2">
      <c r="T14811">
        <v>70101037</v>
      </c>
      <c r="U14811" s="18" t="s">
        <v>2534</v>
      </c>
      <c r="V14811" s="23">
        <v>1670000</v>
      </c>
    </row>
    <row r="14812" spans="20:22" x14ac:dyDescent="0.2">
      <c r="T14812">
        <v>70101038</v>
      </c>
      <c r="U14812" s="18" t="s">
        <v>2535</v>
      </c>
      <c r="V14812" s="23">
        <v>1520000</v>
      </c>
    </row>
    <row r="14813" spans="20:22" x14ac:dyDescent="0.2">
      <c r="T14813">
        <v>70101039</v>
      </c>
      <c r="U14813" s="18" t="s">
        <v>2536</v>
      </c>
      <c r="V14813" s="23">
        <v>1670000</v>
      </c>
    </row>
    <row r="14814" spans="20:22" x14ac:dyDescent="0.2">
      <c r="T14814">
        <v>70101040</v>
      </c>
      <c r="U14814" s="18" t="s">
        <v>2537</v>
      </c>
      <c r="V14814" s="23">
        <v>1520000</v>
      </c>
    </row>
    <row r="14815" spans="20:22" x14ac:dyDescent="0.2">
      <c r="T14815">
        <v>70101041</v>
      </c>
      <c r="U14815" s="18" t="s">
        <v>2538</v>
      </c>
      <c r="V14815" s="23">
        <v>1670000</v>
      </c>
    </row>
    <row r="14816" spans="20:22" x14ac:dyDescent="0.2">
      <c r="T14816">
        <v>70101042</v>
      </c>
      <c r="U14816" s="18" t="s">
        <v>2539</v>
      </c>
      <c r="V14816" s="23">
        <v>1520000</v>
      </c>
    </row>
    <row r="14817" spans="20:22" x14ac:dyDescent="0.2">
      <c r="T14817">
        <v>70101043</v>
      </c>
      <c r="U14817" s="18" t="s">
        <v>2540</v>
      </c>
      <c r="V14817" s="23">
        <v>1670000</v>
      </c>
    </row>
    <row r="14818" spans="20:22" x14ac:dyDescent="0.2">
      <c r="T14818">
        <v>70101044</v>
      </c>
      <c r="U14818" s="18" t="s">
        <v>2541</v>
      </c>
      <c r="V14818" s="23">
        <v>1520000</v>
      </c>
    </row>
    <row r="14819" spans="20:22" x14ac:dyDescent="0.2">
      <c r="T14819">
        <v>70101045</v>
      </c>
      <c r="U14819" s="18" t="s">
        <v>2542</v>
      </c>
      <c r="V14819" s="23">
        <v>1670000</v>
      </c>
    </row>
    <row r="14820" spans="20:22" x14ac:dyDescent="0.2">
      <c r="T14820">
        <v>70101046</v>
      </c>
      <c r="U14820" s="18" t="s">
        <v>2543</v>
      </c>
      <c r="V14820" s="23">
        <v>1520000</v>
      </c>
    </row>
    <row r="14821" spans="20:22" x14ac:dyDescent="0.2">
      <c r="T14821">
        <v>70101047</v>
      </c>
      <c r="U14821" s="18" t="s">
        <v>2544</v>
      </c>
      <c r="V14821" s="23">
        <v>1670000</v>
      </c>
    </row>
    <row r="14822" spans="20:22" x14ac:dyDescent="0.2">
      <c r="T14822">
        <v>70101048</v>
      </c>
      <c r="U14822" s="18" t="s">
        <v>2545</v>
      </c>
      <c r="V14822" s="23">
        <v>1520000</v>
      </c>
    </row>
    <row r="14823" spans="20:22" x14ac:dyDescent="0.2">
      <c r="T14823">
        <v>70101049</v>
      </c>
      <c r="U14823" s="18" t="s">
        <v>2546</v>
      </c>
      <c r="V14823" s="23">
        <v>1670000</v>
      </c>
    </row>
    <row r="14824" spans="20:22" x14ac:dyDescent="0.2">
      <c r="T14824">
        <v>70101050</v>
      </c>
      <c r="U14824" s="18" t="s">
        <v>2547</v>
      </c>
      <c r="V14824" s="23">
        <v>7570000</v>
      </c>
    </row>
    <row r="14825" spans="20:22" x14ac:dyDescent="0.2">
      <c r="T14825">
        <v>70101051</v>
      </c>
      <c r="U14825" s="18" t="s">
        <v>2548</v>
      </c>
      <c r="V14825" s="23">
        <v>8320000</v>
      </c>
    </row>
    <row r="14826" spans="20:22" x14ac:dyDescent="0.2">
      <c r="T14826">
        <v>70101052</v>
      </c>
      <c r="U14826" s="18" t="s">
        <v>2549</v>
      </c>
      <c r="V14826" s="23">
        <v>7570000</v>
      </c>
    </row>
    <row r="14827" spans="20:22" x14ac:dyDescent="0.2">
      <c r="T14827">
        <v>70101053</v>
      </c>
      <c r="U14827" s="18" t="s">
        <v>2550</v>
      </c>
      <c r="V14827" s="23">
        <v>8320000</v>
      </c>
    </row>
    <row r="14828" spans="20:22" x14ac:dyDescent="0.2">
      <c r="T14828">
        <v>70101054</v>
      </c>
      <c r="U14828" s="18" t="s">
        <v>2551</v>
      </c>
      <c r="V14828" s="23">
        <v>7570000</v>
      </c>
    </row>
    <row r="14829" spans="20:22" x14ac:dyDescent="0.2">
      <c r="T14829">
        <v>70101055</v>
      </c>
      <c r="U14829" s="18" t="s">
        <v>2552</v>
      </c>
      <c r="V14829" s="23">
        <v>8320000</v>
      </c>
    </row>
    <row r="14830" spans="20:22" x14ac:dyDescent="0.2">
      <c r="T14830">
        <v>70101056</v>
      </c>
      <c r="U14830" s="18" t="s">
        <v>2553</v>
      </c>
      <c r="V14830" s="23">
        <v>7570000</v>
      </c>
    </row>
    <row r="14831" spans="20:22" x14ac:dyDescent="0.2">
      <c r="T14831">
        <v>70101057</v>
      </c>
      <c r="U14831" s="18" t="s">
        <v>2554</v>
      </c>
      <c r="V14831" s="23">
        <v>8320000</v>
      </c>
    </row>
    <row r="14832" spans="20:22" x14ac:dyDescent="0.2">
      <c r="T14832">
        <v>70101058</v>
      </c>
      <c r="U14832" s="18" t="s">
        <v>2555</v>
      </c>
      <c r="V14832" s="23">
        <v>7570000</v>
      </c>
    </row>
    <row r="14833" spans="20:22" x14ac:dyDescent="0.2">
      <c r="T14833">
        <v>70101059</v>
      </c>
      <c r="U14833" s="18" t="s">
        <v>2556</v>
      </c>
      <c r="V14833" s="23">
        <v>8320000</v>
      </c>
    </row>
    <row r="14834" spans="20:22" x14ac:dyDescent="0.2">
      <c r="T14834">
        <v>70101060</v>
      </c>
      <c r="U14834" s="18" t="s">
        <v>2557</v>
      </c>
      <c r="V14834" s="23">
        <v>151300000</v>
      </c>
    </row>
    <row r="14835" spans="20:22" x14ac:dyDescent="0.2">
      <c r="T14835">
        <v>70101061</v>
      </c>
      <c r="U14835" s="18" t="s">
        <v>2558</v>
      </c>
      <c r="V14835" s="23">
        <v>166400000</v>
      </c>
    </row>
    <row r="14836" spans="20:22" x14ac:dyDescent="0.2">
      <c r="T14836">
        <v>70101062</v>
      </c>
      <c r="U14836" s="18" t="s">
        <v>2559</v>
      </c>
      <c r="V14836" s="23">
        <v>7570000</v>
      </c>
    </row>
    <row r="14837" spans="20:22" x14ac:dyDescent="0.2">
      <c r="T14837">
        <v>70101063</v>
      </c>
      <c r="U14837" s="18" t="s">
        <v>2560</v>
      </c>
      <c r="V14837" s="23">
        <v>8320000</v>
      </c>
    </row>
    <row r="14838" spans="20:22" x14ac:dyDescent="0.2">
      <c r="T14838">
        <v>70101064</v>
      </c>
      <c r="U14838" s="18" t="s">
        <v>2561</v>
      </c>
      <c r="V14838" s="23">
        <v>7570000</v>
      </c>
    </row>
    <row r="14839" spans="20:22" x14ac:dyDescent="0.2">
      <c r="T14839">
        <v>70101065</v>
      </c>
      <c r="U14839" s="18" t="s">
        <v>2562</v>
      </c>
      <c r="V14839" s="23">
        <v>8320000</v>
      </c>
    </row>
    <row r="14840" spans="20:22" x14ac:dyDescent="0.2">
      <c r="T14840">
        <v>70101066</v>
      </c>
      <c r="U14840" s="18" t="s">
        <v>2563</v>
      </c>
      <c r="V14840" s="23">
        <v>7570000</v>
      </c>
    </row>
    <row r="14841" spans="20:22" x14ac:dyDescent="0.2">
      <c r="T14841">
        <v>70101067</v>
      </c>
      <c r="U14841" s="18" t="s">
        <v>2564</v>
      </c>
      <c r="V14841" s="23">
        <v>8320000</v>
      </c>
    </row>
    <row r="14842" spans="20:22" x14ac:dyDescent="0.2">
      <c r="T14842">
        <v>70101068</v>
      </c>
      <c r="U14842" s="18" t="s">
        <v>2565</v>
      </c>
      <c r="V14842" s="23">
        <v>7570000</v>
      </c>
    </row>
    <row r="14843" spans="20:22" x14ac:dyDescent="0.2">
      <c r="T14843">
        <v>70101069</v>
      </c>
      <c r="U14843" s="18" t="s">
        <v>2566</v>
      </c>
      <c r="V14843" s="23">
        <v>8320000</v>
      </c>
    </row>
    <row r="14844" spans="20:22" x14ac:dyDescent="0.2">
      <c r="T14844">
        <v>70101070</v>
      </c>
      <c r="U14844" s="18" t="s">
        <v>2567</v>
      </c>
      <c r="V14844" s="23">
        <v>7570000</v>
      </c>
    </row>
    <row r="14845" spans="20:22" x14ac:dyDescent="0.2">
      <c r="T14845">
        <v>70101071</v>
      </c>
      <c r="U14845" s="18" t="s">
        <v>2568</v>
      </c>
      <c r="V14845" s="23">
        <v>8320000</v>
      </c>
    </row>
    <row r="14846" spans="20:22" x14ac:dyDescent="0.2">
      <c r="T14846">
        <v>70101072</v>
      </c>
      <c r="U14846" s="18" t="s">
        <v>2569</v>
      </c>
      <c r="V14846" s="23">
        <v>173900000</v>
      </c>
    </row>
    <row r="14847" spans="20:22" x14ac:dyDescent="0.2">
      <c r="T14847">
        <v>70101073</v>
      </c>
      <c r="U14847" s="18" t="s">
        <v>2570</v>
      </c>
      <c r="V14847" s="23">
        <v>189100000</v>
      </c>
    </row>
    <row r="14848" spans="20:22" x14ac:dyDescent="0.2">
      <c r="T14848">
        <v>70101074</v>
      </c>
      <c r="U14848" s="18" t="s">
        <v>1262</v>
      </c>
      <c r="V14848" s="23">
        <v>30300000</v>
      </c>
    </row>
    <row r="14849" spans="20:22" x14ac:dyDescent="0.2">
      <c r="T14849">
        <v>70101075</v>
      </c>
      <c r="U14849" s="18" t="s">
        <v>2571</v>
      </c>
      <c r="V14849" s="23">
        <v>33300000</v>
      </c>
    </row>
    <row r="14850" spans="20:22" x14ac:dyDescent="0.2">
      <c r="T14850">
        <v>70101076</v>
      </c>
      <c r="U14850" s="18" t="s">
        <v>1263</v>
      </c>
      <c r="V14850" s="23">
        <v>30300000</v>
      </c>
    </row>
    <row r="14851" spans="20:22" x14ac:dyDescent="0.2">
      <c r="T14851">
        <v>70101077</v>
      </c>
      <c r="U14851" s="18" t="s">
        <v>2572</v>
      </c>
      <c r="V14851" s="23">
        <v>33300000</v>
      </c>
    </row>
    <row r="14852" spans="20:22" x14ac:dyDescent="0.2">
      <c r="T14852">
        <v>70101078</v>
      </c>
      <c r="U14852" s="18" t="s">
        <v>1264</v>
      </c>
      <c r="V14852" s="23">
        <v>30300000</v>
      </c>
    </row>
    <row r="14853" spans="20:22" x14ac:dyDescent="0.2">
      <c r="T14853">
        <v>70101079</v>
      </c>
      <c r="U14853" s="18" t="s">
        <v>2573</v>
      </c>
      <c r="V14853" s="23">
        <v>33300000</v>
      </c>
    </row>
    <row r="14854" spans="20:22" x14ac:dyDescent="0.2">
      <c r="T14854">
        <v>70101080</v>
      </c>
      <c r="U14854" s="18" t="s">
        <v>1265</v>
      </c>
      <c r="V14854" s="23">
        <v>30300000</v>
      </c>
    </row>
    <row r="14855" spans="20:22" x14ac:dyDescent="0.2">
      <c r="T14855">
        <v>70101081</v>
      </c>
      <c r="U14855" s="18" t="s">
        <v>2574</v>
      </c>
      <c r="V14855" s="23">
        <v>33300000</v>
      </c>
    </row>
    <row r="14856" spans="20:22" x14ac:dyDescent="0.2">
      <c r="T14856">
        <v>70101082</v>
      </c>
      <c r="U14856" s="18" t="s">
        <v>1266</v>
      </c>
      <c r="V14856" s="23">
        <v>30300000</v>
      </c>
    </row>
    <row r="14857" spans="20:22" x14ac:dyDescent="0.2">
      <c r="T14857">
        <v>70101083</v>
      </c>
      <c r="U14857" s="18" t="s">
        <v>2575</v>
      </c>
      <c r="V14857" s="23">
        <v>33300000</v>
      </c>
    </row>
    <row r="14858" spans="20:22" x14ac:dyDescent="0.2">
      <c r="T14858">
        <v>70101084</v>
      </c>
      <c r="U14858" s="18" t="s">
        <v>1267</v>
      </c>
      <c r="V14858" s="23">
        <v>30300000</v>
      </c>
    </row>
    <row r="14859" spans="20:22" x14ac:dyDescent="0.2">
      <c r="T14859">
        <v>70101085</v>
      </c>
      <c r="U14859" s="18" t="s">
        <v>2576</v>
      </c>
      <c r="V14859" s="23">
        <v>33300000</v>
      </c>
    </row>
    <row r="14860" spans="20:22" x14ac:dyDescent="0.2">
      <c r="T14860">
        <v>70101086</v>
      </c>
      <c r="U14860" s="18" t="s">
        <v>1268</v>
      </c>
      <c r="V14860" s="23">
        <v>30300000</v>
      </c>
    </row>
    <row r="14861" spans="20:22" x14ac:dyDescent="0.2">
      <c r="T14861">
        <v>70101087</v>
      </c>
      <c r="U14861" s="18" t="s">
        <v>2577</v>
      </c>
      <c r="V14861" s="23">
        <v>33300000</v>
      </c>
    </row>
    <row r="14862" spans="20:22" x14ac:dyDescent="0.2">
      <c r="T14862">
        <v>70101088</v>
      </c>
      <c r="U14862" s="18" t="s">
        <v>1269</v>
      </c>
      <c r="V14862" s="23">
        <v>30300000</v>
      </c>
    </row>
    <row r="14863" spans="20:22" x14ac:dyDescent="0.2">
      <c r="T14863">
        <v>70101089</v>
      </c>
      <c r="U14863" s="18" t="s">
        <v>2578</v>
      </c>
      <c r="V14863" s="23">
        <v>33300000</v>
      </c>
    </row>
    <row r="14864" spans="20:22" x14ac:dyDescent="0.2">
      <c r="T14864">
        <v>70101090</v>
      </c>
      <c r="U14864" s="18" t="s">
        <v>1270</v>
      </c>
      <c r="V14864" s="23">
        <v>30300000</v>
      </c>
    </row>
    <row r="14865" spans="20:22" x14ac:dyDescent="0.2">
      <c r="T14865">
        <v>70101091</v>
      </c>
      <c r="U14865" s="18" t="s">
        <v>2579</v>
      </c>
      <c r="V14865" s="23">
        <v>33300000</v>
      </c>
    </row>
    <row r="14866" spans="20:22" x14ac:dyDescent="0.2">
      <c r="T14866">
        <v>70101092</v>
      </c>
      <c r="U14866" s="18" t="s">
        <v>1271</v>
      </c>
      <c r="V14866" s="23">
        <v>30300000</v>
      </c>
    </row>
    <row r="14867" spans="20:22" x14ac:dyDescent="0.2">
      <c r="T14867">
        <v>70101093</v>
      </c>
      <c r="U14867" s="18" t="s">
        <v>2580</v>
      </c>
      <c r="V14867" s="23">
        <v>33300000</v>
      </c>
    </row>
    <row r="14868" spans="20:22" x14ac:dyDescent="0.2">
      <c r="T14868">
        <v>70101094</v>
      </c>
      <c r="U14868" s="18" t="s">
        <v>1272</v>
      </c>
      <c r="V14868" s="23">
        <v>30300000</v>
      </c>
    </row>
    <row r="14869" spans="20:22" x14ac:dyDescent="0.2">
      <c r="T14869">
        <v>70101095</v>
      </c>
      <c r="U14869" s="18" t="s">
        <v>2581</v>
      </c>
      <c r="V14869" s="23">
        <v>33300000</v>
      </c>
    </row>
    <row r="14870" spans="20:22" x14ac:dyDescent="0.2">
      <c r="T14870">
        <v>70101096</v>
      </c>
      <c r="U14870" s="18" t="s">
        <v>1273</v>
      </c>
      <c r="V14870" s="23">
        <v>30300000</v>
      </c>
    </row>
    <row r="14871" spans="20:22" x14ac:dyDescent="0.2">
      <c r="T14871">
        <v>70101097</v>
      </c>
      <c r="U14871" s="18" t="s">
        <v>2582</v>
      </c>
      <c r="V14871" s="23">
        <v>33300000</v>
      </c>
    </row>
    <row r="14872" spans="20:22" x14ac:dyDescent="0.2">
      <c r="T14872">
        <v>70101098</v>
      </c>
      <c r="U14872" s="18" t="s">
        <v>1274</v>
      </c>
      <c r="V14872" s="23">
        <v>30300000</v>
      </c>
    </row>
    <row r="14873" spans="20:22" x14ac:dyDescent="0.2">
      <c r="T14873">
        <v>70101099</v>
      </c>
      <c r="U14873" s="18" t="s">
        <v>2583</v>
      </c>
      <c r="V14873" s="23">
        <v>33300000</v>
      </c>
    </row>
    <row r="14874" spans="20:22" x14ac:dyDescent="0.2">
      <c r="T14874">
        <v>70101100</v>
      </c>
      <c r="U14874" s="18" t="s">
        <v>1275</v>
      </c>
      <c r="V14874" s="23">
        <v>30300000</v>
      </c>
    </row>
    <row r="14875" spans="20:22" x14ac:dyDescent="0.2">
      <c r="T14875">
        <v>70101101</v>
      </c>
      <c r="U14875" s="18" t="s">
        <v>2584</v>
      </c>
      <c r="V14875" s="23">
        <v>33300000</v>
      </c>
    </row>
    <row r="14876" spans="20:22" x14ac:dyDescent="0.2">
      <c r="T14876">
        <v>70101102</v>
      </c>
      <c r="U14876" s="18" t="s">
        <v>1276</v>
      </c>
      <c r="V14876" s="23">
        <v>30300000</v>
      </c>
    </row>
    <row r="14877" spans="20:22" x14ac:dyDescent="0.2">
      <c r="T14877">
        <v>70101103</v>
      </c>
      <c r="U14877" s="18" t="s">
        <v>2585</v>
      </c>
      <c r="V14877" s="23">
        <v>33300000</v>
      </c>
    </row>
    <row r="14878" spans="20:22" x14ac:dyDescent="0.2">
      <c r="T14878">
        <v>70101104</v>
      </c>
      <c r="U14878" s="18" t="s">
        <v>2586</v>
      </c>
      <c r="V14878" s="23">
        <v>30300000</v>
      </c>
    </row>
    <row r="14879" spans="20:22" x14ac:dyDescent="0.2">
      <c r="T14879">
        <v>70101105</v>
      </c>
      <c r="U14879" s="18" t="s">
        <v>2587</v>
      </c>
      <c r="V14879" s="23">
        <v>33300000</v>
      </c>
    </row>
    <row r="14880" spans="20:22" x14ac:dyDescent="0.2">
      <c r="T14880">
        <v>70101106</v>
      </c>
      <c r="U14880" s="18" t="s">
        <v>2588</v>
      </c>
      <c r="V14880" s="23">
        <v>30300000</v>
      </c>
    </row>
    <row r="14881" spans="20:22" x14ac:dyDescent="0.2">
      <c r="T14881">
        <v>70101107</v>
      </c>
      <c r="U14881" s="18" t="s">
        <v>2589</v>
      </c>
      <c r="V14881" s="23">
        <v>33300000</v>
      </c>
    </row>
    <row r="14882" spans="20:22" x14ac:dyDescent="0.2">
      <c r="T14882">
        <v>70101108</v>
      </c>
      <c r="U14882" s="18" t="s">
        <v>2590</v>
      </c>
      <c r="V14882" s="23">
        <v>30300000</v>
      </c>
    </row>
    <row r="14883" spans="20:22" x14ac:dyDescent="0.2">
      <c r="T14883">
        <v>70101109</v>
      </c>
      <c r="U14883" s="18" t="s">
        <v>2591</v>
      </c>
      <c r="V14883" s="23">
        <v>33300000</v>
      </c>
    </row>
    <row r="14884" spans="20:22" x14ac:dyDescent="0.2">
      <c r="T14884">
        <v>70101110</v>
      </c>
      <c r="U14884" s="18" t="s">
        <v>1277</v>
      </c>
      <c r="V14884" s="23">
        <v>30300000</v>
      </c>
    </row>
    <row r="14885" spans="20:22" x14ac:dyDescent="0.2">
      <c r="T14885">
        <v>70101111</v>
      </c>
      <c r="U14885" s="18" t="s">
        <v>2592</v>
      </c>
      <c r="V14885" s="23">
        <v>33300000</v>
      </c>
    </row>
    <row r="14886" spans="20:22" x14ac:dyDescent="0.2">
      <c r="T14886">
        <v>70101112</v>
      </c>
      <c r="U14886" s="18" t="s">
        <v>1278</v>
      </c>
      <c r="V14886" s="23">
        <v>30300000</v>
      </c>
    </row>
    <row r="14887" spans="20:22" x14ac:dyDescent="0.2">
      <c r="T14887">
        <v>70101113</v>
      </c>
      <c r="U14887" s="18" t="s">
        <v>2593</v>
      </c>
      <c r="V14887" s="23">
        <v>33300000</v>
      </c>
    </row>
    <row r="14888" spans="20:22" x14ac:dyDescent="0.2">
      <c r="T14888">
        <v>70101114</v>
      </c>
      <c r="U14888" s="18" t="s">
        <v>2594</v>
      </c>
      <c r="V14888" s="23">
        <v>30300000</v>
      </c>
    </row>
    <row r="14889" spans="20:22" x14ac:dyDescent="0.2">
      <c r="T14889">
        <v>70101115</v>
      </c>
      <c r="U14889" s="18" t="s">
        <v>2595</v>
      </c>
      <c r="V14889" s="23">
        <v>33300000</v>
      </c>
    </row>
    <row r="14890" spans="20:22" x14ac:dyDescent="0.2">
      <c r="T14890">
        <v>70101116</v>
      </c>
      <c r="U14890" s="18" t="s">
        <v>1279</v>
      </c>
      <c r="V14890" s="23">
        <v>30300000</v>
      </c>
    </row>
    <row r="14891" spans="20:22" x14ac:dyDescent="0.2">
      <c r="T14891">
        <v>70101117</v>
      </c>
      <c r="U14891" s="18" t="s">
        <v>2596</v>
      </c>
      <c r="V14891" s="23">
        <v>33300000</v>
      </c>
    </row>
    <row r="14892" spans="20:22" x14ac:dyDescent="0.2">
      <c r="T14892">
        <v>70101118</v>
      </c>
      <c r="U14892" s="18" t="s">
        <v>2597</v>
      </c>
      <c r="V14892" s="23">
        <v>34800000</v>
      </c>
    </row>
    <row r="14893" spans="20:22" x14ac:dyDescent="0.2">
      <c r="T14893">
        <v>70101119</v>
      </c>
      <c r="U14893" s="18" t="s">
        <v>2598</v>
      </c>
      <c r="V14893" s="23">
        <v>37900000</v>
      </c>
    </row>
    <row r="14894" spans="20:22" x14ac:dyDescent="0.2">
      <c r="T14894">
        <v>70101120</v>
      </c>
      <c r="U14894" s="18" t="s">
        <v>2599</v>
      </c>
      <c r="V14894" s="23">
        <v>34800000</v>
      </c>
    </row>
    <row r="14895" spans="20:22" x14ac:dyDescent="0.2">
      <c r="T14895">
        <v>70101121</v>
      </c>
      <c r="U14895" s="18" t="s">
        <v>2600</v>
      </c>
      <c r="V14895" s="23">
        <v>37900000</v>
      </c>
    </row>
    <row r="14896" spans="20:22" x14ac:dyDescent="0.2">
      <c r="T14896">
        <v>70101122</v>
      </c>
      <c r="U14896" s="18" t="s">
        <v>1280</v>
      </c>
      <c r="V14896" s="23">
        <v>34800000</v>
      </c>
    </row>
    <row r="14897" spans="20:22" x14ac:dyDescent="0.2">
      <c r="T14897">
        <v>70101123</v>
      </c>
      <c r="U14897" s="18" t="s">
        <v>2601</v>
      </c>
      <c r="V14897" s="23">
        <v>37900000</v>
      </c>
    </row>
    <row r="14898" spans="20:22" x14ac:dyDescent="0.2">
      <c r="T14898">
        <v>70101124</v>
      </c>
      <c r="U14898" s="18" t="s">
        <v>1281</v>
      </c>
      <c r="V14898" s="23">
        <v>34800000</v>
      </c>
    </row>
    <row r="14899" spans="20:22" x14ac:dyDescent="0.2">
      <c r="T14899">
        <v>70101125</v>
      </c>
      <c r="U14899" s="18" t="s">
        <v>2602</v>
      </c>
      <c r="V14899" s="23">
        <v>37900000</v>
      </c>
    </row>
    <row r="14900" spans="20:22" x14ac:dyDescent="0.2">
      <c r="T14900">
        <v>70101126</v>
      </c>
      <c r="U14900" s="18" t="s">
        <v>1282</v>
      </c>
      <c r="V14900" s="23">
        <v>34800000</v>
      </c>
    </row>
    <row r="14901" spans="20:22" x14ac:dyDescent="0.2">
      <c r="T14901">
        <v>70101127</v>
      </c>
      <c r="U14901" s="18" t="s">
        <v>2603</v>
      </c>
      <c r="V14901" s="23">
        <v>37900000</v>
      </c>
    </row>
    <row r="14902" spans="20:22" x14ac:dyDescent="0.2">
      <c r="T14902">
        <v>70101128</v>
      </c>
      <c r="U14902" s="18" t="s">
        <v>1283</v>
      </c>
      <c r="V14902" s="23">
        <v>34800000</v>
      </c>
    </row>
    <row r="14903" spans="20:22" x14ac:dyDescent="0.2">
      <c r="T14903">
        <v>70101129</v>
      </c>
      <c r="U14903" s="18" t="s">
        <v>2604</v>
      </c>
      <c r="V14903" s="23">
        <v>37900000</v>
      </c>
    </row>
    <row r="14904" spans="20:22" x14ac:dyDescent="0.2">
      <c r="T14904">
        <v>70101130</v>
      </c>
      <c r="U14904" s="18" t="s">
        <v>1284</v>
      </c>
      <c r="V14904" s="23">
        <v>34800000</v>
      </c>
    </row>
    <row r="14905" spans="20:22" x14ac:dyDescent="0.2">
      <c r="T14905">
        <v>70101131</v>
      </c>
      <c r="U14905" s="18" t="s">
        <v>2605</v>
      </c>
      <c r="V14905" s="23">
        <v>37900000</v>
      </c>
    </row>
    <row r="14906" spans="20:22" x14ac:dyDescent="0.2">
      <c r="T14906">
        <v>70101132</v>
      </c>
      <c r="U14906" s="18" t="s">
        <v>1285</v>
      </c>
      <c r="V14906" s="23">
        <v>34800000</v>
      </c>
    </row>
    <row r="14907" spans="20:22" x14ac:dyDescent="0.2">
      <c r="T14907">
        <v>70101133</v>
      </c>
      <c r="U14907" s="18" t="s">
        <v>2606</v>
      </c>
      <c r="V14907" s="23">
        <v>37900000</v>
      </c>
    </row>
    <row r="14908" spans="20:22" x14ac:dyDescent="0.2">
      <c r="T14908">
        <v>70101134</v>
      </c>
      <c r="U14908" s="18" t="s">
        <v>1286</v>
      </c>
      <c r="V14908" s="23">
        <v>34800000</v>
      </c>
    </row>
    <row r="14909" spans="20:22" x14ac:dyDescent="0.2">
      <c r="T14909">
        <v>70101135</v>
      </c>
      <c r="U14909" s="18" t="s">
        <v>2607</v>
      </c>
      <c r="V14909" s="23">
        <v>37900000</v>
      </c>
    </row>
    <row r="14910" spans="20:22" x14ac:dyDescent="0.2">
      <c r="T14910">
        <v>70101136</v>
      </c>
      <c r="U14910" s="18" t="s">
        <v>1287</v>
      </c>
      <c r="V14910" s="23">
        <v>34800000</v>
      </c>
    </row>
    <row r="14911" spans="20:22" x14ac:dyDescent="0.2">
      <c r="T14911">
        <v>70101137</v>
      </c>
      <c r="U14911" s="18" t="s">
        <v>2608</v>
      </c>
      <c r="V14911" s="23">
        <v>37900000</v>
      </c>
    </row>
    <row r="14912" spans="20:22" x14ac:dyDescent="0.2">
      <c r="T14912">
        <v>70101138</v>
      </c>
      <c r="U14912" s="18" t="s">
        <v>1288</v>
      </c>
      <c r="V14912" s="23">
        <v>34800000</v>
      </c>
    </row>
    <row r="14913" spans="20:22" x14ac:dyDescent="0.2">
      <c r="T14913">
        <v>70101139</v>
      </c>
      <c r="U14913" s="18" t="s">
        <v>2609</v>
      </c>
      <c r="V14913" s="23">
        <v>37900000</v>
      </c>
    </row>
    <row r="14914" spans="20:22" x14ac:dyDescent="0.2">
      <c r="T14914">
        <v>70101140</v>
      </c>
      <c r="U14914" s="18" t="s">
        <v>1289</v>
      </c>
      <c r="V14914" s="23">
        <v>34800000</v>
      </c>
    </row>
    <row r="14915" spans="20:22" x14ac:dyDescent="0.2">
      <c r="T14915">
        <v>70101141</v>
      </c>
      <c r="U14915" s="18" t="s">
        <v>2610</v>
      </c>
      <c r="V14915" s="23">
        <v>37900000</v>
      </c>
    </row>
    <row r="14916" spans="20:22" x14ac:dyDescent="0.2">
      <c r="T14916">
        <v>70101142</v>
      </c>
      <c r="U14916" s="18" t="s">
        <v>1290</v>
      </c>
      <c r="V14916" s="23">
        <v>34800000</v>
      </c>
    </row>
    <row r="14917" spans="20:22" x14ac:dyDescent="0.2">
      <c r="T14917">
        <v>70101143</v>
      </c>
      <c r="U14917" s="18" t="s">
        <v>2611</v>
      </c>
      <c r="V14917" s="23">
        <v>37900000</v>
      </c>
    </row>
    <row r="14918" spans="20:22" x14ac:dyDescent="0.2">
      <c r="T14918">
        <v>70101144</v>
      </c>
      <c r="U14918" s="18" t="s">
        <v>1291</v>
      </c>
      <c r="V14918" s="23">
        <v>34800000</v>
      </c>
    </row>
    <row r="14919" spans="20:22" x14ac:dyDescent="0.2">
      <c r="T14919">
        <v>70101145</v>
      </c>
      <c r="U14919" s="18" t="s">
        <v>2612</v>
      </c>
      <c r="V14919" s="23">
        <v>37900000</v>
      </c>
    </row>
    <row r="14920" spans="20:22" x14ac:dyDescent="0.2">
      <c r="T14920">
        <v>70101146</v>
      </c>
      <c r="U14920" s="18" t="s">
        <v>1292</v>
      </c>
      <c r="V14920" s="23">
        <v>34800000</v>
      </c>
    </row>
    <row r="14921" spans="20:22" x14ac:dyDescent="0.2">
      <c r="T14921">
        <v>70101147</v>
      </c>
      <c r="U14921" s="18" t="s">
        <v>2613</v>
      </c>
      <c r="V14921" s="23">
        <v>37900000</v>
      </c>
    </row>
    <row r="14922" spans="20:22" x14ac:dyDescent="0.2">
      <c r="T14922">
        <v>70101148</v>
      </c>
      <c r="U14922" s="18" t="s">
        <v>1293</v>
      </c>
      <c r="V14922" s="23">
        <v>34800000</v>
      </c>
    </row>
    <row r="14923" spans="20:22" x14ac:dyDescent="0.2">
      <c r="T14923">
        <v>70101149</v>
      </c>
      <c r="U14923" s="18" t="s">
        <v>2614</v>
      </c>
      <c r="V14923" s="23">
        <v>37900000</v>
      </c>
    </row>
    <row r="14924" spans="20:22" x14ac:dyDescent="0.2">
      <c r="T14924">
        <v>70101150</v>
      </c>
      <c r="U14924" s="18" t="s">
        <v>2615</v>
      </c>
      <c r="V14924" s="23">
        <v>34800000</v>
      </c>
    </row>
    <row r="14925" spans="20:22" x14ac:dyDescent="0.2">
      <c r="T14925">
        <v>70101151</v>
      </c>
      <c r="U14925" s="18" t="s">
        <v>2616</v>
      </c>
      <c r="V14925" s="23">
        <v>37900000</v>
      </c>
    </row>
    <row r="14926" spans="20:22" x14ac:dyDescent="0.2">
      <c r="T14926">
        <v>70101152</v>
      </c>
      <c r="U14926" s="18" t="s">
        <v>1294</v>
      </c>
      <c r="V14926" s="23">
        <v>34800000</v>
      </c>
    </row>
    <row r="14927" spans="20:22" x14ac:dyDescent="0.2">
      <c r="T14927">
        <v>70101153</v>
      </c>
      <c r="U14927" s="18" t="s">
        <v>2617</v>
      </c>
      <c r="V14927" s="23">
        <v>37900000</v>
      </c>
    </row>
    <row r="14928" spans="20:22" x14ac:dyDescent="0.2">
      <c r="T14928">
        <v>70101154</v>
      </c>
      <c r="U14928" s="18" t="s">
        <v>1295</v>
      </c>
      <c r="V14928" s="23">
        <v>34800000</v>
      </c>
    </row>
    <row r="14929" spans="20:22" x14ac:dyDescent="0.2">
      <c r="T14929">
        <v>70101155</v>
      </c>
      <c r="U14929" s="18" t="s">
        <v>2618</v>
      </c>
      <c r="V14929" s="23">
        <v>37900000</v>
      </c>
    </row>
    <row r="14930" spans="20:22" x14ac:dyDescent="0.2">
      <c r="T14930">
        <v>70101156</v>
      </c>
      <c r="U14930" s="18" t="s">
        <v>1296</v>
      </c>
      <c r="V14930" s="23">
        <v>34800000</v>
      </c>
    </row>
    <row r="14931" spans="20:22" x14ac:dyDescent="0.2">
      <c r="T14931">
        <v>70101157</v>
      </c>
      <c r="U14931" s="18" t="s">
        <v>2619</v>
      </c>
      <c r="V14931" s="23">
        <v>37900000</v>
      </c>
    </row>
    <row r="14932" spans="20:22" x14ac:dyDescent="0.2">
      <c r="T14932">
        <v>70101158</v>
      </c>
      <c r="U14932" s="18" t="s">
        <v>2620</v>
      </c>
      <c r="V14932" s="23">
        <v>34800000</v>
      </c>
    </row>
    <row r="14933" spans="20:22" x14ac:dyDescent="0.2">
      <c r="T14933">
        <v>70101159</v>
      </c>
      <c r="U14933" s="18" t="s">
        <v>2621</v>
      </c>
      <c r="V14933" s="23">
        <v>37900000</v>
      </c>
    </row>
    <row r="14934" spans="20:22" x14ac:dyDescent="0.2">
      <c r="T14934">
        <v>70101160</v>
      </c>
      <c r="U14934" s="18" t="s">
        <v>2622</v>
      </c>
      <c r="V14934" s="23">
        <v>34800000</v>
      </c>
    </row>
    <row r="14935" spans="20:22" x14ac:dyDescent="0.2">
      <c r="T14935">
        <v>70101161</v>
      </c>
      <c r="U14935" s="18" t="s">
        <v>2623</v>
      </c>
      <c r="V14935" s="23">
        <v>37900000</v>
      </c>
    </row>
    <row r="14936" spans="20:22" x14ac:dyDescent="0.2">
      <c r="T14936">
        <v>70101162</v>
      </c>
      <c r="U14936" s="18" t="s">
        <v>1165</v>
      </c>
      <c r="V14936" s="23">
        <v>75700000</v>
      </c>
    </row>
    <row r="14937" spans="20:22" x14ac:dyDescent="0.2">
      <c r="T14937">
        <v>70101163</v>
      </c>
      <c r="U14937" s="18" t="s">
        <v>2624</v>
      </c>
      <c r="V14937" s="23">
        <v>83200000</v>
      </c>
    </row>
    <row r="14938" spans="20:22" x14ac:dyDescent="0.2">
      <c r="T14938">
        <v>70101164</v>
      </c>
      <c r="U14938" s="18" t="s">
        <v>1166</v>
      </c>
      <c r="V14938" s="23">
        <v>75700000</v>
      </c>
    </row>
    <row r="14939" spans="20:22" x14ac:dyDescent="0.2">
      <c r="T14939">
        <v>70101193</v>
      </c>
      <c r="U14939" s="18" t="s">
        <v>2625</v>
      </c>
      <c r="V14939" s="23">
        <v>83200000</v>
      </c>
    </row>
    <row r="14940" spans="20:22" x14ac:dyDescent="0.2">
      <c r="T14940">
        <v>70101194</v>
      </c>
      <c r="U14940" s="18" t="s">
        <v>1167</v>
      </c>
      <c r="V14940" s="23">
        <v>75700000</v>
      </c>
    </row>
    <row r="14941" spans="20:22" x14ac:dyDescent="0.2">
      <c r="T14941">
        <v>70101195</v>
      </c>
      <c r="U14941" s="18" t="s">
        <v>2626</v>
      </c>
      <c r="V14941" s="23">
        <v>83200000</v>
      </c>
    </row>
    <row r="14942" spans="20:22" x14ac:dyDescent="0.2">
      <c r="T14942">
        <v>70101196</v>
      </c>
      <c r="U14942" s="18" t="s">
        <v>1168</v>
      </c>
      <c r="V14942" s="23">
        <v>75700000</v>
      </c>
    </row>
    <row r="14943" spans="20:22" x14ac:dyDescent="0.2">
      <c r="T14943">
        <v>70101197</v>
      </c>
      <c r="U14943" s="18" t="s">
        <v>2627</v>
      </c>
      <c r="V14943" s="23">
        <v>83200000</v>
      </c>
    </row>
    <row r="14944" spans="20:22" x14ac:dyDescent="0.2">
      <c r="T14944">
        <v>70101198</v>
      </c>
      <c r="U14944" s="18" t="s">
        <v>2628</v>
      </c>
      <c r="V14944" s="23">
        <v>75700000</v>
      </c>
    </row>
    <row r="14945" spans="20:22" x14ac:dyDescent="0.2">
      <c r="T14945">
        <v>70101199</v>
      </c>
      <c r="U14945" s="18" t="s">
        <v>2629</v>
      </c>
      <c r="V14945" s="23">
        <v>83200000</v>
      </c>
    </row>
    <row r="14946" spans="20:22" x14ac:dyDescent="0.2">
      <c r="T14946">
        <v>70101200</v>
      </c>
      <c r="U14946" s="18" t="s">
        <v>1169</v>
      </c>
      <c r="V14946" s="23">
        <v>75700000</v>
      </c>
    </row>
    <row r="14947" spans="20:22" x14ac:dyDescent="0.2">
      <c r="T14947">
        <v>70101201</v>
      </c>
      <c r="U14947" s="18" t="s">
        <v>2630</v>
      </c>
      <c r="V14947" s="23">
        <v>83200000</v>
      </c>
    </row>
    <row r="14948" spans="20:22" x14ac:dyDescent="0.2">
      <c r="T14948">
        <v>70101202</v>
      </c>
      <c r="U14948" s="18" t="s">
        <v>2631</v>
      </c>
      <c r="V14948" s="23">
        <v>75700000</v>
      </c>
    </row>
    <row r="14949" spans="20:22" x14ac:dyDescent="0.2">
      <c r="T14949">
        <v>70101203</v>
      </c>
      <c r="U14949" s="18" t="s">
        <v>2632</v>
      </c>
      <c r="V14949" s="23">
        <v>83200000</v>
      </c>
    </row>
    <row r="14950" spans="20:22" x14ac:dyDescent="0.2">
      <c r="T14950">
        <v>70101204</v>
      </c>
      <c r="U14950" s="18" t="s">
        <v>2633</v>
      </c>
      <c r="V14950" s="23">
        <v>75700000</v>
      </c>
    </row>
    <row r="14951" spans="20:22" x14ac:dyDescent="0.2">
      <c r="T14951">
        <v>70101205</v>
      </c>
      <c r="U14951" s="18" t="s">
        <v>2634</v>
      </c>
      <c r="V14951" s="23">
        <v>83200000</v>
      </c>
    </row>
    <row r="14952" spans="20:22" x14ac:dyDescent="0.2">
      <c r="T14952">
        <v>70101206</v>
      </c>
      <c r="U14952" s="18" t="s">
        <v>1170</v>
      </c>
      <c r="V14952" s="23">
        <v>75700000</v>
      </c>
    </row>
    <row r="14953" spans="20:22" x14ac:dyDescent="0.2">
      <c r="T14953">
        <v>70101207</v>
      </c>
      <c r="U14953" s="18" t="s">
        <v>2635</v>
      </c>
      <c r="V14953" s="23">
        <v>83200000</v>
      </c>
    </row>
    <row r="14954" spans="20:22" x14ac:dyDescent="0.2">
      <c r="T14954">
        <v>70101208</v>
      </c>
      <c r="U14954" s="18" t="s">
        <v>1171</v>
      </c>
      <c r="V14954" s="23">
        <v>75700000</v>
      </c>
    </row>
    <row r="14955" spans="20:22" x14ac:dyDescent="0.2">
      <c r="T14955">
        <v>70101209</v>
      </c>
      <c r="U14955" s="18" t="s">
        <v>2636</v>
      </c>
      <c r="V14955" s="23">
        <v>83200000</v>
      </c>
    </row>
    <row r="14956" spans="20:22" x14ac:dyDescent="0.2">
      <c r="T14956">
        <v>70101210</v>
      </c>
      <c r="U14956" s="18" t="s">
        <v>1172</v>
      </c>
      <c r="V14956" s="23">
        <v>75700000</v>
      </c>
    </row>
    <row r="14957" spans="20:22" x14ac:dyDescent="0.2">
      <c r="T14957">
        <v>70101211</v>
      </c>
      <c r="U14957" s="18" t="s">
        <v>2637</v>
      </c>
      <c r="V14957" s="23">
        <v>83200000</v>
      </c>
    </row>
    <row r="14958" spans="20:22" x14ac:dyDescent="0.2">
      <c r="T14958">
        <v>70101212</v>
      </c>
      <c r="U14958" s="18" t="s">
        <v>1173</v>
      </c>
      <c r="V14958" s="23">
        <v>75700000</v>
      </c>
    </row>
    <row r="14959" spans="20:22" x14ac:dyDescent="0.2">
      <c r="T14959">
        <v>70101213</v>
      </c>
      <c r="U14959" s="18" t="s">
        <v>2638</v>
      </c>
      <c r="V14959" s="23">
        <v>83200000</v>
      </c>
    </row>
    <row r="14960" spans="20:22" x14ac:dyDescent="0.2">
      <c r="T14960">
        <v>70101214</v>
      </c>
      <c r="U14960" s="18" t="s">
        <v>2639</v>
      </c>
      <c r="V14960" s="23">
        <v>75700000</v>
      </c>
    </row>
    <row r="14961" spans="20:22" x14ac:dyDescent="0.2">
      <c r="T14961">
        <v>70101215</v>
      </c>
      <c r="U14961" s="18" t="s">
        <v>2640</v>
      </c>
      <c r="V14961" s="23">
        <v>83200000</v>
      </c>
    </row>
    <row r="14962" spans="20:22" x14ac:dyDescent="0.2">
      <c r="T14962">
        <v>70101216</v>
      </c>
      <c r="U14962" s="18" t="s">
        <v>1174</v>
      </c>
      <c r="V14962" s="23">
        <v>75700000</v>
      </c>
    </row>
    <row r="14963" spans="20:22" x14ac:dyDescent="0.2">
      <c r="T14963">
        <v>70101217</v>
      </c>
      <c r="U14963" s="18" t="s">
        <v>2641</v>
      </c>
      <c r="V14963" s="23">
        <v>83200000</v>
      </c>
    </row>
    <row r="14964" spans="20:22" x14ac:dyDescent="0.2">
      <c r="T14964">
        <v>70101218</v>
      </c>
      <c r="U14964" s="18" t="s">
        <v>1175</v>
      </c>
      <c r="V14964" s="23">
        <v>75700000</v>
      </c>
    </row>
    <row r="14965" spans="20:22" x14ac:dyDescent="0.2">
      <c r="T14965">
        <v>70101219</v>
      </c>
      <c r="U14965" s="18" t="s">
        <v>2642</v>
      </c>
      <c r="V14965" s="23">
        <v>83200000</v>
      </c>
    </row>
    <row r="14966" spans="20:22" x14ac:dyDescent="0.2">
      <c r="T14966">
        <v>70101220</v>
      </c>
      <c r="U14966" s="18" t="s">
        <v>2643</v>
      </c>
      <c r="V14966" s="23">
        <v>75700000</v>
      </c>
    </row>
    <row r="14967" spans="20:22" x14ac:dyDescent="0.2">
      <c r="T14967">
        <v>70101221</v>
      </c>
      <c r="U14967" s="18" t="s">
        <v>2644</v>
      </c>
      <c r="V14967" s="23">
        <v>83200000</v>
      </c>
    </row>
    <row r="14968" spans="20:22" x14ac:dyDescent="0.2">
      <c r="T14968">
        <v>70101222</v>
      </c>
      <c r="U14968" s="18" t="s">
        <v>2645</v>
      </c>
      <c r="V14968" s="23">
        <v>75700000</v>
      </c>
    </row>
    <row r="14969" spans="20:22" x14ac:dyDescent="0.2">
      <c r="T14969">
        <v>70101223</v>
      </c>
      <c r="U14969" s="18" t="s">
        <v>2646</v>
      </c>
      <c r="V14969" s="23">
        <v>83200000</v>
      </c>
    </row>
    <row r="14970" spans="20:22" x14ac:dyDescent="0.2">
      <c r="T14970">
        <v>70101224</v>
      </c>
      <c r="U14970" s="18" t="s">
        <v>1176</v>
      </c>
      <c r="V14970" s="23">
        <v>75700000</v>
      </c>
    </row>
    <row r="14971" spans="20:22" x14ac:dyDescent="0.2">
      <c r="T14971">
        <v>70101225</v>
      </c>
      <c r="U14971" s="18" t="s">
        <v>2647</v>
      </c>
      <c r="V14971" s="23">
        <v>83200000</v>
      </c>
    </row>
    <row r="14972" spans="20:22" x14ac:dyDescent="0.2">
      <c r="T14972">
        <v>70101226</v>
      </c>
      <c r="U14972" s="18" t="s">
        <v>1177</v>
      </c>
      <c r="V14972" s="23">
        <v>75700000</v>
      </c>
    </row>
    <row r="14973" spans="20:22" x14ac:dyDescent="0.2">
      <c r="T14973">
        <v>70101227</v>
      </c>
      <c r="U14973" s="18" t="s">
        <v>2648</v>
      </c>
      <c r="V14973" s="23">
        <v>83200000</v>
      </c>
    </row>
    <row r="14974" spans="20:22" x14ac:dyDescent="0.2">
      <c r="T14974">
        <v>70101228</v>
      </c>
      <c r="U14974" s="18" t="s">
        <v>1178</v>
      </c>
      <c r="V14974" s="23">
        <v>75700000</v>
      </c>
    </row>
    <row r="14975" spans="20:22" x14ac:dyDescent="0.2">
      <c r="T14975">
        <v>70101229</v>
      </c>
      <c r="U14975" s="18" t="s">
        <v>2649</v>
      </c>
      <c r="V14975" s="23">
        <v>83200000</v>
      </c>
    </row>
    <row r="14976" spans="20:22" x14ac:dyDescent="0.2">
      <c r="T14976">
        <v>70101230</v>
      </c>
      <c r="U14976" s="18" t="s">
        <v>1179</v>
      </c>
      <c r="V14976" s="23">
        <v>75700000</v>
      </c>
    </row>
    <row r="14977" spans="20:22" x14ac:dyDescent="0.2">
      <c r="T14977">
        <v>70101231</v>
      </c>
      <c r="U14977" s="18" t="s">
        <v>2650</v>
      </c>
      <c r="V14977" s="23">
        <v>83200000</v>
      </c>
    </row>
    <row r="14978" spans="20:22" x14ac:dyDescent="0.2">
      <c r="T14978">
        <v>70101232</v>
      </c>
      <c r="U14978" s="18" t="s">
        <v>1180</v>
      </c>
      <c r="V14978" s="23">
        <v>75700000</v>
      </c>
    </row>
    <row r="14979" spans="20:22" x14ac:dyDescent="0.2">
      <c r="T14979">
        <v>70101233</v>
      </c>
      <c r="U14979" s="18" t="s">
        <v>2651</v>
      </c>
      <c r="V14979" s="23">
        <v>83200000</v>
      </c>
    </row>
    <row r="14980" spans="20:22" x14ac:dyDescent="0.2">
      <c r="T14980">
        <v>70101234</v>
      </c>
      <c r="U14980" s="18" t="s">
        <v>1181</v>
      </c>
      <c r="V14980" s="23">
        <v>87000000</v>
      </c>
    </row>
    <row r="14981" spans="20:22" x14ac:dyDescent="0.2">
      <c r="T14981">
        <v>70101235</v>
      </c>
      <c r="U14981" s="18" t="s">
        <v>2652</v>
      </c>
      <c r="V14981" s="23">
        <v>94600000</v>
      </c>
    </row>
    <row r="14982" spans="20:22" x14ac:dyDescent="0.2">
      <c r="T14982">
        <v>70101236</v>
      </c>
      <c r="U14982" s="18" t="s">
        <v>1182</v>
      </c>
      <c r="V14982" s="23">
        <v>87000000</v>
      </c>
    </row>
    <row r="14983" spans="20:22" x14ac:dyDescent="0.2">
      <c r="T14983">
        <v>70101237</v>
      </c>
      <c r="U14983" s="18" t="s">
        <v>2653</v>
      </c>
      <c r="V14983" s="23">
        <v>94600000</v>
      </c>
    </row>
    <row r="14984" spans="20:22" x14ac:dyDescent="0.2">
      <c r="T14984">
        <v>70101238</v>
      </c>
      <c r="U14984" s="18" t="s">
        <v>1183</v>
      </c>
      <c r="V14984" s="23">
        <v>87000000</v>
      </c>
    </row>
    <row r="14985" spans="20:22" x14ac:dyDescent="0.2">
      <c r="T14985">
        <v>70101239</v>
      </c>
      <c r="U14985" s="18" t="s">
        <v>2654</v>
      </c>
      <c r="V14985" s="23">
        <v>94600000</v>
      </c>
    </row>
    <row r="14986" spans="20:22" x14ac:dyDescent="0.2">
      <c r="T14986">
        <v>70101240</v>
      </c>
      <c r="U14986" s="18" t="s">
        <v>1184</v>
      </c>
      <c r="V14986" s="23">
        <v>87000000</v>
      </c>
    </row>
    <row r="14987" spans="20:22" x14ac:dyDescent="0.2">
      <c r="T14987">
        <v>70101241</v>
      </c>
      <c r="U14987" s="18" t="s">
        <v>2655</v>
      </c>
      <c r="V14987" s="23">
        <v>94600000</v>
      </c>
    </row>
    <row r="14988" spans="20:22" x14ac:dyDescent="0.2">
      <c r="T14988">
        <v>70101242</v>
      </c>
      <c r="U14988" s="18" t="s">
        <v>1185</v>
      </c>
      <c r="V14988" s="23">
        <v>87000000</v>
      </c>
    </row>
    <row r="14989" spans="20:22" x14ac:dyDescent="0.2">
      <c r="T14989">
        <v>70101243</v>
      </c>
      <c r="U14989" s="18" t="s">
        <v>2656</v>
      </c>
      <c r="V14989" s="23">
        <v>94600000</v>
      </c>
    </row>
    <row r="14990" spans="20:22" x14ac:dyDescent="0.2">
      <c r="T14990">
        <v>70101244</v>
      </c>
      <c r="U14990" s="18" t="s">
        <v>2657</v>
      </c>
      <c r="V14990" s="23">
        <v>87000000</v>
      </c>
    </row>
    <row r="14991" spans="20:22" x14ac:dyDescent="0.2">
      <c r="T14991">
        <v>70101245</v>
      </c>
      <c r="U14991" s="18" t="s">
        <v>2658</v>
      </c>
      <c r="V14991" s="23">
        <v>94600000</v>
      </c>
    </row>
    <row r="14992" spans="20:22" x14ac:dyDescent="0.2">
      <c r="T14992">
        <v>70101246</v>
      </c>
      <c r="U14992" s="18" t="s">
        <v>1186</v>
      </c>
      <c r="V14992" s="23">
        <v>87000000</v>
      </c>
    </row>
    <row r="14993" spans="20:22" x14ac:dyDescent="0.2">
      <c r="T14993">
        <v>70101247</v>
      </c>
      <c r="U14993" s="18" t="s">
        <v>2659</v>
      </c>
      <c r="V14993" s="23">
        <v>94600000</v>
      </c>
    </row>
    <row r="14994" spans="20:22" x14ac:dyDescent="0.2">
      <c r="T14994">
        <v>70101248</v>
      </c>
      <c r="U14994" s="18" t="s">
        <v>2660</v>
      </c>
      <c r="V14994" s="23">
        <v>87000000</v>
      </c>
    </row>
    <row r="14995" spans="20:22" x14ac:dyDescent="0.2">
      <c r="T14995">
        <v>70101249</v>
      </c>
      <c r="U14995" s="18" t="s">
        <v>2661</v>
      </c>
      <c r="V14995" s="23">
        <v>94600000</v>
      </c>
    </row>
    <row r="14996" spans="20:22" x14ac:dyDescent="0.2">
      <c r="T14996">
        <v>70101250</v>
      </c>
      <c r="U14996" s="18" t="s">
        <v>1187</v>
      </c>
      <c r="V14996" s="23">
        <v>87000000</v>
      </c>
    </row>
    <row r="14997" spans="20:22" x14ac:dyDescent="0.2">
      <c r="T14997">
        <v>70101251</v>
      </c>
      <c r="U14997" s="18" t="s">
        <v>2662</v>
      </c>
      <c r="V14997" s="23">
        <v>94600000</v>
      </c>
    </row>
    <row r="14998" spans="20:22" x14ac:dyDescent="0.2">
      <c r="T14998">
        <v>70101252</v>
      </c>
      <c r="U14998" s="18" t="s">
        <v>1188</v>
      </c>
      <c r="V14998" s="23">
        <v>87000000</v>
      </c>
    </row>
    <row r="14999" spans="20:22" x14ac:dyDescent="0.2">
      <c r="T14999">
        <v>70101253</v>
      </c>
      <c r="U14999" s="18" t="s">
        <v>2663</v>
      </c>
      <c r="V14999" s="23">
        <v>94600000</v>
      </c>
    </row>
    <row r="15000" spans="20:22" x14ac:dyDescent="0.2">
      <c r="T15000">
        <v>70101254</v>
      </c>
      <c r="U15000" s="18" t="s">
        <v>1189</v>
      </c>
      <c r="V15000" s="23">
        <v>87000000</v>
      </c>
    </row>
    <row r="15001" spans="20:22" x14ac:dyDescent="0.2">
      <c r="T15001">
        <v>70101255</v>
      </c>
      <c r="U15001" s="18" t="s">
        <v>2664</v>
      </c>
      <c r="V15001" s="23">
        <v>94600000</v>
      </c>
    </row>
    <row r="15002" spans="20:22" x14ac:dyDescent="0.2">
      <c r="T15002">
        <v>70101256</v>
      </c>
      <c r="U15002" s="18" t="s">
        <v>1190</v>
      </c>
      <c r="V15002" s="23">
        <v>87000000</v>
      </c>
    </row>
    <row r="15003" spans="20:22" x14ac:dyDescent="0.2">
      <c r="T15003">
        <v>70101257</v>
      </c>
      <c r="U15003" s="18" t="s">
        <v>2665</v>
      </c>
      <c r="V15003" s="23">
        <v>94600000</v>
      </c>
    </row>
    <row r="15004" spans="20:22" x14ac:dyDescent="0.2">
      <c r="T15004">
        <v>70101258</v>
      </c>
      <c r="U15004" s="18" t="s">
        <v>1191</v>
      </c>
      <c r="V15004" s="23">
        <v>87000000</v>
      </c>
    </row>
    <row r="15005" spans="20:22" x14ac:dyDescent="0.2">
      <c r="T15005">
        <v>70101259</v>
      </c>
      <c r="U15005" s="18" t="s">
        <v>2666</v>
      </c>
      <c r="V15005" s="23">
        <v>94600000</v>
      </c>
    </row>
    <row r="15006" spans="20:22" x14ac:dyDescent="0.2">
      <c r="T15006">
        <v>70101260</v>
      </c>
      <c r="U15006" s="18" t="s">
        <v>1192</v>
      </c>
      <c r="V15006" s="23">
        <v>87000000</v>
      </c>
    </row>
    <row r="15007" spans="20:22" x14ac:dyDescent="0.2">
      <c r="T15007">
        <v>70101261</v>
      </c>
      <c r="U15007" s="18" t="s">
        <v>2667</v>
      </c>
      <c r="V15007" s="23">
        <v>94600000</v>
      </c>
    </row>
    <row r="15008" spans="20:22" x14ac:dyDescent="0.2">
      <c r="T15008">
        <v>70101262</v>
      </c>
      <c r="U15008" s="18" t="s">
        <v>1193</v>
      </c>
      <c r="V15008" s="23">
        <v>87000000</v>
      </c>
    </row>
    <row r="15009" spans="20:22" x14ac:dyDescent="0.2">
      <c r="T15009">
        <v>70101263</v>
      </c>
      <c r="U15009" s="18" t="s">
        <v>2668</v>
      </c>
      <c r="V15009" s="23">
        <v>94600000</v>
      </c>
    </row>
    <row r="15010" spans="20:22" x14ac:dyDescent="0.2">
      <c r="T15010">
        <v>70101264</v>
      </c>
      <c r="U15010" s="18" t="s">
        <v>1194</v>
      </c>
      <c r="V15010" s="23">
        <v>87000000</v>
      </c>
    </row>
    <row r="15011" spans="20:22" x14ac:dyDescent="0.2">
      <c r="T15011">
        <v>70101265</v>
      </c>
      <c r="U15011" s="18" t="s">
        <v>2669</v>
      </c>
      <c r="V15011" s="23">
        <v>94600000</v>
      </c>
    </row>
    <row r="15012" spans="20:22" x14ac:dyDescent="0.2">
      <c r="T15012">
        <v>70101266</v>
      </c>
      <c r="U15012" s="18" t="s">
        <v>1195</v>
      </c>
      <c r="V15012" s="23">
        <v>87000000</v>
      </c>
    </row>
    <row r="15013" spans="20:22" x14ac:dyDescent="0.2">
      <c r="T15013">
        <v>70101267</v>
      </c>
      <c r="U15013" s="18" t="s">
        <v>2670</v>
      </c>
      <c r="V15013" s="23">
        <v>94600000</v>
      </c>
    </row>
    <row r="15014" spans="20:22" x14ac:dyDescent="0.2">
      <c r="T15014">
        <v>70101268</v>
      </c>
      <c r="U15014" s="18" t="s">
        <v>1196</v>
      </c>
      <c r="V15014" s="23">
        <v>87000000</v>
      </c>
    </row>
    <row r="15015" spans="20:22" x14ac:dyDescent="0.2">
      <c r="T15015">
        <v>70101269</v>
      </c>
      <c r="U15015" s="18" t="s">
        <v>2671</v>
      </c>
      <c r="V15015" s="23">
        <v>94600000</v>
      </c>
    </row>
    <row r="15016" spans="20:22" x14ac:dyDescent="0.2">
      <c r="T15016">
        <v>70101270</v>
      </c>
      <c r="U15016" s="18" t="s">
        <v>1197</v>
      </c>
      <c r="V15016" s="23">
        <v>87000000</v>
      </c>
    </row>
    <row r="15017" spans="20:22" x14ac:dyDescent="0.2">
      <c r="T15017">
        <v>70101271</v>
      </c>
      <c r="U15017" s="18" t="s">
        <v>2672</v>
      </c>
      <c r="V15017" s="23">
        <v>94600000</v>
      </c>
    </row>
    <row r="15018" spans="20:22" x14ac:dyDescent="0.2">
      <c r="T15018">
        <v>70101272</v>
      </c>
      <c r="U15018" s="18" t="s">
        <v>1198</v>
      </c>
      <c r="V15018" s="23">
        <v>87000000</v>
      </c>
    </row>
    <row r="15019" spans="20:22" x14ac:dyDescent="0.2">
      <c r="T15019">
        <v>70101273</v>
      </c>
      <c r="U15019" s="18" t="s">
        <v>2673</v>
      </c>
      <c r="V15019" s="23">
        <v>94600000</v>
      </c>
    </row>
    <row r="15020" spans="20:22" x14ac:dyDescent="0.2">
      <c r="T15020">
        <v>70101274</v>
      </c>
      <c r="U15020" s="18" t="s">
        <v>1199</v>
      </c>
      <c r="V15020" s="23">
        <v>87000000</v>
      </c>
    </row>
    <row r="15021" spans="20:22" x14ac:dyDescent="0.2">
      <c r="T15021">
        <v>70101275</v>
      </c>
      <c r="U15021" s="18" t="s">
        <v>2674</v>
      </c>
      <c r="V15021" s="23">
        <v>94600000</v>
      </c>
    </row>
    <row r="15022" spans="20:22" x14ac:dyDescent="0.2">
      <c r="T15022">
        <v>70101276</v>
      </c>
      <c r="U15022" s="18" t="s">
        <v>1200</v>
      </c>
      <c r="V15022" s="23">
        <v>87000000</v>
      </c>
    </row>
    <row r="15023" spans="20:22" x14ac:dyDescent="0.2">
      <c r="T15023">
        <v>70101277</v>
      </c>
      <c r="U15023" s="18" t="s">
        <v>2675</v>
      </c>
      <c r="V15023" s="23">
        <v>94600000</v>
      </c>
    </row>
    <row r="15024" spans="20:22" x14ac:dyDescent="0.2">
      <c r="T15024">
        <v>70101278</v>
      </c>
      <c r="U15024" s="18" t="s">
        <v>2676</v>
      </c>
      <c r="V15024" s="23">
        <v>151300000</v>
      </c>
    </row>
    <row r="15025" spans="20:22" x14ac:dyDescent="0.2">
      <c r="T15025">
        <v>70101279</v>
      </c>
      <c r="U15025" s="18" t="s">
        <v>2677</v>
      </c>
      <c r="V15025" s="23">
        <v>166400000</v>
      </c>
    </row>
    <row r="15026" spans="20:22" x14ac:dyDescent="0.2">
      <c r="T15026">
        <v>70101280</v>
      </c>
      <c r="U15026" s="18" t="s">
        <v>2678</v>
      </c>
      <c r="V15026" s="23">
        <v>151300000</v>
      </c>
    </row>
    <row r="15027" spans="20:22" x14ac:dyDescent="0.2">
      <c r="T15027">
        <v>70101281</v>
      </c>
      <c r="U15027" s="18" t="s">
        <v>2679</v>
      </c>
      <c r="V15027" s="23">
        <v>166400000</v>
      </c>
    </row>
    <row r="15028" spans="20:22" x14ac:dyDescent="0.2">
      <c r="T15028">
        <v>70101282</v>
      </c>
      <c r="U15028" s="18" t="s">
        <v>2680</v>
      </c>
      <c r="V15028" s="23">
        <v>151300000</v>
      </c>
    </row>
    <row r="15029" spans="20:22" x14ac:dyDescent="0.2">
      <c r="T15029">
        <v>70101283</v>
      </c>
      <c r="U15029" s="18" t="s">
        <v>2681</v>
      </c>
      <c r="V15029" s="23">
        <v>166400000</v>
      </c>
    </row>
    <row r="15030" spans="20:22" x14ac:dyDescent="0.2">
      <c r="T15030">
        <v>70101284</v>
      </c>
      <c r="U15030" s="18" t="s">
        <v>2682</v>
      </c>
      <c r="V15030" s="23">
        <v>151300000</v>
      </c>
    </row>
    <row r="15031" spans="20:22" x14ac:dyDescent="0.2">
      <c r="T15031">
        <v>70101285</v>
      </c>
      <c r="U15031" s="18" t="s">
        <v>2683</v>
      </c>
      <c r="V15031" s="23">
        <v>166400000</v>
      </c>
    </row>
    <row r="15032" spans="20:22" x14ac:dyDescent="0.2">
      <c r="T15032">
        <v>70101286</v>
      </c>
      <c r="U15032" s="18" t="s">
        <v>2684</v>
      </c>
      <c r="V15032" s="23">
        <v>151300000</v>
      </c>
    </row>
    <row r="15033" spans="20:22" x14ac:dyDescent="0.2">
      <c r="T15033">
        <v>70101287</v>
      </c>
      <c r="U15033" s="18" t="s">
        <v>2685</v>
      </c>
      <c r="V15033" s="23">
        <v>166400000</v>
      </c>
    </row>
    <row r="15034" spans="20:22" x14ac:dyDescent="0.2">
      <c r="T15034">
        <v>70101288</v>
      </c>
      <c r="U15034" s="18" t="s">
        <v>2686</v>
      </c>
      <c r="V15034" s="23">
        <v>151300000</v>
      </c>
    </row>
    <row r="15035" spans="20:22" x14ac:dyDescent="0.2">
      <c r="T15035">
        <v>70101289</v>
      </c>
      <c r="U15035" s="18" t="s">
        <v>2687</v>
      </c>
      <c r="V15035" s="23">
        <v>166400000</v>
      </c>
    </row>
    <row r="15036" spans="20:22" x14ac:dyDescent="0.2">
      <c r="T15036">
        <v>70101290</v>
      </c>
      <c r="U15036" s="18" t="s">
        <v>2688</v>
      </c>
      <c r="V15036" s="23">
        <v>151300000</v>
      </c>
    </row>
    <row r="15037" spans="20:22" x14ac:dyDescent="0.2">
      <c r="T15037">
        <v>70101291</v>
      </c>
      <c r="U15037" s="18" t="s">
        <v>2689</v>
      </c>
      <c r="V15037" s="23">
        <v>166400000</v>
      </c>
    </row>
    <row r="15038" spans="20:22" x14ac:dyDescent="0.2">
      <c r="T15038">
        <v>70101292</v>
      </c>
      <c r="U15038" s="18" t="s">
        <v>2690</v>
      </c>
      <c r="V15038" s="23">
        <v>151300000</v>
      </c>
    </row>
    <row r="15039" spans="20:22" x14ac:dyDescent="0.2">
      <c r="T15039">
        <v>70101293</v>
      </c>
      <c r="U15039" s="18" t="s">
        <v>2691</v>
      </c>
      <c r="V15039" s="23">
        <v>166400000</v>
      </c>
    </row>
    <row r="15040" spans="20:22" x14ac:dyDescent="0.2">
      <c r="T15040">
        <v>70101294</v>
      </c>
      <c r="U15040" s="18" t="s">
        <v>2692</v>
      </c>
      <c r="V15040" s="23">
        <v>151300000</v>
      </c>
    </row>
    <row r="15041" spans="20:22" x14ac:dyDescent="0.2">
      <c r="T15041">
        <v>70101295</v>
      </c>
      <c r="U15041" s="18" t="s">
        <v>2693</v>
      </c>
      <c r="V15041" s="23">
        <v>166400000</v>
      </c>
    </row>
    <row r="15042" spans="20:22" x14ac:dyDescent="0.2">
      <c r="T15042">
        <v>70101296</v>
      </c>
      <c r="U15042" s="18" t="s">
        <v>2694</v>
      </c>
      <c r="V15042" s="23">
        <v>151300000</v>
      </c>
    </row>
    <row r="15043" spans="20:22" x14ac:dyDescent="0.2">
      <c r="T15043">
        <v>70101297</v>
      </c>
      <c r="U15043" s="18" t="s">
        <v>2695</v>
      </c>
      <c r="V15043" s="23">
        <v>166400000</v>
      </c>
    </row>
    <row r="15044" spans="20:22" x14ac:dyDescent="0.2">
      <c r="T15044">
        <v>70101298</v>
      </c>
      <c r="U15044" s="18" t="s">
        <v>2696</v>
      </c>
      <c r="V15044" s="23">
        <v>151300000</v>
      </c>
    </row>
    <row r="15045" spans="20:22" x14ac:dyDescent="0.2">
      <c r="T15045">
        <v>70101299</v>
      </c>
      <c r="U15045" s="18" t="s">
        <v>2697</v>
      </c>
      <c r="V15045" s="23">
        <v>166400000</v>
      </c>
    </row>
    <row r="15046" spans="20:22" x14ac:dyDescent="0.2">
      <c r="T15046">
        <v>70101300</v>
      </c>
      <c r="U15046" s="18" t="s">
        <v>2698</v>
      </c>
      <c r="V15046" s="23">
        <v>151300000</v>
      </c>
    </row>
    <row r="15047" spans="20:22" x14ac:dyDescent="0.2">
      <c r="T15047">
        <v>70101301</v>
      </c>
      <c r="U15047" s="18" t="s">
        <v>2699</v>
      </c>
      <c r="V15047" s="23">
        <v>166400000</v>
      </c>
    </row>
    <row r="15048" spans="20:22" x14ac:dyDescent="0.2">
      <c r="T15048">
        <v>70101302</v>
      </c>
      <c r="U15048" s="18" t="s">
        <v>2700</v>
      </c>
      <c r="V15048" s="23">
        <v>151300000</v>
      </c>
    </row>
    <row r="15049" spans="20:22" x14ac:dyDescent="0.2">
      <c r="T15049">
        <v>70101303</v>
      </c>
      <c r="U15049" s="18" t="s">
        <v>2701</v>
      </c>
      <c r="V15049" s="23">
        <v>166400000</v>
      </c>
    </row>
    <row r="15050" spans="20:22" x14ac:dyDescent="0.2">
      <c r="T15050">
        <v>70101304</v>
      </c>
      <c r="U15050" s="18" t="s">
        <v>2702</v>
      </c>
      <c r="V15050" s="23">
        <v>151300000</v>
      </c>
    </row>
    <row r="15051" spans="20:22" x14ac:dyDescent="0.2">
      <c r="T15051">
        <v>70101305</v>
      </c>
      <c r="U15051" s="18" t="s">
        <v>2703</v>
      </c>
      <c r="V15051" s="23">
        <v>166400000</v>
      </c>
    </row>
    <row r="15052" spans="20:22" x14ac:dyDescent="0.2">
      <c r="T15052">
        <v>70101306</v>
      </c>
      <c r="U15052" s="18" t="s">
        <v>2704</v>
      </c>
      <c r="V15052" s="23">
        <v>151300000</v>
      </c>
    </row>
    <row r="15053" spans="20:22" x14ac:dyDescent="0.2">
      <c r="T15053">
        <v>70101307</v>
      </c>
      <c r="U15053" s="18" t="s">
        <v>2705</v>
      </c>
      <c r="V15053" s="23">
        <v>166400000</v>
      </c>
    </row>
    <row r="15054" spans="20:22" x14ac:dyDescent="0.2">
      <c r="T15054">
        <v>70101308</v>
      </c>
      <c r="U15054" s="18" t="s">
        <v>2706</v>
      </c>
      <c r="V15054" s="23">
        <v>151300000</v>
      </c>
    </row>
    <row r="15055" spans="20:22" x14ac:dyDescent="0.2">
      <c r="T15055">
        <v>70101309</v>
      </c>
      <c r="U15055" s="18" t="s">
        <v>2707</v>
      </c>
      <c r="V15055" s="23">
        <v>166400000</v>
      </c>
    </row>
    <row r="15056" spans="20:22" x14ac:dyDescent="0.2">
      <c r="T15056">
        <v>70101310</v>
      </c>
      <c r="U15056" s="18" t="s">
        <v>2708</v>
      </c>
      <c r="V15056" s="23">
        <v>151300000</v>
      </c>
    </row>
    <row r="15057" spans="20:22" x14ac:dyDescent="0.2">
      <c r="T15057">
        <v>70101311</v>
      </c>
      <c r="U15057" s="18" t="s">
        <v>2709</v>
      </c>
      <c r="V15057" s="23">
        <v>166400000</v>
      </c>
    </row>
    <row r="15058" spans="20:22" x14ac:dyDescent="0.2">
      <c r="T15058">
        <v>70101312</v>
      </c>
      <c r="U15058" s="18" t="s">
        <v>2710</v>
      </c>
      <c r="V15058" s="23">
        <v>151300000</v>
      </c>
    </row>
    <row r="15059" spans="20:22" x14ac:dyDescent="0.2">
      <c r="T15059">
        <v>70101313</v>
      </c>
      <c r="U15059" s="18" t="s">
        <v>2711</v>
      </c>
      <c r="V15059" s="23">
        <v>166400000</v>
      </c>
    </row>
    <row r="15060" spans="20:22" x14ac:dyDescent="0.2">
      <c r="T15060">
        <v>70101314</v>
      </c>
      <c r="U15060" s="18" t="s">
        <v>2712</v>
      </c>
      <c r="V15060" s="23">
        <v>151300000</v>
      </c>
    </row>
    <row r="15061" spans="20:22" x14ac:dyDescent="0.2">
      <c r="T15061">
        <v>70101315</v>
      </c>
      <c r="U15061" s="18" t="s">
        <v>2713</v>
      </c>
      <c r="V15061" s="23">
        <v>166400000</v>
      </c>
    </row>
    <row r="15062" spans="20:22" x14ac:dyDescent="0.2">
      <c r="T15062">
        <v>70101316</v>
      </c>
      <c r="U15062" s="18" t="s">
        <v>2714</v>
      </c>
      <c r="V15062" s="23">
        <v>151300000</v>
      </c>
    </row>
    <row r="15063" spans="20:22" x14ac:dyDescent="0.2">
      <c r="T15063">
        <v>70101317</v>
      </c>
      <c r="U15063" s="18" t="s">
        <v>2715</v>
      </c>
      <c r="V15063" s="23">
        <v>166400000</v>
      </c>
    </row>
    <row r="15064" spans="20:22" x14ac:dyDescent="0.2">
      <c r="T15064">
        <v>70101318</v>
      </c>
      <c r="U15064" s="18" t="s">
        <v>2716</v>
      </c>
      <c r="V15064" s="23">
        <v>151300000</v>
      </c>
    </row>
    <row r="15065" spans="20:22" x14ac:dyDescent="0.2">
      <c r="T15065">
        <v>70101319</v>
      </c>
      <c r="U15065" s="18" t="s">
        <v>2717</v>
      </c>
      <c r="V15065" s="23">
        <v>166400000</v>
      </c>
    </row>
    <row r="15066" spans="20:22" x14ac:dyDescent="0.2">
      <c r="T15066">
        <v>70101320</v>
      </c>
      <c r="U15066" s="18" t="s">
        <v>2718</v>
      </c>
      <c r="V15066" s="23">
        <v>151300000</v>
      </c>
    </row>
    <row r="15067" spans="20:22" x14ac:dyDescent="0.2">
      <c r="T15067">
        <v>70101321</v>
      </c>
      <c r="U15067" s="18" t="s">
        <v>2719</v>
      </c>
      <c r="V15067" s="23">
        <v>166400000</v>
      </c>
    </row>
    <row r="15068" spans="20:22" x14ac:dyDescent="0.2">
      <c r="T15068">
        <v>70101322</v>
      </c>
      <c r="U15068" s="18" t="s">
        <v>2720</v>
      </c>
      <c r="V15068" s="23">
        <v>151300000</v>
      </c>
    </row>
    <row r="15069" spans="20:22" x14ac:dyDescent="0.2">
      <c r="T15069">
        <v>70101323</v>
      </c>
      <c r="U15069" s="18" t="s">
        <v>2721</v>
      </c>
      <c r="V15069" s="23">
        <v>166400000</v>
      </c>
    </row>
    <row r="15070" spans="20:22" x14ac:dyDescent="0.2">
      <c r="T15070">
        <v>70101324</v>
      </c>
      <c r="U15070" s="18" t="s">
        <v>2722</v>
      </c>
      <c r="V15070" s="23">
        <v>151300000</v>
      </c>
    </row>
    <row r="15071" spans="20:22" x14ac:dyDescent="0.2">
      <c r="T15071">
        <v>70101325</v>
      </c>
      <c r="U15071" s="18" t="s">
        <v>2723</v>
      </c>
      <c r="V15071" s="23">
        <v>166400000</v>
      </c>
    </row>
    <row r="15072" spans="20:22" x14ac:dyDescent="0.2">
      <c r="T15072">
        <v>70101165</v>
      </c>
      <c r="U15072" s="18" t="s">
        <v>2724</v>
      </c>
      <c r="V15072" s="23">
        <v>303000</v>
      </c>
    </row>
    <row r="15073" spans="20:22" x14ac:dyDescent="0.2">
      <c r="T15073">
        <v>70101166</v>
      </c>
      <c r="U15073" s="18" t="s">
        <v>2725</v>
      </c>
      <c r="V15073" s="23">
        <v>303000</v>
      </c>
    </row>
    <row r="15074" spans="20:22" x14ac:dyDescent="0.2">
      <c r="T15074">
        <v>70101167</v>
      </c>
      <c r="U15074" s="18" t="s">
        <v>2726</v>
      </c>
      <c r="V15074" s="23">
        <v>319000</v>
      </c>
    </row>
    <row r="15075" spans="20:22" x14ac:dyDescent="0.2">
      <c r="T15075">
        <v>70101168</v>
      </c>
      <c r="U15075" s="18" t="s">
        <v>2727</v>
      </c>
      <c r="V15075" s="23">
        <v>334000</v>
      </c>
    </row>
    <row r="15076" spans="20:22" x14ac:dyDescent="0.2">
      <c r="T15076">
        <v>70101169</v>
      </c>
      <c r="U15076" s="18" t="s">
        <v>2728</v>
      </c>
      <c r="V15076" s="23">
        <v>1590000</v>
      </c>
    </row>
    <row r="15077" spans="20:22" x14ac:dyDescent="0.2">
      <c r="T15077">
        <v>70101170</v>
      </c>
      <c r="U15077" s="18" t="s">
        <v>2729</v>
      </c>
      <c r="V15077" s="23">
        <v>1590000</v>
      </c>
    </row>
    <row r="15078" spans="20:22" x14ac:dyDescent="0.2">
      <c r="T15078">
        <v>70101171</v>
      </c>
      <c r="U15078" s="18" t="s">
        <v>2730</v>
      </c>
      <c r="V15078" s="23">
        <v>1590000</v>
      </c>
    </row>
    <row r="15079" spans="20:22" x14ac:dyDescent="0.2">
      <c r="T15079">
        <v>70101172</v>
      </c>
      <c r="U15079" s="18" t="s">
        <v>2731</v>
      </c>
      <c r="V15079" s="23">
        <v>31800000</v>
      </c>
    </row>
    <row r="15080" spans="20:22" x14ac:dyDescent="0.2">
      <c r="T15080">
        <v>70101173</v>
      </c>
      <c r="U15080" s="18" t="s">
        <v>2732</v>
      </c>
      <c r="V15080" s="23">
        <v>31800000</v>
      </c>
    </row>
    <row r="15081" spans="20:22" x14ac:dyDescent="0.2">
      <c r="T15081">
        <v>70101174</v>
      </c>
      <c r="U15081" s="18" t="s">
        <v>2733</v>
      </c>
      <c r="V15081" s="23">
        <v>36300000</v>
      </c>
    </row>
    <row r="15082" spans="20:22" x14ac:dyDescent="0.2">
      <c r="T15082">
        <v>70101175</v>
      </c>
      <c r="U15082" s="18" t="s">
        <v>2734</v>
      </c>
      <c r="V15082" s="23">
        <v>79400000</v>
      </c>
    </row>
    <row r="15083" spans="20:22" x14ac:dyDescent="0.2">
      <c r="T15083">
        <v>70101176</v>
      </c>
      <c r="U15083" s="18" t="s">
        <v>2735</v>
      </c>
      <c r="V15083" s="23">
        <v>79400000</v>
      </c>
    </row>
    <row r="15084" spans="20:22" x14ac:dyDescent="0.2">
      <c r="T15084">
        <v>70101177</v>
      </c>
      <c r="U15084" s="18" t="s">
        <v>2736</v>
      </c>
      <c r="V15084" s="23">
        <v>79400000</v>
      </c>
    </row>
    <row r="15085" spans="20:22" x14ac:dyDescent="0.2">
      <c r="T15085">
        <v>70101178</v>
      </c>
      <c r="U15085" s="18" t="s">
        <v>2737</v>
      </c>
      <c r="V15085" s="23">
        <v>79400000</v>
      </c>
    </row>
    <row r="15086" spans="20:22" x14ac:dyDescent="0.2">
      <c r="T15086">
        <v>70101179</v>
      </c>
      <c r="U15086" s="18" t="s">
        <v>2738</v>
      </c>
      <c r="V15086" s="23">
        <v>90800000</v>
      </c>
    </row>
    <row r="15087" spans="20:22" x14ac:dyDescent="0.2">
      <c r="T15087">
        <v>70101180</v>
      </c>
      <c r="U15087" s="18" t="s">
        <v>2739</v>
      </c>
      <c r="V15087" s="23">
        <v>90800000</v>
      </c>
    </row>
    <row r="15088" spans="20:22" x14ac:dyDescent="0.2">
      <c r="T15088">
        <v>70101181</v>
      </c>
      <c r="U15088" s="18" t="s">
        <v>2740</v>
      </c>
      <c r="V15088" s="23">
        <v>90800000</v>
      </c>
    </row>
    <row r="15089" spans="20:22" x14ac:dyDescent="0.2">
      <c r="T15089">
        <v>70101182</v>
      </c>
      <c r="U15089" s="18" t="s">
        <v>2741</v>
      </c>
      <c r="V15089" s="23">
        <v>90800000</v>
      </c>
    </row>
    <row r="15090" spans="20:22" x14ac:dyDescent="0.2">
      <c r="T15090">
        <v>70101183</v>
      </c>
      <c r="U15090" s="18" t="s">
        <v>2742</v>
      </c>
      <c r="V15090" s="23">
        <v>79400000</v>
      </c>
    </row>
    <row r="15091" spans="20:22" x14ac:dyDescent="0.2">
      <c r="T15091">
        <v>70101184</v>
      </c>
      <c r="U15091" s="18" t="s">
        <v>2743</v>
      </c>
      <c r="V15091" s="23">
        <v>158800000</v>
      </c>
    </row>
    <row r="15092" spans="20:22" x14ac:dyDescent="0.2">
      <c r="T15092">
        <v>70101185</v>
      </c>
      <c r="U15092" s="18" t="s">
        <v>2744</v>
      </c>
      <c r="V15092" s="23">
        <v>158800000</v>
      </c>
    </row>
    <row r="15093" spans="20:22" x14ac:dyDescent="0.2">
      <c r="T15093">
        <v>70101186</v>
      </c>
      <c r="U15093" s="18" t="s">
        <v>2745</v>
      </c>
      <c r="V15093" s="23">
        <v>158800000</v>
      </c>
    </row>
    <row r="15094" spans="20:22" x14ac:dyDescent="0.2">
      <c r="T15094">
        <v>70101187</v>
      </c>
      <c r="U15094" s="18" t="s">
        <v>2746</v>
      </c>
      <c r="V15094" s="23">
        <v>158800000</v>
      </c>
    </row>
    <row r="15095" spans="20:22" x14ac:dyDescent="0.2">
      <c r="T15095">
        <v>70101188</v>
      </c>
      <c r="U15095" s="18" t="s">
        <v>2747</v>
      </c>
      <c r="V15095" s="23">
        <v>90800000</v>
      </c>
    </row>
    <row r="15096" spans="20:22" x14ac:dyDescent="0.2">
      <c r="T15096">
        <v>70101189</v>
      </c>
      <c r="U15096" s="18" t="s">
        <v>2748</v>
      </c>
      <c r="V15096" s="23">
        <v>158800000</v>
      </c>
    </row>
    <row r="15097" spans="20:22" x14ac:dyDescent="0.2">
      <c r="T15097">
        <v>70101190</v>
      </c>
      <c r="U15097" s="18" t="s">
        <v>2749</v>
      </c>
      <c r="V15097" s="23">
        <v>7940000</v>
      </c>
    </row>
    <row r="15098" spans="20:22" x14ac:dyDescent="0.2">
      <c r="T15098">
        <v>70101191</v>
      </c>
      <c r="U15098" s="18" t="s">
        <v>2750</v>
      </c>
      <c r="V15098" s="23">
        <v>36300000</v>
      </c>
    </row>
    <row r="15099" spans="20:22" x14ac:dyDescent="0.2">
      <c r="T15099">
        <v>70101192</v>
      </c>
      <c r="U15099" s="18" t="s">
        <v>2751</v>
      </c>
      <c r="V15099" s="23">
        <v>319000</v>
      </c>
    </row>
    <row r="15100" spans="20:22" x14ac:dyDescent="0.2">
      <c r="T15100">
        <v>70101326</v>
      </c>
      <c r="U15100" s="18" t="s">
        <v>2752</v>
      </c>
      <c r="V15100" s="23">
        <v>1520000</v>
      </c>
    </row>
    <row r="15101" spans="20:22" x14ac:dyDescent="0.2">
      <c r="T15101">
        <v>70101327</v>
      </c>
      <c r="U15101" s="18" t="s">
        <v>2753</v>
      </c>
      <c r="V15101" s="23">
        <v>1670000</v>
      </c>
    </row>
    <row r="15102" spans="20:22" x14ac:dyDescent="0.2">
      <c r="T15102">
        <v>70101328</v>
      </c>
      <c r="U15102" s="18" t="s">
        <v>2754</v>
      </c>
      <c r="V15102" s="23">
        <v>1520000</v>
      </c>
    </row>
    <row r="15103" spans="20:22" x14ac:dyDescent="0.2">
      <c r="T15103">
        <v>70101329</v>
      </c>
      <c r="U15103" s="18" t="s">
        <v>2755</v>
      </c>
      <c r="V15103" s="23">
        <v>1670000</v>
      </c>
    </row>
    <row r="15104" spans="20:22" x14ac:dyDescent="0.2">
      <c r="T15104">
        <v>70101330</v>
      </c>
      <c r="U15104" s="18" t="s">
        <v>2756</v>
      </c>
      <c r="V15104" s="23">
        <v>1520000</v>
      </c>
    </row>
    <row r="15105" spans="20:22" x14ac:dyDescent="0.2">
      <c r="T15105">
        <v>70101331</v>
      </c>
      <c r="U15105" s="18" t="s">
        <v>2757</v>
      </c>
      <c r="V15105" s="23">
        <v>1670000</v>
      </c>
    </row>
    <row r="15106" spans="20:22" x14ac:dyDescent="0.2">
      <c r="T15106">
        <v>70101332</v>
      </c>
      <c r="U15106" s="18" t="s">
        <v>2758</v>
      </c>
      <c r="V15106" s="23">
        <v>30300000</v>
      </c>
    </row>
    <row r="15107" spans="20:22" x14ac:dyDescent="0.2">
      <c r="T15107">
        <v>70101333</v>
      </c>
      <c r="U15107" s="18" t="s">
        <v>2759</v>
      </c>
      <c r="V15107" s="23">
        <v>33300000</v>
      </c>
    </row>
    <row r="15108" spans="20:22" x14ac:dyDescent="0.2">
      <c r="T15108">
        <v>70101334</v>
      </c>
      <c r="U15108" s="18" t="s">
        <v>2760</v>
      </c>
      <c r="V15108" s="23">
        <v>30300000</v>
      </c>
    </row>
    <row r="15109" spans="20:22" x14ac:dyDescent="0.2">
      <c r="T15109">
        <v>70101335</v>
      </c>
      <c r="U15109" s="18" t="s">
        <v>2761</v>
      </c>
      <c r="V15109" s="23">
        <v>33300000</v>
      </c>
    </row>
    <row r="15110" spans="20:22" x14ac:dyDescent="0.2">
      <c r="T15110">
        <v>70101336</v>
      </c>
      <c r="U15110" s="18" t="s">
        <v>2762</v>
      </c>
      <c r="V15110" s="23">
        <v>34800000</v>
      </c>
    </row>
    <row r="15111" spans="20:22" x14ac:dyDescent="0.2">
      <c r="T15111">
        <v>70101337</v>
      </c>
      <c r="U15111" s="18" t="s">
        <v>2763</v>
      </c>
      <c r="V15111" s="23">
        <v>37900000</v>
      </c>
    </row>
    <row r="15112" spans="20:22" x14ac:dyDescent="0.2">
      <c r="T15112">
        <v>70101338</v>
      </c>
      <c r="U15112" s="18" t="s">
        <v>1202</v>
      </c>
      <c r="V15112" s="23">
        <v>75700000</v>
      </c>
    </row>
    <row r="15113" spans="20:22" x14ac:dyDescent="0.2">
      <c r="T15113">
        <v>70101339</v>
      </c>
      <c r="U15113" s="18" t="s">
        <v>2764</v>
      </c>
      <c r="V15113" s="23">
        <v>83200000</v>
      </c>
    </row>
    <row r="15114" spans="20:22" x14ac:dyDescent="0.2">
      <c r="T15114">
        <v>70101340</v>
      </c>
      <c r="U15114" s="18" t="s">
        <v>2765</v>
      </c>
      <c r="V15114" s="23">
        <v>75700000</v>
      </c>
    </row>
    <row r="15115" spans="20:22" x14ac:dyDescent="0.2">
      <c r="T15115">
        <v>70101341</v>
      </c>
      <c r="U15115" s="18" t="s">
        <v>2766</v>
      </c>
      <c r="V15115" s="23">
        <v>83200000</v>
      </c>
    </row>
    <row r="15116" spans="20:22" x14ac:dyDescent="0.2">
      <c r="T15116">
        <v>70101342</v>
      </c>
      <c r="U15116" s="18" t="s">
        <v>2767</v>
      </c>
      <c r="V15116" s="23">
        <v>75700000</v>
      </c>
    </row>
    <row r="15117" spans="20:22" x14ac:dyDescent="0.2">
      <c r="T15117">
        <v>70101343</v>
      </c>
      <c r="U15117" s="18" t="s">
        <v>2768</v>
      </c>
      <c r="V15117" s="23">
        <v>83200000</v>
      </c>
    </row>
    <row r="15118" spans="20:22" x14ac:dyDescent="0.2">
      <c r="T15118">
        <v>70101344</v>
      </c>
      <c r="U15118" s="18" t="s">
        <v>2769</v>
      </c>
      <c r="V15118" s="23">
        <v>75700000</v>
      </c>
    </row>
    <row r="15119" spans="20:22" x14ac:dyDescent="0.2">
      <c r="T15119">
        <v>70101345</v>
      </c>
      <c r="U15119" s="18" t="s">
        <v>2770</v>
      </c>
      <c r="V15119" s="23">
        <v>83200000</v>
      </c>
    </row>
    <row r="15120" spans="20:22" x14ac:dyDescent="0.2">
      <c r="T15120">
        <v>70101346</v>
      </c>
      <c r="U15120" s="18" t="s">
        <v>2771</v>
      </c>
      <c r="V15120" s="23">
        <v>87000000</v>
      </c>
    </row>
    <row r="15121" spans="20:22" x14ac:dyDescent="0.2">
      <c r="T15121">
        <v>70101347</v>
      </c>
      <c r="U15121" s="18" t="s">
        <v>2772</v>
      </c>
      <c r="V15121" s="23">
        <v>94600000</v>
      </c>
    </row>
    <row r="15122" spans="20:22" x14ac:dyDescent="0.2">
      <c r="T15122">
        <v>70101348</v>
      </c>
      <c r="U15122" s="18" t="s">
        <v>2773</v>
      </c>
      <c r="V15122" s="23">
        <v>87000000</v>
      </c>
    </row>
    <row r="15123" spans="20:22" x14ac:dyDescent="0.2">
      <c r="T15123">
        <v>70101349</v>
      </c>
      <c r="U15123" s="18" t="s">
        <v>2774</v>
      </c>
      <c r="V15123" s="23">
        <v>94600000</v>
      </c>
    </row>
    <row r="15124" spans="20:22" x14ac:dyDescent="0.2">
      <c r="T15124">
        <v>70101350</v>
      </c>
      <c r="U15124" s="18" t="s">
        <v>2775</v>
      </c>
      <c r="V15124" s="23">
        <v>87000000</v>
      </c>
    </row>
    <row r="15125" spans="20:22" x14ac:dyDescent="0.2">
      <c r="T15125">
        <v>70101351</v>
      </c>
      <c r="U15125" s="18" t="s">
        <v>2776</v>
      </c>
      <c r="V15125" s="23">
        <v>94600000</v>
      </c>
    </row>
    <row r="15126" spans="20:22" x14ac:dyDescent="0.2">
      <c r="T15126">
        <v>70101352</v>
      </c>
      <c r="U15126" s="18" t="s">
        <v>1203</v>
      </c>
      <c r="V15126" s="23">
        <v>87000000</v>
      </c>
    </row>
    <row r="15127" spans="20:22" x14ac:dyDescent="0.2">
      <c r="T15127">
        <v>70101353</v>
      </c>
      <c r="U15127" s="18" t="s">
        <v>2777</v>
      </c>
      <c r="V15127" s="23">
        <v>94600000</v>
      </c>
    </row>
    <row r="15128" spans="20:22" x14ac:dyDescent="0.2">
      <c r="T15128">
        <v>70101354</v>
      </c>
      <c r="U15128" s="18" t="s">
        <v>2778</v>
      </c>
      <c r="V15128" s="23">
        <v>75700000</v>
      </c>
    </row>
    <row r="15129" spans="20:22" x14ac:dyDescent="0.2">
      <c r="T15129">
        <v>70101355</v>
      </c>
      <c r="U15129" s="18" t="s">
        <v>2779</v>
      </c>
      <c r="V15129" s="23">
        <v>83200000</v>
      </c>
    </row>
    <row r="15130" spans="20:22" x14ac:dyDescent="0.2">
      <c r="T15130">
        <v>70101356</v>
      </c>
      <c r="U15130" s="18" t="s">
        <v>2780</v>
      </c>
      <c r="V15130" s="23">
        <v>151300000</v>
      </c>
    </row>
    <row r="15131" spans="20:22" x14ac:dyDescent="0.2">
      <c r="T15131">
        <v>70101357</v>
      </c>
      <c r="U15131" s="18" t="s">
        <v>2781</v>
      </c>
      <c r="V15131" s="23">
        <v>166400000</v>
      </c>
    </row>
    <row r="15132" spans="20:22" x14ac:dyDescent="0.2">
      <c r="T15132">
        <v>70101358</v>
      </c>
      <c r="U15132" s="18" t="s">
        <v>2782</v>
      </c>
      <c r="V15132" s="23">
        <v>151300000</v>
      </c>
    </row>
    <row r="15133" spans="20:22" x14ac:dyDescent="0.2">
      <c r="T15133">
        <v>70101359</v>
      </c>
      <c r="U15133" s="18" t="s">
        <v>2783</v>
      </c>
      <c r="V15133" s="23">
        <v>166400000</v>
      </c>
    </row>
    <row r="15134" spans="20:22" x14ac:dyDescent="0.2">
      <c r="T15134">
        <v>70101360</v>
      </c>
      <c r="U15134" s="18" t="s">
        <v>2784</v>
      </c>
      <c r="V15134" s="23">
        <v>151300000</v>
      </c>
    </row>
    <row r="15135" spans="20:22" x14ac:dyDescent="0.2">
      <c r="T15135">
        <v>70101361</v>
      </c>
      <c r="U15135" s="18" t="s">
        <v>2785</v>
      </c>
      <c r="V15135" s="23">
        <v>166400000</v>
      </c>
    </row>
    <row r="15136" spans="20:22" x14ac:dyDescent="0.2">
      <c r="T15136">
        <v>70101362</v>
      </c>
      <c r="U15136" s="18" t="s">
        <v>2786</v>
      </c>
      <c r="V15136" s="23">
        <v>151300000</v>
      </c>
    </row>
    <row r="15137" spans="20:22" x14ac:dyDescent="0.2">
      <c r="T15137">
        <v>70101363</v>
      </c>
      <c r="U15137" s="18" t="s">
        <v>2787</v>
      </c>
      <c r="V15137" s="23">
        <v>166400000</v>
      </c>
    </row>
    <row r="15138" spans="20:22" x14ac:dyDescent="0.2">
      <c r="T15138">
        <v>70101364</v>
      </c>
      <c r="U15138" s="18" t="s">
        <v>2788</v>
      </c>
      <c r="V15138" s="23">
        <v>87000000</v>
      </c>
    </row>
    <row r="15139" spans="20:22" x14ac:dyDescent="0.2">
      <c r="T15139">
        <v>70101365</v>
      </c>
      <c r="U15139" s="18" t="s">
        <v>2789</v>
      </c>
      <c r="V15139" s="23">
        <v>94600000</v>
      </c>
    </row>
    <row r="15140" spans="20:22" x14ac:dyDescent="0.2">
      <c r="T15140">
        <v>70101366</v>
      </c>
      <c r="U15140" s="18" t="s">
        <v>2790</v>
      </c>
      <c r="V15140" s="23">
        <v>151300000</v>
      </c>
    </row>
    <row r="15141" spans="20:22" x14ac:dyDescent="0.2">
      <c r="T15141">
        <v>70101367</v>
      </c>
      <c r="U15141" s="18" t="s">
        <v>2791</v>
      </c>
      <c r="V15141" s="23">
        <v>166400000</v>
      </c>
    </row>
    <row r="15142" spans="20:22" x14ac:dyDescent="0.2">
      <c r="T15142">
        <v>70101368</v>
      </c>
      <c r="U15142" s="18" t="s">
        <v>2792</v>
      </c>
      <c r="V15142" s="23">
        <v>7570000</v>
      </c>
    </row>
    <row r="15143" spans="20:22" x14ac:dyDescent="0.2">
      <c r="T15143">
        <v>70101369</v>
      </c>
      <c r="U15143" s="18" t="s">
        <v>2793</v>
      </c>
      <c r="V15143" s="23">
        <v>8320000</v>
      </c>
    </row>
    <row r="15144" spans="20:22" x14ac:dyDescent="0.2">
      <c r="T15144">
        <v>70101370</v>
      </c>
      <c r="U15144" s="18" t="s">
        <v>1298</v>
      </c>
      <c r="V15144" s="23">
        <v>34800000</v>
      </c>
    </row>
    <row r="15145" spans="20:22" x14ac:dyDescent="0.2">
      <c r="T15145">
        <v>70101371</v>
      </c>
      <c r="U15145" s="18" t="s">
        <v>2794</v>
      </c>
      <c r="V15145" s="23">
        <v>37900000</v>
      </c>
    </row>
    <row r="15146" spans="20:22" ht="13.5" thickBot="1" x14ac:dyDescent="0.25"/>
    <row r="15147" spans="20:22" ht="13.5" thickBot="1" x14ac:dyDescent="0.25">
      <c r="T15147" s="25" t="s">
        <v>2795</v>
      </c>
      <c r="U15147" s="26" t="s">
        <v>2796</v>
      </c>
      <c r="V15147" s="27" t="s">
        <v>2797</v>
      </c>
    </row>
    <row r="15148" spans="20:22" ht="13.5" thickBot="1" x14ac:dyDescent="0.25">
      <c r="T15148" s="28">
        <v>22111001</v>
      </c>
      <c r="U15148" s="29" t="s">
        <v>2798</v>
      </c>
      <c r="V15148" s="30">
        <v>3100</v>
      </c>
    </row>
    <row r="15149" spans="20:22" ht="13.5" thickBot="1" x14ac:dyDescent="0.25">
      <c r="T15149" s="28">
        <v>22111002</v>
      </c>
      <c r="U15149" s="29" t="s">
        <v>490</v>
      </c>
      <c r="V15149" s="30">
        <v>3000</v>
      </c>
    </row>
    <row r="15150" spans="20:22" ht="13.5" thickBot="1" x14ac:dyDescent="0.25">
      <c r="T15150" s="28">
        <v>22111003</v>
      </c>
      <c r="U15150" s="29" t="s">
        <v>2799</v>
      </c>
      <c r="V15150" s="30">
        <v>3000</v>
      </c>
    </row>
    <row r="15151" spans="20:22" ht="13.5" thickBot="1" x14ac:dyDescent="0.25">
      <c r="T15151" s="28">
        <v>22111004</v>
      </c>
      <c r="U15151" s="29" t="s">
        <v>493</v>
      </c>
      <c r="V15151" s="30">
        <v>3000</v>
      </c>
    </row>
    <row r="15152" spans="20:22" ht="13.5" thickBot="1" x14ac:dyDescent="0.25">
      <c r="T15152" s="28">
        <v>22111005</v>
      </c>
      <c r="U15152" s="29" t="s">
        <v>494</v>
      </c>
      <c r="V15152" s="30">
        <v>3000</v>
      </c>
    </row>
    <row r="15153" spans="20:22" ht="13.5" thickBot="1" x14ac:dyDescent="0.25">
      <c r="T15153" s="28">
        <v>22111006</v>
      </c>
      <c r="U15153" s="29" t="s">
        <v>491</v>
      </c>
      <c r="V15153" s="30">
        <v>3000</v>
      </c>
    </row>
    <row r="15154" spans="20:22" ht="13.5" thickBot="1" x14ac:dyDescent="0.25">
      <c r="T15154" s="28">
        <v>22111007</v>
      </c>
      <c r="U15154" s="29" t="s">
        <v>492</v>
      </c>
      <c r="V15154" s="30">
        <v>3000</v>
      </c>
    </row>
    <row r="15155" spans="20:22" ht="13.5" thickBot="1" x14ac:dyDescent="0.25">
      <c r="T15155" s="28">
        <v>22111008</v>
      </c>
      <c r="U15155" s="29" t="s">
        <v>2800</v>
      </c>
      <c r="V15155" s="30">
        <v>3100</v>
      </c>
    </row>
    <row r="15156" spans="20:22" ht="13.5" thickBot="1" x14ac:dyDescent="0.25">
      <c r="T15156" s="28">
        <v>22111009</v>
      </c>
      <c r="U15156" s="29" t="s">
        <v>496</v>
      </c>
      <c r="V15156" s="30">
        <v>3000</v>
      </c>
    </row>
    <row r="15157" spans="20:22" ht="13.5" thickBot="1" x14ac:dyDescent="0.25">
      <c r="T15157" s="28">
        <v>22111010</v>
      </c>
      <c r="U15157" s="29" t="s">
        <v>495</v>
      </c>
      <c r="V15157" s="30">
        <v>3100</v>
      </c>
    </row>
    <row r="15158" spans="20:22" ht="13.5" thickBot="1" x14ac:dyDescent="0.25">
      <c r="T15158" s="28">
        <v>22111011</v>
      </c>
      <c r="U15158" s="29" t="s">
        <v>2801</v>
      </c>
      <c r="V15158" s="30">
        <v>3100</v>
      </c>
    </row>
    <row r="15159" spans="20:22" ht="24.75" thickBot="1" x14ac:dyDescent="0.25">
      <c r="T15159" s="28">
        <v>22111013</v>
      </c>
      <c r="U15159" s="29" t="s">
        <v>2802</v>
      </c>
      <c r="V15159" s="30">
        <v>3100</v>
      </c>
    </row>
    <row r="15160" spans="20:22" ht="13.5" thickBot="1" x14ac:dyDescent="0.25">
      <c r="T15160" s="28">
        <v>22111014</v>
      </c>
      <c r="U15160" s="29" t="s">
        <v>2803</v>
      </c>
      <c r="V15160" s="30">
        <v>3100</v>
      </c>
    </row>
    <row r="15161" spans="20:22" ht="13.5" thickBot="1" x14ac:dyDescent="0.25">
      <c r="T15161" s="28">
        <v>22112001</v>
      </c>
      <c r="U15161" s="29" t="s">
        <v>553</v>
      </c>
      <c r="V15161" s="30">
        <v>48000</v>
      </c>
    </row>
    <row r="15162" spans="20:22" ht="13.5" thickBot="1" x14ac:dyDescent="0.25">
      <c r="T15162" s="28">
        <v>22112002</v>
      </c>
      <c r="U15162" s="29" t="s">
        <v>551</v>
      </c>
      <c r="V15162" s="30">
        <v>50100</v>
      </c>
    </row>
    <row r="15163" spans="20:22" ht="13.5" thickBot="1" x14ac:dyDescent="0.25">
      <c r="T15163" s="28">
        <v>22112003</v>
      </c>
      <c r="U15163" s="29" t="s">
        <v>2804</v>
      </c>
      <c r="V15163" s="30">
        <v>48900</v>
      </c>
    </row>
    <row r="15164" spans="20:22" ht="13.5" thickBot="1" x14ac:dyDescent="0.25">
      <c r="T15164" s="28">
        <v>22112004</v>
      </c>
      <c r="U15164" s="29" t="s">
        <v>556</v>
      </c>
      <c r="V15164" s="30">
        <v>48000</v>
      </c>
    </row>
    <row r="15165" spans="20:22" ht="13.5" thickBot="1" x14ac:dyDescent="0.25">
      <c r="T15165" s="28">
        <v>22112005</v>
      </c>
      <c r="U15165" s="29" t="s">
        <v>557</v>
      </c>
      <c r="V15165" s="30">
        <v>48000</v>
      </c>
    </row>
    <row r="15166" spans="20:22" ht="13.5" thickBot="1" x14ac:dyDescent="0.25">
      <c r="T15166" s="28">
        <v>22112006</v>
      </c>
      <c r="U15166" s="29" t="s">
        <v>554</v>
      </c>
      <c r="V15166" s="30">
        <v>50100</v>
      </c>
    </row>
    <row r="15167" spans="20:22" ht="13.5" thickBot="1" x14ac:dyDescent="0.25">
      <c r="T15167" s="28">
        <v>22112007</v>
      </c>
      <c r="U15167" s="29" t="s">
        <v>2805</v>
      </c>
      <c r="V15167" s="30">
        <v>48900</v>
      </c>
    </row>
    <row r="15168" spans="20:22" ht="13.5" thickBot="1" x14ac:dyDescent="0.25">
      <c r="T15168" s="28">
        <v>22112008</v>
      </c>
      <c r="U15168" s="29" t="s">
        <v>555</v>
      </c>
      <c r="V15168" s="30">
        <v>48000</v>
      </c>
    </row>
    <row r="15169" spans="20:22" ht="13.5" thickBot="1" x14ac:dyDescent="0.25">
      <c r="T15169" s="28">
        <v>22112009</v>
      </c>
      <c r="U15169" s="29" t="s">
        <v>552</v>
      </c>
      <c r="V15169" s="30">
        <v>48000</v>
      </c>
    </row>
    <row r="15170" spans="20:22" ht="13.5" thickBot="1" x14ac:dyDescent="0.25">
      <c r="T15170" s="28">
        <v>22112010</v>
      </c>
      <c r="U15170" s="29" t="s">
        <v>2806</v>
      </c>
      <c r="V15170" s="30">
        <v>48000</v>
      </c>
    </row>
    <row r="15171" spans="20:22" ht="13.5" thickBot="1" x14ac:dyDescent="0.25">
      <c r="T15171" s="28">
        <v>22123001</v>
      </c>
      <c r="U15171" s="29" t="s">
        <v>729</v>
      </c>
      <c r="V15171" s="30">
        <v>1400000</v>
      </c>
    </row>
    <row r="15172" spans="20:22" ht="13.5" thickBot="1" x14ac:dyDescent="0.25">
      <c r="T15172" s="28">
        <v>22123002</v>
      </c>
      <c r="U15172" s="29" t="s">
        <v>2807</v>
      </c>
      <c r="V15172" s="30">
        <v>1400000</v>
      </c>
    </row>
    <row r="15173" spans="20:22" ht="24.75" thickBot="1" x14ac:dyDescent="0.25">
      <c r="T15173" s="28">
        <v>22123003</v>
      </c>
      <c r="U15173" s="29" t="s">
        <v>748</v>
      </c>
      <c r="V15173" s="30">
        <v>1300000</v>
      </c>
    </row>
    <row r="15174" spans="20:22" ht="24.75" thickBot="1" x14ac:dyDescent="0.25">
      <c r="T15174" s="28">
        <v>22123004</v>
      </c>
      <c r="U15174" s="29" t="s">
        <v>730</v>
      </c>
      <c r="V15174" s="30">
        <v>1400000</v>
      </c>
    </row>
    <row r="15175" spans="20:22" ht="13.5" thickBot="1" x14ac:dyDescent="0.25">
      <c r="T15175" s="28">
        <v>22123005</v>
      </c>
      <c r="U15175" s="29" t="s">
        <v>2808</v>
      </c>
      <c r="V15175" s="30">
        <v>1400000</v>
      </c>
    </row>
    <row r="15176" spans="20:22" ht="13.5" thickBot="1" x14ac:dyDescent="0.25">
      <c r="T15176" s="28">
        <v>22123006</v>
      </c>
      <c r="U15176" s="29" t="s">
        <v>749</v>
      </c>
      <c r="V15176" s="30">
        <v>1300000</v>
      </c>
    </row>
    <row r="15177" spans="20:22" ht="13.5" thickBot="1" x14ac:dyDescent="0.25">
      <c r="T15177" s="28">
        <v>22123007</v>
      </c>
      <c r="U15177" s="29" t="s">
        <v>2809</v>
      </c>
      <c r="V15177" s="30">
        <v>1300000</v>
      </c>
    </row>
    <row r="15178" spans="20:22" ht="13.5" thickBot="1" x14ac:dyDescent="0.25">
      <c r="T15178" s="28">
        <v>22123008</v>
      </c>
      <c r="U15178" s="29" t="s">
        <v>2810</v>
      </c>
      <c r="V15178" s="30">
        <v>1400000</v>
      </c>
    </row>
    <row r="15179" spans="20:22" ht="24.75" thickBot="1" x14ac:dyDescent="0.25">
      <c r="T15179" s="28">
        <v>22123009</v>
      </c>
      <c r="U15179" s="29" t="s">
        <v>750</v>
      </c>
      <c r="V15179" s="30">
        <v>1300000</v>
      </c>
    </row>
    <row r="15180" spans="20:22" ht="13.5" thickBot="1" x14ac:dyDescent="0.25">
      <c r="T15180" s="28">
        <v>22123010</v>
      </c>
      <c r="U15180" s="29" t="s">
        <v>731</v>
      </c>
      <c r="V15180" s="30">
        <v>1300000</v>
      </c>
    </row>
    <row r="15181" spans="20:22" ht="13.5" thickBot="1" x14ac:dyDescent="0.25">
      <c r="T15181" s="28">
        <v>22124001</v>
      </c>
      <c r="U15181" s="29" t="s">
        <v>2811</v>
      </c>
      <c r="V15181" s="30">
        <v>15000000</v>
      </c>
    </row>
    <row r="15182" spans="20:22" ht="13.5" thickBot="1" x14ac:dyDescent="0.25">
      <c r="T15182" s="28">
        <v>22124002</v>
      </c>
      <c r="U15182" s="29" t="s">
        <v>986</v>
      </c>
      <c r="V15182" s="30">
        <v>13000000</v>
      </c>
    </row>
    <row r="15183" spans="20:22" ht="13.5" thickBot="1" x14ac:dyDescent="0.25">
      <c r="T15183" s="28">
        <v>22124003</v>
      </c>
      <c r="U15183" s="29" t="s">
        <v>964</v>
      </c>
      <c r="V15183" s="30">
        <v>15000000</v>
      </c>
    </row>
    <row r="15184" spans="20:22" ht="13.5" thickBot="1" x14ac:dyDescent="0.25">
      <c r="T15184" s="28">
        <v>22124004</v>
      </c>
      <c r="U15184" s="29" t="s">
        <v>2812</v>
      </c>
      <c r="V15184" s="30">
        <v>13900000</v>
      </c>
    </row>
    <row r="15185" spans="20:22" ht="13.5" thickBot="1" x14ac:dyDescent="0.25">
      <c r="T15185" s="28">
        <v>22124005</v>
      </c>
      <c r="U15185" s="29" t="s">
        <v>965</v>
      </c>
      <c r="V15185" s="30">
        <v>15000000</v>
      </c>
    </row>
    <row r="15186" spans="20:22" ht="13.5" thickBot="1" x14ac:dyDescent="0.25">
      <c r="T15186" s="28">
        <v>22124006</v>
      </c>
      <c r="U15186" s="29" t="s">
        <v>2813</v>
      </c>
      <c r="V15186" s="30">
        <v>13000000</v>
      </c>
    </row>
    <row r="15187" spans="20:22" ht="24.75" thickBot="1" x14ac:dyDescent="0.25">
      <c r="T15187" s="28">
        <v>22124007</v>
      </c>
      <c r="U15187" s="29" t="s">
        <v>987</v>
      </c>
      <c r="V15187" s="30">
        <v>13000000</v>
      </c>
    </row>
    <row r="15188" spans="20:22" ht="13.5" thickBot="1" x14ac:dyDescent="0.25">
      <c r="T15188" s="28">
        <v>22124008</v>
      </c>
      <c r="U15188" s="29" t="s">
        <v>966</v>
      </c>
      <c r="V15188" s="30">
        <v>13200000</v>
      </c>
    </row>
    <row r="15189" spans="20:22" ht="13.5" thickBot="1" x14ac:dyDescent="0.25">
      <c r="T15189" s="28">
        <v>22124009</v>
      </c>
      <c r="U15189" s="29" t="s">
        <v>2814</v>
      </c>
      <c r="V15189" s="30">
        <v>13900000</v>
      </c>
    </row>
    <row r="15190" spans="20:22" ht="24.75" thickBot="1" x14ac:dyDescent="0.25">
      <c r="T15190" s="28">
        <v>22124010</v>
      </c>
      <c r="U15190" s="29" t="s">
        <v>988</v>
      </c>
      <c r="V15190" s="30">
        <v>13000000</v>
      </c>
    </row>
    <row r="15191" spans="20:22" ht="24.75" thickBot="1" x14ac:dyDescent="0.25">
      <c r="T15191" s="28">
        <v>22124011</v>
      </c>
      <c r="U15191" s="29" t="s">
        <v>2815</v>
      </c>
      <c r="V15191" s="30">
        <v>13000000</v>
      </c>
    </row>
    <row r="15192" spans="20:22" ht="13.5" thickBot="1" x14ac:dyDescent="0.25">
      <c r="T15192" s="28">
        <v>22124012</v>
      </c>
      <c r="U15192" s="29" t="s">
        <v>957</v>
      </c>
      <c r="V15192" s="30">
        <v>15000000</v>
      </c>
    </row>
    <row r="15193" spans="20:22" ht="13.5" thickBot="1" x14ac:dyDescent="0.25">
      <c r="T15193" s="28">
        <v>22124013</v>
      </c>
      <c r="U15193" s="29" t="s">
        <v>989</v>
      </c>
      <c r="V15193" s="30">
        <v>13000000</v>
      </c>
    </row>
    <row r="15194" spans="20:22" ht="24.75" thickBot="1" x14ac:dyDescent="0.25">
      <c r="T15194" s="28">
        <v>22124014</v>
      </c>
      <c r="U15194" s="29" t="s">
        <v>958</v>
      </c>
      <c r="V15194" s="30">
        <v>13000000</v>
      </c>
    </row>
    <row r="15195" spans="20:22" ht="13.5" thickBot="1" x14ac:dyDescent="0.25">
      <c r="T15195" s="28">
        <v>22124015</v>
      </c>
      <c r="U15195" s="29" t="s">
        <v>2816</v>
      </c>
      <c r="V15195" s="30">
        <v>13000000</v>
      </c>
    </row>
    <row r="15196" spans="20:22" ht="24.75" thickBot="1" x14ac:dyDescent="0.25">
      <c r="T15196" s="28">
        <v>22124016</v>
      </c>
      <c r="U15196" s="29" t="s">
        <v>1004</v>
      </c>
      <c r="V15196" s="30">
        <v>13000000</v>
      </c>
    </row>
    <row r="15197" spans="20:22" ht="13.5" thickBot="1" x14ac:dyDescent="0.25">
      <c r="T15197" s="28">
        <v>22124017</v>
      </c>
      <c r="U15197" s="29" t="s">
        <v>959</v>
      </c>
      <c r="V15197" s="30">
        <v>13000000</v>
      </c>
    </row>
    <row r="15198" spans="20:22" ht="13.5" thickBot="1" x14ac:dyDescent="0.25">
      <c r="T15198" s="28">
        <v>22124018</v>
      </c>
      <c r="U15198" s="29" t="s">
        <v>990</v>
      </c>
      <c r="V15198" s="30">
        <v>13000000</v>
      </c>
    </row>
    <row r="15199" spans="20:22" ht="24.75" thickBot="1" x14ac:dyDescent="0.25">
      <c r="T15199" s="28">
        <v>22124019</v>
      </c>
      <c r="U15199" s="29" t="s">
        <v>967</v>
      </c>
      <c r="V15199" s="30">
        <v>13900000</v>
      </c>
    </row>
    <row r="15200" spans="20:22" ht="24.75" thickBot="1" x14ac:dyDescent="0.25">
      <c r="T15200" s="28">
        <v>22124020</v>
      </c>
      <c r="U15200" s="29" t="s">
        <v>968</v>
      </c>
      <c r="V15200" s="30">
        <v>15000000</v>
      </c>
    </row>
    <row r="15201" spans="20:22" ht="24.75" thickBot="1" x14ac:dyDescent="0.25">
      <c r="T15201" s="28">
        <v>22125001</v>
      </c>
      <c r="U15201" s="29" t="s">
        <v>2817</v>
      </c>
      <c r="V15201" s="30">
        <v>75700000</v>
      </c>
    </row>
    <row r="15202" spans="20:22" ht="13.5" thickBot="1" x14ac:dyDescent="0.25">
      <c r="T15202" s="28">
        <v>22125002</v>
      </c>
      <c r="U15202" s="29" t="s">
        <v>2818</v>
      </c>
      <c r="V15202" s="30">
        <v>87200000</v>
      </c>
    </row>
    <row r="15203" spans="20:22" ht="13.5" thickBot="1" x14ac:dyDescent="0.25">
      <c r="T15203" s="28">
        <v>22125003</v>
      </c>
      <c r="U15203" s="29" t="s">
        <v>2819</v>
      </c>
      <c r="V15203" s="30">
        <v>81200000</v>
      </c>
    </row>
    <row r="15204" spans="20:22" ht="13.5" thickBot="1" x14ac:dyDescent="0.25">
      <c r="T15204" s="28">
        <v>22125004</v>
      </c>
      <c r="U15204" s="29" t="s">
        <v>2820</v>
      </c>
      <c r="V15204" s="30">
        <v>81200000</v>
      </c>
    </row>
    <row r="15205" spans="20:22" ht="24.75" thickBot="1" x14ac:dyDescent="0.25">
      <c r="T15205" s="28">
        <v>22125005</v>
      </c>
      <c r="U15205" s="29" t="s">
        <v>2821</v>
      </c>
      <c r="V15205" s="30">
        <v>81200000</v>
      </c>
    </row>
    <row r="15206" spans="20:22" ht="13.5" thickBot="1" x14ac:dyDescent="0.25">
      <c r="T15206" s="28">
        <v>22125006</v>
      </c>
      <c r="U15206" s="29" t="s">
        <v>2822</v>
      </c>
      <c r="V15206" s="30">
        <v>87200000</v>
      </c>
    </row>
    <row r="15207" spans="20:22" ht="13.5" thickBot="1" x14ac:dyDescent="0.25">
      <c r="T15207" s="28">
        <v>22125007</v>
      </c>
      <c r="U15207" s="29" t="s">
        <v>2823</v>
      </c>
      <c r="V15207" s="30">
        <v>77100000</v>
      </c>
    </row>
    <row r="15208" spans="20:22" ht="13.5" thickBot="1" x14ac:dyDescent="0.25">
      <c r="T15208" s="28">
        <v>22125008</v>
      </c>
      <c r="U15208" s="29" t="s">
        <v>2824</v>
      </c>
      <c r="V15208" s="30">
        <v>81200000</v>
      </c>
    </row>
    <row r="15209" spans="20:22" ht="13.5" thickBot="1" x14ac:dyDescent="0.25">
      <c r="T15209" s="28">
        <v>22125009</v>
      </c>
      <c r="U15209" s="29" t="s">
        <v>2825</v>
      </c>
      <c r="V15209" s="30">
        <v>84000000</v>
      </c>
    </row>
    <row r="15210" spans="20:22" ht="13.5" thickBot="1" x14ac:dyDescent="0.25">
      <c r="T15210" s="28">
        <v>22125010</v>
      </c>
      <c r="U15210" s="29" t="s">
        <v>2826</v>
      </c>
      <c r="V15210" s="30">
        <v>75700000</v>
      </c>
    </row>
    <row r="15211" spans="20:22" ht="13.5" thickBot="1" x14ac:dyDescent="0.25">
      <c r="T15211" s="28">
        <v>22125011</v>
      </c>
      <c r="U15211" s="29" t="s">
        <v>2827</v>
      </c>
      <c r="V15211" s="30">
        <v>75700000</v>
      </c>
    </row>
    <row r="15212" spans="20:22" ht="13.5" thickBot="1" x14ac:dyDescent="0.25">
      <c r="T15212" s="28">
        <v>22125012</v>
      </c>
      <c r="U15212" s="29" t="s">
        <v>2828</v>
      </c>
      <c r="V15212" s="30">
        <v>87200000</v>
      </c>
    </row>
    <row r="15213" spans="20:22" ht="24.75" thickBot="1" x14ac:dyDescent="0.25">
      <c r="T15213" s="28">
        <v>22125013</v>
      </c>
      <c r="U15213" s="29" t="s">
        <v>2829</v>
      </c>
      <c r="V15213" s="30">
        <v>77100000</v>
      </c>
    </row>
    <row r="15214" spans="20:22" ht="13.5" thickBot="1" x14ac:dyDescent="0.25">
      <c r="T15214" s="28">
        <v>22125014</v>
      </c>
      <c r="U15214" s="29" t="s">
        <v>2830</v>
      </c>
      <c r="V15214" s="30">
        <v>75700000</v>
      </c>
    </row>
    <row r="15215" spans="20:22" ht="13.5" thickBot="1" x14ac:dyDescent="0.25">
      <c r="T15215" s="28">
        <v>22125015</v>
      </c>
      <c r="U15215" s="29" t="s">
        <v>2831</v>
      </c>
      <c r="V15215" s="30">
        <v>75700000</v>
      </c>
    </row>
    <row r="15216" spans="20:22" ht="24.75" thickBot="1" x14ac:dyDescent="0.25">
      <c r="T15216" s="28">
        <v>22125016</v>
      </c>
      <c r="U15216" s="29" t="s">
        <v>2832</v>
      </c>
      <c r="V15216" s="30">
        <v>81200000</v>
      </c>
    </row>
    <row r="15217" spans="20:22" ht="24.75" thickBot="1" x14ac:dyDescent="0.25">
      <c r="T15217" s="28">
        <v>22125017</v>
      </c>
      <c r="U15217" s="29" t="s">
        <v>2833</v>
      </c>
      <c r="V15217" s="30">
        <v>75700000</v>
      </c>
    </row>
    <row r="15218" spans="20:22" ht="13.5" thickBot="1" x14ac:dyDescent="0.25">
      <c r="T15218" s="28">
        <v>22125018</v>
      </c>
      <c r="U15218" s="29" t="s">
        <v>2834</v>
      </c>
      <c r="V15218" s="30">
        <v>87200000</v>
      </c>
    </row>
    <row r="15219" spans="20:22" ht="13.5" thickBot="1" x14ac:dyDescent="0.25">
      <c r="T15219" s="28">
        <v>22125019</v>
      </c>
      <c r="U15219" s="29" t="s">
        <v>2835</v>
      </c>
      <c r="V15219" s="30">
        <v>75700000</v>
      </c>
    </row>
    <row r="15220" spans="20:22" ht="24.75" thickBot="1" x14ac:dyDescent="0.25">
      <c r="T15220" s="28">
        <v>22125020</v>
      </c>
      <c r="U15220" s="29" t="s">
        <v>2836</v>
      </c>
      <c r="V15220" s="30">
        <v>77100000</v>
      </c>
    </row>
    <row r="15221" spans="20:22" ht="13.5" thickBot="1" x14ac:dyDescent="0.25">
      <c r="T15221" s="28">
        <v>22126001</v>
      </c>
      <c r="U15221" s="29" t="s">
        <v>2837</v>
      </c>
      <c r="V15221" s="30">
        <v>175300000</v>
      </c>
    </row>
    <row r="15222" spans="20:22" ht="13.5" thickBot="1" x14ac:dyDescent="0.25">
      <c r="T15222" s="28">
        <v>22126002</v>
      </c>
      <c r="U15222" s="29" t="s">
        <v>2838</v>
      </c>
      <c r="V15222" s="30">
        <v>175300000</v>
      </c>
    </row>
    <row r="15223" spans="20:22" ht="13.5" thickBot="1" x14ac:dyDescent="0.25">
      <c r="T15223" s="28">
        <v>22126003</v>
      </c>
      <c r="U15223" s="29" t="s">
        <v>2839</v>
      </c>
      <c r="V15223" s="30">
        <v>170400000</v>
      </c>
    </row>
    <row r="15224" spans="20:22" ht="13.5" thickBot="1" x14ac:dyDescent="0.25">
      <c r="T15224" s="28">
        <v>22126004</v>
      </c>
      <c r="U15224" s="29" t="s">
        <v>2840</v>
      </c>
      <c r="V15224" s="30">
        <v>163300000</v>
      </c>
    </row>
    <row r="15225" spans="20:22" ht="13.5" thickBot="1" x14ac:dyDescent="0.25">
      <c r="T15225" s="28">
        <v>22126005</v>
      </c>
      <c r="U15225" s="29" t="s">
        <v>2841</v>
      </c>
      <c r="V15225" s="30">
        <v>188100000</v>
      </c>
    </row>
    <row r="15226" spans="20:22" ht="13.5" thickBot="1" x14ac:dyDescent="0.25">
      <c r="T15226" s="28">
        <v>22126006</v>
      </c>
      <c r="U15226" s="29" t="s">
        <v>2842</v>
      </c>
      <c r="V15226" s="30">
        <v>188100000</v>
      </c>
    </row>
    <row r="15227" spans="20:22" ht="13.5" thickBot="1" x14ac:dyDescent="0.25">
      <c r="T15227" s="28">
        <v>22126007</v>
      </c>
      <c r="U15227" s="29" t="s">
        <v>2843</v>
      </c>
      <c r="V15227" s="30">
        <v>163300000</v>
      </c>
    </row>
    <row r="15228" spans="20:22" ht="13.5" thickBot="1" x14ac:dyDescent="0.25">
      <c r="T15228" s="28">
        <v>22126008</v>
      </c>
      <c r="U15228" s="29" t="s">
        <v>2844</v>
      </c>
      <c r="V15228" s="30">
        <v>166300000</v>
      </c>
    </row>
    <row r="15229" spans="20:22" ht="13.5" thickBot="1" x14ac:dyDescent="0.25">
      <c r="T15229" s="28">
        <v>22126009</v>
      </c>
      <c r="U15229" s="29" t="s">
        <v>2845</v>
      </c>
      <c r="V15229" s="30">
        <v>175300000</v>
      </c>
    </row>
    <row r="15230" spans="20:22" ht="13.5" thickBot="1" x14ac:dyDescent="0.25">
      <c r="T15230" s="28">
        <v>22126010</v>
      </c>
      <c r="U15230" s="29" t="s">
        <v>2846</v>
      </c>
      <c r="V15230" s="30">
        <v>163300000</v>
      </c>
    </row>
    <row r="15231" spans="20:22" ht="24.75" thickBot="1" x14ac:dyDescent="0.25">
      <c r="T15231" s="28">
        <v>22126011</v>
      </c>
      <c r="U15231" s="29" t="s">
        <v>2847</v>
      </c>
      <c r="V15231" s="30">
        <v>166300000</v>
      </c>
    </row>
    <row r="15232" spans="20:22" ht="13.5" thickBot="1" x14ac:dyDescent="0.25">
      <c r="T15232" s="28">
        <v>22126012</v>
      </c>
      <c r="U15232" s="29" t="s">
        <v>2848</v>
      </c>
      <c r="V15232" s="30">
        <v>188100000</v>
      </c>
    </row>
    <row r="15233" spans="20:22" ht="13.5" thickBot="1" x14ac:dyDescent="0.25">
      <c r="T15233" s="28">
        <v>22126013</v>
      </c>
      <c r="U15233" s="29" t="s">
        <v>2849</v>
      </c>
      <c r="V15233" s="30">
        <v>166300000</v>
      </c>
    </row>
    <row r="15234" spans="20:22" ht="24.75" thickBot="1" x14ac:dyDescent="0.25">
      <c r="T15234" s="28">
        <v>22126014</v>
      </c>
      <c r="U15234" s="29" t="s">
        <v>2850</v>
      </c>
      <c r="V15234" s="30">
        <v>163300000</v>
      </c>
    </row>
    <row r="15235" spans="20:22" ht="13.5" thickBot="1" x14ac:dyDescent="0.25">
      <c r="T15235" s="28">
        <v>22126015</v>
      </c>
      <c r="U15235" s="29" t="s">
        <v>2851</v>
      </c>
      <c r="V15235" s="30">
        <v>166300000</v>
      </c>
    </row>
    <row r="15236" spans="20:22" ht="24.75" thickBot="1" x14ac:dyDescent="0.25">
      <c r="T15236" s="28">
        <v>22126016</v>
      </c>
      <c r="U15236" s="29" t="s">
        <v>2852</v>
      </c>
      <c r="V15236" s="30">
        <v>181200000</v>
      </c>
    </row>
    <row r="15237" spans="20:22" ht="24.75" thickBot="1" x14ac:dyDescent="0.25">
      <c r="T15237" s="28">
        <v>22126017</v>
      </c>
      <c r="U15237" s="29" t="s">
        <v>2853</v>
      </c>
      <c r="V15237" s="30">
        <v>166300000</v>
      </c>
    </row>
    <row r="15238" spans="20:22" ht="13.5" thickBot="1" x14ac:dyDescent="0.25">
      <c r="T15238" s="28">
        <v>22126018</v>
      </c>
      <c r="U15238" s="29" t="s">
        <v>2854</v>
      </c>
      <c r="V15238" s="30">
        <v>163300000</v>
      </c>
    </row>
    <row r="15239" spans="20:22" ht="24.75" thickBot="1" x14ac:dyDescent="0.25">
      <c r="T15239" s="28">
        <v>22126019</v>
      </c>
      <c r="U15239" s="29" t="s">
        <v>2855</v>
      </c>
      <c r="V15239" s="30">
        <v>163300000</v>
      </c>
    </row>
    <row r="15240" spans="20:22" ht="13.5" thickBot="1" x14ac:dyDescent="0.25">
      <c r="T15240" s="28">
        <v>22126020</v>
      </c>
      <c r="U15240" s="29" t="s">
        <v>2856</v>
      </c>
      <c r="V15240" s="30">
        <v>166300000</v>
      </c>
    </row>
    <row r="15241" spans="20:22" ht="13.5" thickBot="1" x14ac:dyDescent="0.25">
      <c r="T15241" s="28">
        <v>22133001</v>
      </c>
      <c r="U15241" s="29" t="s">
        <v>732</v>
      </c>
      <c r="V15241" s="30">
        <v>1400000</v>
      </c>
    </row>
    <row r="15242" spans="20:22" ht="13.5" thickBot="1" x14ac:dyDescent="0.25">
      <c r="T15242" s="28">
        <v>22133002</v>
      </c>
      <c r="U15242" s="29" t="s">
        <v>751</v>
      </c>
      <c r="V15242" s="30">
        <v>1400000</v>
      </c>
    </row>
    <row r="15243" spans="20:22" ht="24.75" thickBot="1" x14ac:dyDescent="0.25">
      <c r="T15243" s="28">
        <v>22133003</v>
      </c>
      <c r="U15243" s="29" t="s">
        <v>762</v>
      </c>
      <c r="V15243" s="30">
        <v>1300000</v>
      </c>
    </row>
    <row r="15244" spans="20:22" ht="13.5" thickBot="1" x14ac:dyDescent="0.25">
      <c r="T15244" s="28">
        <v>22133004</v>
      </c>
      <c r="U15244" s="29" t="s">
        <v>733</v>
      </c>
      <c r="V15244" s="30">
        <v>1300000</v>
      </c>
    </row>
    <row r="15245" spans="20:22" ht="13.5" thickBot="1" x14ac:dyDescent="0.25">
      <c r="T15245" s="28">
        <v>22133005</v>
      </c>
      <c r="U15245" s="29" t="s">
        <v>752</v>
      </c>
      <c r="V15245" s="30">
        <v>1400000</v>
      </c>
    </row>
    <row r="15246" spans="20:22" ht="13.5" thickBot="1" x14ac:dyDescent="0.25">
      <c r="T15246" s="28">
        <v>22133006</v>
      </c>
      <c r="U15246" s="29" t="s">
        <v>2857</v>
      </c>
      <c r="V15246" s="30">
        <v>1300000</v>
      </c>
    </row>
    <row r="15247" spans="20:22" ht="13.5" thickBot="1" x14ac:dyDescent="0.25">
      <c r="T15247" s="28">
        <v>22133007</v>
      </c>
      <c r="U15247" s="29" t="s">
        <v>753</v>
      </c>
      <c r="V15247" s="30">
        <v>1400000</v>
      </c>
    </row>
    <row r="15248" spans="20:22" ht="13.5" thickBot="1" x14ac:dyDescent="0.25">
      <c r="T15248" s="28">
        <v>22133008</v>
      </c>
      <c r="U15248" s="29" t="s">
        <v>754</v>
      </c>
      <c r="V15248" s="30">
        <v>1300000</v>
      </c>
    </row>
    <row r="15249" spans="20:22" ht="13.5" thickBot="1" x14ac:dyDescent="0.25">
      <c r="T15249" s="28">
        <v>22133009</v>
      </c>
      <c r="U15249" s="29" t="s">
        <v>755</v>
      </c>
      <c r="V15249" s="30">
        <v>1400000</v>
      </c>
    </row>
    <row r="15250" spans="20:22" ht="13.5" thickBot="1" x14ac:dyDescent="0.25">
      <c r="T15250" s="28">
        <v>22133010</v>
      </c>
      <c r="U15250" s="29" t="s">
        <v>734</v>
      </c>
      <c r="V15250" s="30">
        <v>1400000</v>
      </c>
    </row>
    <row r="15251" spans="20:22" ht="13.5" thickBot="1" x14ac:dyDescent="0.25">
      <c r="T15251" s="28">
        <v>22133011</v>
      </c>
      <c r="U15251" s="29" t="s">
        <v>2858</v>
      </c>
      <c r="V15251" s="30">
        <v>1400000</v>
      </c>
    </row>
    <row r="15252" spans="20:22" ht="13.5" thickBot="1" x14ac:dyDescent="0.25">
      <c r="T15252" s="28">
        <v>22133012</v>
      </c>
      <c r="U15252" s="29" t="s">
        <v>735</v>
      </c>
      <c r="V15252" s="30">
        <v>1400000</v>
      </c>
    </row>
    <row r="15253" spans="20:22" ht="13.5" thickBot="1" x14ac:dyDescent="0.25">
      <c r="T15253" s="28">
        <v>22133013</v>
      </c>
      <c r="U15253" s="29" t="s">
        <v>736</v>
      </c>
      <c r="V15253" s="30">
        <v>1300000</v>
      </c>
    </row>
    <row r="15254" spans="20:22" ht="13.5" thickBot="1" x14ac:dyDescent="0.25">
      <c r="T15254" s="28">
        <v>22133014</v>
      </c>
      <c r="U15254" s="29" t="s">
        <v>2859</v>
      </c>
      <c r="V15254" s="30">
        <v>1300000</v>
      </c>
    </row>
    <row r="15255" spans="20:22" ht="13.5" thickBot="1" x14ac:dyDescent="0.25">
      <c r="T15255" s="28">
        <v>22133015</v>
      </c>
      <c r="U15255" s="29" t="s">
        <v>2860</v>
      </c>
      <c r="V15255" s="30">
        <v>1300000</v>
      </c>
    </row>
    <row r="15256" spans="20:22" ht="13.5" thickBot="1" x14ac:dyDescent="0.25">
      <c r="T15256" s="28">
        <v>22133016</v>
      </c>
      <c r="U15256" s="29" t="s">
        <v>726</v>
      </c>
      <c r="V15256" s="30">
        <v>1400000</v>
      </c>
    </row>
    <row r="15257" spans="20:22" ht="13.5" thickBot="1" x14ac:dyDescent="0.25">
      <c r="T15257" s="28">
        <v>22133017</v>
      </c>
      <c r="U15257" s="29" t="s">
        <v>737</v>
      </c>
      <c r="V15257" s="30">
        <v>1400000</v>
      </c>
    </row>
    <row r="15258" spans="20:22" ht="24.75" thickBot="1" x14ac:dyDescent="0.25">
      <c r="T15258" s="28">
        <v>22133018</v>
      </c>
      <c r="U15258" s="29" t="s">
        <v>727</v>
      </c>
      <c r="V15258" s="30">
        <v>1400000</v>
      </c>
    </row>
    <row r="15259" spans="20:22" ht="13.5" thickBot="1" x14ac:dyDescent="0.25">
      <c r="T15259" s="28">
        <v>22133019</v>
      </c>
      <c r="U15259" s="29" t="s">
        <v>738</v>
      </c>
      <c r="V15259" s="30">
        <v>1400000</v>
      </c>
    </row>
    <row r="15260" spans="20:22" ht="13.5" thickBot="1" x14ac:dyDescent="0.25">
      <c r="T15260" s="28">
        <v>22133020</v>
      </c>
      <c r="U15260" s="29" t="s">
        <v>739</v>
      </c>
      <c r="V15260" s="30">
        <v>1300000</v>
      </c>
    </row>
    <row r="15261" spans="20:22" ht="13.5" thickBot="1" x14ac:dyDescent="0.25">
      <c r="T15261" s="28">
        <v>22134001</v>
      </c>
      <c r="U15261" s="29" t="s">
        <v>969</v>
      </c>
      <c r="V15261" s="30">
        <v>14400000</v>
      </c>
    </row>
    <row r="15262" spans="20:22" ht="13.5" thickBot="1" x14ac:dyDescent="0.25">
      <c r="T15262" s="28">
        <v>22134002</v>
      </c>
      <c r="U15262" s="29" t="s">
        <v>991</v>
      </c>
      <c r="V15262" s="30">
        <v>13900000</v>
      </c>
    </row>
    <row r="15263" spans="20:22" ht="13.5" thickBot="1" x14ac:dyDescent="0.25">
      <c r="T15263" s="28">
        <v>22134003</v>
      </c>
      <c r="U15263" s="29" t="s">
        <v>1005</v>
      </c>
      <c r="V15263" s="30">
        <v>13000000</v>
      </c>
    </row>
    <row r="15264" spans="20:22" ht="13.5" thickBot="1" x14ac:dyDescent="0.25">
      <c r="T15264" s="28">
        <v>22134004</v>
      </c>
      <c r="U15264" s="29" t="s">
        <v>970</v>
      </c>
      <c r="V15264" s="30">
        <v>15000000</v>
      </c>
    </row>
    <row r="15265" spans="20:22" ht="13.5" thickBot="1" x14ac:dyDescent="0.25">
      <c r="T15265" s="28">
        <v>22134005</v>
      </c>
      <c r="U15265" s="29" t="s">
        <v>992</v>
      </c>
      <c r="V15265" s="30">
        <v>13000000</v>
      </c>
    </row>
    <row r="15266" spans="20:22" ht="24.75" thickBot="1" x14ac:dyDescent="0.25">
      <c r="T15266" s="28">
        <v>22134006</v>
      </c>
      <c r="U15266" s="29" t="s">
        <v>2861</v>
      </c>
      <c r="V15266" s="30">
        <v>13000000</v>
      </c>
    </row>
    <row r="15267" spans="20:22" ht="24.75" thickBot="1" x14ac:dyDescent="0.25">
      <c r="T15267" s="28">
        <v>22134007</v>
      </c>
      <c r="U15267" s="29" t="s">
        <v>993</v>
      </c>
      <c r="V15267" s="30">
        <v>13200000</v>
      </c>
    </row>
    <row r="15268" spans="20:22" ht="24.75" thickBot="1" x14ac:dyDescent="0.25">
      <c r="T15268" s="28">
        <v>22134008</v>
      </c>
      <c r="U15268" s="29" t="s">
        <v>994</v>
      </c>
      <c r="V15268" s="30">
        <v>13000000</v>
      </c>
    </row>
    <row r="15269" spans="20:22" ht="13.5" thickBot="1" x14ac:dyDescent="0.25">
      <c r="T15269" s="28">
        <v>22134009</v>
      </c>
      <c r="U15269" s="29" t="s">
        <v>995</v>
      </c>
      <c r="V15269" s="30">
        <v>13000000</v>
      </c>
    </row>
    <row r="15270" spans="20:22" ht="13.5" thickBot="1" x14ac:dyDescent="0.25">
      <c r="T15270" s="28">
        <v>22134010</v>
      </c>
      <c r="U15270" s="29" t="s">
        <v>971</v>
      </c>
      <c r="V15270" s="30">
        <v>13900000</v>
      </c>
    </row>
    <row r="15271" spans="20:22" ht="13.5" thickBot="1" x14ac:dyDescent="0.25">
      <c r="T15271" s="28">
        <v>22134011</v>
      </c>
      <c r="U15271" s="29" t="s">
        <v>996</v>
      </c>
      <c r="V15271" s="30">
        <v>15000000</v>
      </c>
    </row>
    <row r="15272" spans="20:22" ht="13.5" thickBot="1" x14ac:dyDescent="0.25">
      <c r="T15272" s="28">
        <v>22134012</v>
      </c>
      <c r="U15272" s="29" t="s">
        <v>972</v>
      </c>
      <c r="V15272" s="30">
        <v>14400000</v>
      </c>
    </row>
    <row r="15273" spans="20:22" ht="24.75" thickBot="1" x14ac:dyDescent="0.25">
      <c r="T15273" s="28">
        <v>22134013</v>
      </c>
      <c r="U15273" s="29" t="s">
        <v>973</v>
      </c>
      <c r="V15273" s="30">
        <v>13000000</v>
      </c>
    </row>
    <row r="15274" spans="20:22" ht="13.5" thickBot="1" x14ac:dyDescent="0.25">
      <c r="T15274" s="28">
        <v>22134014</v>
      </c>
      <c r="U15274" s="29" t="s">
        <v>2862</v>
      </c>
      <c r="V15274" s="30">
        <v>13900000</v>
      </c>
    </row>
    <row r="15275" spans="20:22" ht="13.5" thickBot="1" x14ac:dyDescent="0.25">
      <c r="T15275" s="28">
        <v>22134015</v>
      </c>
      <c r="U15275" s="29" t="s">
        <v>2863</v>
      </c>
      <c r="V15275" s="30">
        <v>13000000</v>
      </c>
    </row>
    <row r="15276" spans="20:22" ht="24.75" thickBot="1" x14ac:dyDescent="0.25">
      <c r="T15276" s="28">
        <v>22134016</v>
      </c>
      <c r="U15276" s="29" t="s">
        <v>960</v>
      </c>
      <c r="V15276" s="30">
        <v>13600000</v>
      </c>
    </row>
    <row r="15277" spans="20:22" ht="13.5" thickBot="1" x14ac:dyDescent="0.25">
      <c r="T15277" s="28">
        <v>22134017</v>
      </c>
      <c r="U15277" s="29" t="s">
        <v>974</v>
      </c>
      <c r="V15277" s="30">
        <v>15000000</v>
      </c>
    </row>
    <row r="15278" spans="20:22" ht="13.5" thickBot="1" x14ac:dyDescent="0.25">
      <c r="T15278" s="28">
        <v>22134018</v>
      </c>
      <c r="U15278" s="29" t="s">
        <v>961</v>
      </c>
      <c r="V15278" s="30">
        <v>13600000</v>
      </c>
    </row>
    <row r="15279" spans="20:22" ht="24.75" thickBot="1" x14ac:dyDescent="0.25">
      <c r="T15279" s="28">
        <v>22134019</v>
      </c>
      <c r="U15279" s="29" t="s">
        <v>975</v>
      </c>
      <c r="V15279" s="30">
        <v>13900000</v>
      </c>
    </row>
    <row r="15280" spans="20:22" ht="24.75" thickBot="1" x14ac:dyDescent="0.25">
      <c r="T15280" s="28">
        <v>22134020</v>
      </c>
      <c r="U15280" s="29" t="s">
        <v>976</v>
      </c>
      <c r="V15280" s="30">
        <v>13200000</v>
      </c>
    </row>
    <row r="15281" spans="20:22" ht="13.5" thickBot="1" x14ac:dyDescent="0.25">
      <c r="T15281" s="28">
        <v>22135001</v>
      </c>
      <c r="U15281" s="29" t="s">
        <v>2864</v>
      </c>
      <c r="V15281" s="30">
        <v>84000000</v>
      </c>
    </row>
    <row r="15282" spans="20:22" ht="13.5" thickBot="1" x14ac:dyDescent="0.25">
      <c r="T15282" s="28">
        <v>22135002</v>
      </c>
      <c r="U15282" s="29" t="s">
        <v>2865</v>
      </c>
      <c r="V15282" s="30">
        <v>87200000</v>
      </c>
    </row>
    <row r="15283" spans="20:22" ht="24.75" thickBot="1" x14ac:dyDescent="0.25">
      <c r="T15283" s="28">
        <v>22135003</v>
      </c>
      <c r="U15283" s="29" t="s">
        <v>2866</v>
      </c>
      <c r="V15283" s="30">
        <v>75700000</v>
      </c>
    </row>
    <row r="15284" spans="20:22" ht="13.5" thickBot="1" x14ac:dyDescent="0.25">
      <c r="T15284" s="28">
        <v>22135004</v>
      </c>
      <c r="U15284" s="29" t="s">
        <v>2867</v>
      </c>
      <c r="V15284" s="30">
        <v>77100000</v>
      </c>
    </row>
    <row r="15285" spans="20:22" ht="24.75" thickBot="1" x14ac:dyDescent="0.25">
      <c r="T15285" s="28">
        <v>22135005</v>
      </c>
      <c r="U15285" s="29" t="s">
        <v>2868</v>
      </c>
      <c r="V15285" s="30">
        <v>84000000</v>
      </c>
    </row>
    <row r="15286" spans="20:22" ht="13.5" thickBot="1" x14ac:dyDescent="0.25">
      <c r="T15286" s="28">
        <v>22135006</v>
      </c>
      <c r="U15286" s="29" t="s">
        <v>2869</v>
      </c>
      <c r="V15286" s="30">
        <v>77100000</v>
      </c>
    </row>
    <row r="15287" spans="20:22" ht="24.75" thickBot="1" x14ac:dyDescent="0.25">
      <c r="T15287" s="28">
        <v>22135007</v>
      </c>
      <c r="U15287" s="29" t="s">
        <v>2870</v>
      </c>
      <c r="V15287" s="30">
        <v>75700000</v>
      </c>
    </row>
    <row r="15288" spans="20:22" ht="13.5" thickBot="1" x14ac:dyDescent="0.25">
      <c r="T15288" s="28">
        <v>22135008</v>
      </c>
      <c r="U15288" s="29" t="s">
        <v>2871</v>
      </c>
      <c r="V15288" s="30">
        <v>75700000</v>
      </c>
    </row>
    <row r="15289" spans="20:22" ht="13.5" thickBot="1" x14ac:dyDescent="0.25">
      <c r="T15289" s="28">
        <v>22135009</v>
      </c>
      <c r="U15289" s="29" t="s">
        <v>2872</v>
      </c>
      <c r="V15289" s="30">
        <v>87200000</v>
      </c>
    </row>
    <row r="15290" spans="20:22" ht="24.75" thickBot="1" x14ac:dyDescent="0.25">
      <c r="T15290" s="28">
        <v>22135010</v>
      </c>
      <c r="U15290" s="29" t="s">
        <v>2873</v>
      </c>
      <c r="V15290" s="30">
        <v>75700000</v>
      </c>
    </row>
    <row r="15291" spans="20:22" ht="13.5" thickBot="1" x14ac:dyDescent="0.25">
      <c r="T15291" s="28">
        <v>22135011</v>
      </c>
      <c r="U15291" s="29" t="s">
        <v>2874</v>
      </c>
      <c r="V15291" s="30">
        <v>87200000</v>
      </c>
    </row>
    <row r="15292" spans="20:22" ht="24.75" thickBot="1" x14ac:dyDescent="0.25">
      <c r="T15292" s="28">
        <v>22135012</v>
      </c>
      <c r="U15292" s="29" t="s">
        <v>2875</v>
      </c>
      <c r="V15292" s="30">
        <v>78900000</v>
      </c>
    </row>
    <row r="15293" spans="20:22" ht="13.5" thickBot="1" x14ac:dyDescent="0.25">
      <c r="T15293" s="28">
        <v>22135013</v>
      </c>
      <c r="U15293" s="29" t="s">
        <v>2876</v>
      </c>
      <c r="V15293" s="30">
        <v>87200000</v>
      </c>
    </row>
    <row r="15294" spans="20:22" ht="13.5" thickBot="1" x14ac:dyDescent="0.25">
      <c r="T15294" s="28">
        <v>22135014</v>
      </c>
      <c r="U15294" s="29" t="s">
        <v>2877</v>
      </c>
      <c r="V15294" s="30">
        <v>75700000</v>
      </c>
    </row>
    <row r="15295" spans="20:22" ht="13.5" thickBot="1" x14ac:dyDescent="0.25">
      <c r="T15295" s="28">
        <v>22135015</v>
      </c>
      <c r="U15295" s="29" t="s">
        <v>2878</v>
      </c>
      <c r="V15295" s="30">
        <v>84000000</v>
      </c>
    </row>
    <row r="15296" spans="20:22" ht="13.5" thickBot="1" x14ac:dyDescent="0.25">
      <c r="T15296" s="28">
        <v>22135016</v>
      </c>
      <c r="U15296" s="29" t="s">
        <v>2879</v>
      </c>
      <c r="V15296" s="30">
        <v>77100000</v>
      </c>
    </row>
    <row r="15297" spans="20:22" ht="13.5" thickBot="1" x14ac:dyDescent="0.25">
      <c r="T15297" s="28">
        <v>22135017</v>
      </c>
      <c r="U15297" s="29" t="s">
        <v>2880</v>
      </c>
      <c r="V15297" s="30">
        <v>87200000</v>
      </c>
    </row>
    <row r="15298" spans="20:22" ht="13.5" thickBot="1" x14ac:dyDescent="0.25">
      <c r="T15298" s="28">
        <v>22135018</v>
      </c>
      <c r="U15298" s="29" t="s">
        <v>2881</v>
      </c>
      <c r="V15298" s="30">
        <v>81200000</v>
      </c>
    </row>
    <row r="15299" spans="20:22" ht="24.75" thickBot="1" x14ac:dyDescent="0.25">
      <c r="T15299" s="28">
        <v>22135019</v>
      </c>
      <c r="U15299" s="29" t="s">
        <v>2882</v>
      </c>
      <c r="V15299" s="30">
        <v>78900000</v>
      </c>
    </row>
    <row r="15300" spans="20:22" ht="13.5" thickBot="1" x14ac:dyDescent="0.25">
      <c r="T15300" s="28">
        <v>22135020</v>
      </c>
      <c r="U15300" s="29" t="s">
        <v>2883</v>
      </c>
      <c r="V15300" s="30">
        <v>87200000</v>
      </c>
    </row>
    <row r="15301" spans="20:22" ht="13.5" thickBot="1" x14ac:dyDescent="0.25">
      <c r="T15301" s="28">
        <v>22136001</v>
      </c>
      <c r="U15301" s="29" t="s">
        <v>2884</v>
      </c>
      <c r="V15301" s="30">
        <v>175300000</v>
      </c>
    </row>
    <row r="15302" spans="20:22" ht="24.75" thickBot="1" x14ac:dyDescent="0.25">
      <c r="T15302" s="28">
        <v>22136002</v>
      </c>
      <c r="U15302" s="29" t="s">
        <v>2885</v>
      </c>
      <c r="V15302" s="30">
        <v>163300000</v>
      </c>
    </row>
    <row r="15303" spans="20:22" ht="24.75" thickBot="1" x14ac:dyDescent="0.25">
      <c r="T15303" s="28">
        <v>22136003</v>
      </c>
      <c r="U15303" s="29" t="s">
        <v>2886</v>
      </c>
      <c r="V15303" s="30">
        <v>163300000</v>
      </c>
    </row>
    <row r="15304" spans="20:22" ht="13.5" thickBot="1" x14ac:dyDescent="0.25">
      <c r="T15304" s="28">
        <v>22136004</v>
      </c>
      <c r="U15304" s="29" t="s">
        <v>2887</v>
      </c>
      <c r="V15304" s="30">
        <v>166300000</v>
      </c>
    </row>
    <row r="15305" spans="20:22" ht="13.5" thickBot="1" x14ac:dyDescent="0.25">
      <c r="T15305" s="28">
        <v>22136005</v>
      </c>
      <c r="U15305" s="29" t="s">
        <v>2888</v>
      </c>
      <c r="V15305" s="30">
        <v>188100000</v>
      </c>
    </row>
    <row r="15306" spans="20:22" ht="24.75" thickBot="1" x14ac:dyDescent="0.25">
      <c r="T15306" s="28">
        <v>22136006</v>
      </c>
      <c r="U15306" s="29" t="s">
        <v>2889</v>
      </c>
      <c r="V15306" s="30">
        <v>163300000</v>
      </c>
    </row>
    <row r="15307" spans="20:22" ht="24.75" thickBot="1" x14ac:dyDescent="0.25">
      <c r="T15307" s="28">
        <v>22136007</v>
      </c>
      <c r="U15307" s="29" t="s">
        <v>2890</v>
      </c>
      <c r="V15307" s="30">
        <v>175300000</v>
      </c>
    </row>
    <row r="15308" spans="20:22" ht="13.5" thickBot="1" x14ac:dyDescent="0.25">
      <c r="T15308" s="28">
        <v>22136008</v>
      </c>
      <c r="U15308" s="29" t="s">
        <v>2891</v>
      </c>
      <c r="V15308" s="30">
        <v>181200000</v>
      </c>
    </row>
    <row r="15309" spans="20:22" ht="13.5" thickBot="1" x14ac:dyDescent="0.25">
      <c r="T15309" s="28">
        <v>22136009</v>
      </c>
      <c r="U15309" s="29" t="s">
        <v>2892</v>
      </c>
      <c r="V15309" s="30">
        <v>188100000</v>
      </c>
    </row>
    <row r="15310" spans="20:22" ht="13.5" thickBot="1" x14ac:dyDescent="0.25">
      <c r="T15310" s="28">
        <v>22136010</v>
      </c>
      <c r="U15310" s="29" t="s">
        <v>2893</v>
      </c>
      <c r="V15310" s="30">
        <v>175300000</v>
      </c>
    </row>
    <row r="15311" spans="20:22" ht="13.5" thickBot="1" x14ac:dyDescent="0.25">
      <c r="T15311" s="28">
        <v>22136011</v>
      </c>
      <c r="U15311" s="29" t="s">
        <v>2894</v>
      </c>
      <c r="V15311" s="30">
        <v>163300000</v>
      </c>
    </row>
    <row r="15312" spans="20:22" ht="24.75" thickBot="1" x14ac:dyDescent="0.25">
      <c r="T15312" s="28">
        <v>22136012</v>
      </c>
      <c r="U15312" s="29" t="s">
        <v>2895</v>
      </c>
      <c r="V15312" s="30">
        <v>181200000</v>
      </c>
    </row>
    <row r="15313" spans="20:22" ht="24.75" thickBot="1" x14ac:dyDescent="0.25">
      <c r="T15313" s="28">
        <v>22136013</v>
      </c>
      <c r="U15313" s="29" t="s">
        <v>2896</v>
      </c>
      <c r="V15313" s="30">
        <v>175300000</v>
      </c>
    </row>
    <row r="15314" spans="20:22" ht="13.5" thickBot="1" x14ac:dyDescent="0.25">
      <c r="T15314" s="28">
        <v>22136014</v>
      </c>
      <c r="U15314" s="29" t="s">
        <v>2897</v>
      </c>
      <c r="V15314" s="30">
        <v>175300000</v>
      </c>
    </row>
    <row r="15315" spans="20:22" ht="24.75" thickBot="1" x14ac:dyDescent="0.25">
      <c r="T15315" s="28">
        <v>22136015</v>
      </c>
      <c r="U15315" s="29" t="s">
        <v>2898</v>
      </c>
      <c r="V15315" s="30">
        <v>175300000</v>
      </c>
    </row>
    <row r="15316" spans="20:22" ht="24.75" thickBot="1" x14ac:dyDescent="0.25">
      <c r="T15316" s="28">
        <v>22136016</v>
      </c>
      <c r="U15316" s="29" t="s">
        <v>2899</v>
      </c>
      <c r="V15316" s="30">
        <v>170400000</v>
      </c>
    </row>
    <row r="15317" spans="20:22" ht="24.75" thickBot="1" x14ac:dyDescent="0.25">
      <c r="T15317" s="28">
        <v>22136017</v>
      </c>
      <c r="U15317" s="29" t="s">
        <v>2900</v>
      </c>
      <c r="V15317" s="30">
        <v>188100000</v>
      </c>
    </row>
    <row r="15318" spans="20:22" ht="13.5" thickBot="1" x14ac:dyDescent="0.25">
      <c r="T15318" s="28">
        <v>22136018</v>
      </c>
      <c r="U15318" s="29" t="s">
        <v>2901</v>
      </c>
      <c r="V15318" s="30">
        <v>188100000</v>
      </c>
    </row>
    <row r="15319" spans="20:22" ht="13.5" thickBot="1" x14ac:dyDescent="0.25">
      <c r="T15319" s="28">
        <v>22136019</v>
      </c>
      <c r="U15319" s="29" t="s">
        <v>2902</v>
      </c>
      <c r="V15319" s="30">
        <v>188100000</v>
      </c>
    </row>
    <row r="15320" spans="20:22" ht="13.5" thickBot="1" x14ac:dyDescent="0.25">
      <c r="T15320" s="28">
        <v>22136020</v>
      </c>
      <c r="U15320" s="29" t="s">
        <v>2903</v>
      </c>
      <c r="V15320" s="30">
        <v>166300000</v>
      </c>
    </row>
    <row r="15321" spans="20:22" ht="13.5" thickBot="1" x14ac:dyDescent="0.25">
      <c r="T15321" s="28">
        <v>22143001</v>
      </c>
      <c r="U15321" s="29" t="s">
        <v>740</v>
      </c>
      <c r="V15321" s="30">
        <v>1400000</v>
      </c>
    </row>
    <row r="15322" spans="20:22" ht="13.5" thickBot="1" x14ac:dyDescent="0.25">
      <c r="T15322" s="28">
        <v>22143002</v>
      </c>
      <c r="U15322" s="29" t="s">
        <v>756</v>
      </c>
      <c r="V15322" s="30">
        <v>1300000</v>
      </c>
    </row>
    <row r="15323" spans="20:22" ht="24.75" thickBot="1" x14ac:dyDescent="0.25">
      <c r="T15323" s="28">
        <v>22143003</v>
      </c>
      <c r="U15323" s="29" t="s">
        <v>2904</v>
      </c>
      <c r="V15323" s="30">
        <v>1300000</v>
      </c>
    </row>
    <row r="15324" spans="20:22" ht="13.5" thickBot="1" x14ac:dyDescent="0.25">
      <c r="T15324" s="28">
        <v>22143004</v>
      </c>
      <c r="U15324" s="29" t="s">
        <v>741</v>
      </c>
      <c r="V15324" s="30">
        <v>1300000</v>
      </c>
    </row>
    <row r="15325" spans="20:22" ht="13.5" thickBot="1" x14ac:dyDescent="0.25">
      <c r="T15325" s="28">
        <v>22143005</v>
      </c>
      <c r="U15325" s="29" t="s">
        <v>2905</v>
      </c>
      <c r="V15325" s="30">
        <v>1400000</v>
      </c>
    </row>
    <row r="15326" spans="20:22" ht="13.5" thickBot="1" x14ac:dyDescent="0.25">
      <c r="T15326" s="28">
        <v>22143006</v>
      </c>
      <c r="U15326" s="29" t="s">
        <v>757</v>
      </c>
      <c r="V15326" s="30">
        <v>1300000</v>
      </c>
    </row>
    <row r="15327" spans="20:22" ht="13.5" thickBot="1" x14ac:dyDescent="0.25">
      <c r="T15327" s="28">
        <v>22143007</v>
      </c>
      <c r="U15327" s="29" t="s">
        <v>758</v>
      </c>
      <c r="V15327" s="30">
        <v>1300000</v>
      </c>
    </row>
    <row r="15328" spans="20:22" ht="13.5" thickBot="1" x14ac:dyDescent="0.25">
      <c r="T15328" s="28">
        <v>22143008</v>
      </c>
      <c r="U15328" s="29" t="s">
        <v>2906</v>
      </c>
      <c r="V15328" s="30">
        <v>1400000</v>
      </c>
    </row>
    <row r="15329" spans="20:22" ht="13.5" thickBot="1" x14ac:dyDescent="0.25">
      <c r="T15329" s="28">
        <v>22143009</v>
      </c>
      <c r="U15329" s="29" t="s">
        <v>742</v>
      </c>
      <c r="V15329" s="30">
        <v>1300000</v>
      </c>
    </row>
    <row r="15330" spans="20:22" ht="13.5" thickBot="1" x14ac:dyDescent="0.25">
      <c r="T15330" s="28">
        <v>22143010</v>
      </c>
      <c r="U15330" s="29" t="s">
        <v>763</v>
      </c>
      <c r="V15330" s="30">
        <v>1400000</v>
      </c>
    </row>
    <row r="15331" spans="20:22" ht="13.5" thickBot="1" x14ac:dyDescent="0.25">
      <c r="T15331" s="28">
        <v>22143011</v>
      </c>
      <c r="U15331" s="29" t="s">
        <v>743</v>
      </c>
      <c r="V15331" s="30">
        <v>1400000</v>
      </c>
    </row>
    <row r="15332" spans="20:22" ht="13.5" thickBot="1" x14ac:dyDescent="0.25">
      <c r="T15332" s="28">
        <v>22143012</v>
      </c>
      <c r="U15332" s="29" t="s">
        <v>744</v>
      </c>
      <c r="V15332" s="30">
        <v>1300000</v>
      </c>
    </row>
    <row r="15333" spans="20:22" ht="13.5" thickBot="1" x14ac:dyDescent="0.25">
      <c r="T15333" s="28">
        <v>22143013</v>
      </c>
      <c r="U15333" s="29" t="s">
        <v>759</v>
      </c>
      <c r="V15333" s="30">
        <v>1400000</v>
      </c>
    </row>
    <row r="15334" spans="20:22" ht="13.5" thickBot="1" x14ac:dyDescent="0.25">
      <c r="T15334" s="28">
        <v>22143014</v>
      </c>
      <c r="U15334" s="29" t="s">
        <v>760</v>
      </c>
      <c r="V15334" s="30">
        <v>1400000</v>
      </c>
    </row>
    <row r="15335" spans="20:22" ht="13.5" thickBot="1" x14ac:dyDescent="0.25">
      <c r="T15335" s="28">
        <v>22143015</v>
      </c>
      <c r="U15335" s="29" t="s">
        <v>745</v>
      </c>
      <c r="V15335" s="30">
        <v>1400000</v>
      </c>
    </row>
    <row r="15336" spans="20:22" ht="13.5" thickBot="1" x14ac:dyDescent="0.25">
      <c r="T15336" s="28">
        <v>22143016</v>
      </c>
      <c r="U15336" s="29" t="s">
        <v>746</v>
      </c>
      <c r="V15336" s="30">
        <v>1400000</v>
      </c>
    </row>
    <row r="15337" spans="20:22" ht="13.5" thickBot="1" x14ac:dyDescent="0.25">
      <c r="T15337" s="28">
        <v>22143017</v>
      </c>
      <c r="U15337" s="29" t="s">
        <v>728</v>
      </c>
      <c r="V15337" s="30">
        <v>1400000</v>
      </c>
    </row>
    <row r="15338" spans="20:22" ht="13.5" thickBot="1" x14ac:dyDescent="0.25">
      <c r="T15338" s="28">
        <v>22143018</v>
      </c>
      <c r="U15338" s="29" t="s">
        <v>761</v>
      </c>
      <c r="V15338" s="30">
        <v>1400000</v>
      </c>
    </row>
    <row r="15339" spans="20:22" ht="13.5" thickBot="1" x14ac:dyDescent="0.25">
      <c r="T15339" s="28">
        <v>22143019</v>
      </c>
      <c r="U15339" s="29" t="s">
        <v>2907</v>
      </c>
      <c r="V15339" s="30">
        <v>1400000</v>
      </c>
    </row>
    <row r="15340" spans="20:22" ht="13.5" thickBot="1" x14ac:dyDescent="0.25">
      <c r="T15340" s="28">
        <v>22143020</v>
      </c>
      <c r="U15340" s="29" t="s">
        <v>747</v>
      </c>
      <c r="V15340" s="30">
        <v>1300000</v>
      </c>
    </row>
    <row r="15341" spans="20:22" ht="13.5" thickBot="1" x14ac:dyDescent="0.25">
      <c r="T15341" s="28">
        <v>22144001</v>
      </c>
      <c r="U15341" s="29" t="s">
        <v>977</v>
      </c>
      <c r="V15341" s="30">
        <v>13200000</v>
      </c>
    </row>
    <row r="15342" spans="20:22" ht="13.5" thickBot="1" x14ac:dyDescent="0.25">
      <c r="T15342" s="28">
        <v>22144002</v>
      </c>
      <c r="U15342" s="29" t="s">
        <v>997</v>
      </c>
      <c r="V15342" s="30">
        <v>13900000</v>
      </c>
    </row>
    <row r="15343" spans="20:22" ht="13.5" thickBot="1" x14ac:dyDescent="0.25">
      <c r="T15343" s="28">
        <v>22144003</v>
      </c>
      <c r="U15343" s="29" t="s">
        <v>2908</v>
      </c>
      <c r="V15343" s="30">
        <v>15000000</v>
      </c>
    </row>
    <row r="15344" spans="20:22" ht="13.5" thickBot="1" x14ac:dyDescent="0.25">
      <c r="T15344" s="28">
        <v>22144004</v>
      </c>
      <c r="U15344" s="29" t="s">
        <v>978</v>
      </c>
      <c r="V15344" s="30">
        <v>13000000</v>
      </c>
    </row>
    <row r="15345" spans="20:22" ht="13.5" thickBot="1" x14ac:dyDescent="0.25">
      <c r="T15345" s="28">
        <v>22144005</v>
      </c>
      <c r="U15345" s="29" t="s">
        <v>2909</v>
      </c>
      <c r="V15345" s="30">
        <v>13900000</v>
      </c>
    </row>
    <row r="15346" spans="20:22" ht="13.5" thickBot="1" x14ac:dyDescent="0.25">
      <c r="T15346" s="28">
        <v>22144006</v>
      </c>
      <c r="U15346" s="29" t="s">
        <v>998</v>
      </c>
      <c r="V15346" s="30">
        <v>14400000</v>
      </c>
    </row>
    <row r="15347" spans="20:22" ht="24.75" thickBot="1" x14ac:dyDescent="0.25">
      <c r="T15347" s="28">
        <v>22144007</v>
      </c>
      <c r="U15347" s="29" t="s">
        <v>999</v>
      </c>
      <c r="V15347" s="30">
        <v>13200000</v>
      </c>
    </row>
    <row r="15348" spans="20:22" ht="13.5" thickBot="1" x14ac:dyDescent="0.25">
      <c r="T15348" s="28">
        <v>22144008</v>
      </c>
      <c r="U15348" s="29" t="s">
        <v>2910</v>
      </c>
      <c r="V15348" s="30">
        <v>13600000</v>
      </c>
    </row>
    <row r="15349" spans="20:22" ht="24.75" thickBot="1" x14ac:dyDescent="0.25">
      <c r="T15349" s="28">
        <v>22144009</v>
      </c>
      <c r="U15349" s="29" t="s">
        <v>979</v>
      </c>
      <c r="V15349" s="30">
        <v>13200000</v>
      </c>
    </row>
    <row r="15350" spans="20:22" ht="24.75" thickBot="1" x14ac:dyDescent="0.25">
      <c r="T15350" s="28">
        <v>22144010</v>
      </c>
      <c r="U15350" s="29" t="s">
        <v>1006</v>
      </c>
      <c r="V15350" s="30">
        <v>13200000</v>
      </c>
    </row>
    <row r="15351" spans="20:22" ht="13.5" thickBot="1" x14ac:dyDescent="0.25">
      <c r="T15351" s="28">
        <v>22144011</v>
      </c>
      <c r="U15351" s="29" t="s">
        <v>980</v>
      </c>
      <c r="V15351" s="30">
        <v>13900000</v>
      </c>
    </row>
    <row r="15352" spans="20:22" ht="13.5" thickBot="1" x14ac:dyDescent="0.25">
      <c r="T15352" s="28">
        <v>22144012</v>
      </c>
      <c r="U15352" s="29" t="s">
        <v>981</v>
      </c>
      <c r="V15352" s="30">
        <v>13000000</v>
      </c>
    </row>
    <row r="15353" spans="20:22" ht="24.75" thickBot="1" x14ac:dyDescent="0.25">
      <c r="T15353" s="28">
        <v>22144013</v>
      </c>
      <c r="U15353" s="29" t="s">
        <v>1000</v>
      </c>
      <c r="V15353" s="30">
        <v>13000000</v>
      </c>
    </row>
    <row r="15354" spans="20:22" ht="24.75" thickBot="1" x14ac:dyDescent="0.25">
      <c r="T15354" s="28">
        <v>22144014</v>
      </c>
      <c r="U15354" s="29" t="s">
        <v>1001</v>
      </c>
      <c r="V15354" s="30">
        <v>15000000</v>
      </c>
    </row>
    <row r="15355" spans="20:22" ht="13.5" thickBot="1" x14ac:dyDescent="0.25">
      <c r="T15355" s="28">
        <v>22144015</v>
      </c>
      <c r="U15355" s="29" t="s">
        <v>982</v>
      </c>
      <c r="V15355" s="30">
        <v>13900000</v>
      </c>
    </row>
    <row r="15356" spans="20:22" ht="13.5" thickBot="1" x14ac:dyDescent="0.25">
      <c r="T15356" s="28">
        <v>22144016</v>
      </c>
      <c r="U15356" s="29" t="s">
        <v>983</v>
      </c>
      <c r="V15356" s="30">
        <v>14400000</v>
      </c>
    </row>
    <row r="15357" spans="20:22" ht="13.5" thickBot="1" x14ac:dyDescent="0.25">
      <c r="T15357" s="28">
        <v>22144017</v>
      </c>
      <c r="U15357" s="29" t="s">
        <v>962</v>
      </c>
      <c r="V15357" s="30">
        <v>13000000</v>
      </c>
    </row>
    <row r="15358" spans="20:22" ht="13.5" thickBot="1" x14ac:dyDescent="0.25">
      <c r="T15358" s="28">
        <v>22144018</v>
      </c>
      <c r="U15358" s="29" t="s">
        <v>1002</v>
      </c>
      <c r="V15358" s="30">
        <v>13000000</v>
      </c>
    </row>
    <row r="15359" spans="20:22" ht="13.5" thickBot="1" x14ac:dyDescent="0.25">
      <c r="T15359" s="28">
        <v>22144019</v>
      </c>
      <c r="U15359" s="29" t="s">
        <v>2911</v>
      </c>
      <c r="V15359" s="30">
        <v>15000000</v>
      </c>
    </row>
    <row r="15360" spans="20:22" ht="24.75" thickBot="1" x14ac:dyDescent="0.25">
      <c r="T15360" s="28">
        <v>22144020</v>
      </c>
      <c r="U15360" s="29" t="s">
        <v>984</v>
      </c>
      <c r="V15360" s="30">
        <v>13200000</v>
      </c>
    </row>
    <row r="15361" spans="20:22" ht="24.75" thickBot="1" x14ac:dyDescent="0.25">
      <c r="T15361" s="28">
        <v>22145001</v>
      </c>
      <c r="U15361" s="29" t="s">
        <v>2912</v>
      </c>
      <c r="V15361" s="30">
        <v>77100000</v>
      </c>
    </row>
    <row r="15362" spans="20:22" ht="13.5" thickBot="1" x14ac:dyDescent="0.25">
      <c r="T15362" s="28">
        <v>22145002</v>
      </c>
      <c r="U15362" s="29" t="s">
        <v>2913</v>
      </c>
      <c r="V15362" s="30">
        <v>75700000</v>
      </c>
    </row>
    <row r="15363" spans="20:22" ht="13.5" thickBot="1" x14ac:dyDescent="0.25">
      <c r="T15363" s="28">
        <v>22145003</v>
      </c>
      <c r="U15363" s="29" t="s">
        <v>2914</v>
      </c>
      <c r="V15363" s="30">
        <v>75700000</v>
      </c>
    </row>
    <row r="15364" spans="20:22" ht="13.5" thickBot="1" x14ac:dyDescent="0.25">
      <c r="T15364" s="28">
        <v>22145004</v>
      </c>
      <c r="U15364" s="29" t="s">
        <v>2915</v>
      </c>
      <c r="V15364" s="30">
        <v>75700000</v>
      </c>
    </row>
    <row r="15365" spans="20:22" ht="13.5" thickBot="1" x14ac:dyDescent="0.25">
      <c r="T15365" s="28">
        <v>22145005</v>
      </c>
      <c r="U15365" s="29" t="s">
        <v>2916</v>
      </c>
      <c r="V15365" s="30">
        <v>81200000</v>
      </c>
    </row>
    <row r="15366" spans="20:22" ht="13.5" thickBot="1" x14ac:dyDescent="0.25">
      <c r="T15366" s="28">
        <v>22145006</v>
      </c>
      <c r="U15366" s="29" t="s">
        <v>2917</v>
      </c>
      <c r="V15366" s="30">
        <v>87200000</v>
      </c>
    </row>
    <row r="15367" spans="20:22" ht="13.5" thickBot="1" x14ac:dyDescent="0.25">
      <c r="T15367" s="28">
        <v>22145007</v>
      </c>
      <c r="U15367" s="29" t="s">
        <v>2918</v>
      </c>
      <c r="V15367" s="30">
        <v>75700000</v>
      </c>
    </row>
    <row r="15368" spans="20:22" ht="13.5" thickBot="1" x14ac:dyDescent="0.25">
      <c r="T15368" s="28">
        <v>22145008</v>
      </c>
      <c r="U15368" s="29" t="s">
        <v>2919</v>
      </c>
      <c r="V15368" s="30">
        <v>81200000</v>
      </c>
    </row>
    <row r="15369" spans="20:22" ht="24.75" thickBot="1" x14ac:dyDescent="0.25">
      <c r="T15369" s="28">
        <v>22145009</v>
      </c>
      <c r="U15369" s="29" t="s">
        <v>2920</v>
      </c>
      <c r="V15369" s="30">
        <v>81200000</v>
      </c>
    </row>
    <row r="15370" spans="20:22" ht="13.5" thickBot="1" x14ac:dyDescent="0.25">
      <c r="T15370" s="28">
        <v>22145010</v>
      </c>
      <c r="U15370" s="29" t="s">
        <v>2921</v>
      </c>
      <c r="V15370" s="30">
        <v>75700000</v>
      </c>
    </row>
    <row r="15371" spans="20:22" ht="13.5" thickBot="1" x14ac:dyDescent="0.25">
      <c r="T15371" s="28">
        <v>22145011</v>
      </c>
      <c r="U15371" s="29" t="s">
        <v>2922</v>
      </c>
      <c r="V15371" s="30">
        <v>78900000</v>
      </c>
    </row>
    <row r="15372" spans="20:22" ht="13.5" thickBot="1" x14ac:dyDescent="0.25">
      <c r="T15372" s="28">
        <v>22145012</v>
      </c>
      <c r="U15372" s="29" t="s">
        <v>2923</v>
      </c>
      <c r="V15372" s="30">
        <v>75700000</v>
      </c>
    </row>
    <row r="15373" spans="20:22" ht="13.5" thickBot="1" x14ac:dyDescent="0.25">
      <c r="T15373" s="28">
        <v>22145013</v>
      </c>
      <c r="U15373" s="29" t="s">
        <v>2924</v>
      </c>
      <c r="V15373" s="30">
        <v>84000000</v>
      </c>
    </row>
    <row r="15374" spans="20:22" ht="24.75" thickBot="1" x14ac:dyDescent="0.25">
      <c r="T15374" s="28">
        <v>22145014</v>
      </c>
      <c r="U15374" s="29" t="s">
        <v>2925</v>
      </c>
      <c r="V15374" s="30">
        <v>75700000</v>
      </c>
    </row>
    <row r="15375" spans="20:22" ht="24.75" thickBot="1" x14ac:dyDescent="0.25">
      <c r="T15375" s="28">
        <v>22145015</v>
      </c>
      <c r="U15375" s="29" t="s">
        <v>2926</v>
      </c>
      <c r="V15375" s="30">
        <v>81200000</v>
      </c>
    </row>
    <row r="15376" spans="20:22" ht="24.75" thickBot="1" x14ac:dyDescent="0.25">
      <c r="T15376" s="28">
        <v>22145016</v>
      </c>
      <c r="U15376" s="29" t="s">
        <v>2927</v>
      </c>
      <c r="V15376" s="30">
        <v>84000000</v>
      </c>
    </row>
    <row r="15377" spans="20:22" ht="13.5" thickBot="1" x14ac:dyDescent="0.25">
      <c r="T15377" s="28">
        <v>22145017</v>
      </c>
      <c r="U15377" s="29" t="s">
        <v>2928</v>
      </c>
      <c r="V15377" s="30">
        <v>81200000</v>
      </c>
    </row>
    <row r="15378" spans="20:22" ht="13.5" thickBot="1" x14ac:dyDescent="0.25">
      <c r="T15378" s="28">
        <v>22145018</v>
      </c>
      <c r="U15378" s="29" t="s">
        <v>2929</v>
      </c>
      <c r="V15378" s="30">
        <v>81200000</v>
      </c>
    </row>
    <row r="15379" spans="20:22" ht="13.5" thickBot="1" x14ac:dyDescent="0.25">
      <c r="T15379" s="28">
        <v>22145019</v>
      </c>
      <c r="U15379" s="29" t="s">
        <v>2930</v>
      </c>
      <c r="V15379" s="30">
        <v>75700000</v>
      </c>
    </row>
    <row r="15380" spans="20:22" ht="24.75" thickBot="1" x14ac:dyDescent="0.25">
      <c r="T15380" s="28">
        <v>22145020</v>
      </c>
      <c r="U15380" s="29" t="s">
        <v>2931</v>
      </c>
      <c r="V15380" s="30">
        <v>77100000</v>
      </c>
    </row>
    <row r="15381" spans="20:22" ht="13.5" thickBot="1" x14ac:dyDescent="0.25">
      <c r="T15381" s="28">
        <v>22146001</v>
      </c>
      <c r="U15381" s="29" t="s">
        <v>2932</v>
      </c>
      <c r="V15381" s="30">
        <v>181200000</v>
      </c>
    </row>
    <row r="15382" spans="20:22" ht="13.5" thickBot="1" x14ac:dyDescent="0.25">
      <c r="T15382" s="28">
        <v>22146002</v>
      </c>
      <c r="U15382" s="29" t="s">
        <v>2933</v>
      </c>
      <c r="V15382" s="30">
        <v>188100000</v>
      </c>
    </row>
    <row r="15383" spans="20:22" ht="13.5" thickBot="1" x14ac:dyDescent="0.25">
      <c r="T15383" s="28">
        <v>22146003</v>
      </c>
      <c r="U15383" s="29" t="s">
        <v>2934</v>
      </c>
      <c r="V15383" s="30">
        <v>188100000</v>
      </c>
    </row>
    <row r="15384" spans="20:22" ht="13.5" thickBot="1" x14ac:dyDescent="0.25">
      <c r="T15384" s="28">
        <v>22146004</v>
      </c>
      <c r="U15384" s="29" t="s">
        <v>2935</v>
      </c>
      <c r="V15384" s="30">
        <v>163300000</v>
      </c>
    </row>
    <row r="15385" spans="20:22" ht="13.5" thickBot="1" x14ac:dyDescent="0.25">
      <c r="T15385" s="28">
        <v>22146005</v>
      </c>
      <c r="U15385" s="29" t="s">
        <v>2936</v>
      </c>
      <c r="V15385" s="30">
        <v>181200000</v>
      </c>
    </row>
    <row r="15386" spans="20:22" ht="24.75" thickBot="1" x14ac:dyDescent="0.25">
      <c r="T15386" s="28">
        <v>22146006</v>
      </c>
      <c r="U15386" s="29" t="s">
        <v>2937</v>
      </c>
      <c r="V15386" s="30">
        <v>166300000</v>
      </c>
    </row>
    <row r="15387" spans="20:22" ht="13.5" thickBot="1" x14ac:dyDescent="0.25">
      <c r="T15387" s="28">
        <v>22146007</v>
      </c>
      <c r="U15387" s="29" t="s">
        <v>2938</v>
      </c>
      <c r="V15387" s="30">
        <v>166300000</v>
      </c>
    </row>
    <row r="15388" spans="20:22" ht="13.5" thickBot="1" x14ac:dyDescent="0.25">
      <c r="T15388" s="28">
        <v>22146008</v>
      </c>
      <c r="U15388" s="29" t="s">
        <v>2939</v>
      </c>
      <c r="V15388" s="30">
        <v>181200000</v>
      </c>
    </row>
    <row r="15389" spans="20:22" ht="24.75" thickBot="1" x14ac:dyDescent="0.25">
      <c r="T15389" s="28">
        <v>22146009</v>
      </c>
      <c r="U15389" s="29" t="s">
        <v>2940</v>
      </c>
      <c r="V15389" s="30">
        <v>163300000</v>
      </c>
    </row>
    <row r="15390" spans="20:22" ht="13.5" thickBot="1" x14ac:dyDescent="0.25">
      <c r="T15390" s="28">
        <v>22146010</v>
      </c>
      <c r="U15390" s="29" t="s">
        <v>2941</v>
      </c>
      <c r="V15390" s="30">
        <v>188100000</v>
      </c>
    </row>
    <row r="15391" spans="20:22" ht="13.5" thickBot="1" x14ac:dyDescent="0.25">
      <c r="T15391" s="28">
        <v>22146011</v>
      </c>
      <c r="U15391" s="29" t="s">
        <v>2942</v>
      </c>
      <c r="V15391" s="30">
        <v>175300000</v>
      </c>
    </row>
    <row r="15392" spans="20:22" ht="13.5" thickBot="1" x14ac:dyDescent="0.25">
      <c r="T15392" s="28">
        <v>22146012</v>
      </c>
      <c r="U15392" s="29" t="s">
        <v>2943</v>
      </c>
      <c r="V15392" s="30">
        <v>163300000</v>
      </c>
    </row>
    <row r="15393" spans="20:22" ht="13.5" thickBot="1" x14ac:dyDescent="0.25">
      <c r="T15393" s="28">
        <v>22146013</v>
      </c>
      <c r="U15393" s="29" t="s">
        <v>2944</v>
      </c>
      <c r="V15393" s="30">
        <v>181200000</v>
      </c>
    </row>
    <row r="15394" spans="20:22" ht="24.75" thickBot="1" x14ac:dyDescent="0.25">
      <c r="T15394" s="28">
        <v>22146014</v>
      </c>
      <c r="U15394" s="29" t="s">
        <v>2945</v>
      </c>
      <c r="V15394" s="30">
        <v>163300000</v>
      </c>
    </row>
    <row r="15395" spans="20:22" ht="13.5" thickBot="1" x14ac:dyDescent="0.25">
      <c r="T15395" s="28">
        <v>22146015</v>
      </c>
      <c r="U15395" s="29" t="s">
        <v>2946</v>
      </c>
      <c r="V15395" s="30">
        <v>175300000</v>
      </c>
    </row>
    <row r="15396" spans="20:22" ht="13.5" thickBot="1" x14ac:dyDescent="0.25">
      <c r="T15396" s="28">
        <v>22146016</v>
      </c>
      <c r="U15396" s="29" t="s">
        <v>2947</v>
      </c>
      <c r="V15396" s="30">
        <v>175300000</v>
      </c>
    </row>
    <row r="15397" spans="20:22" ht="13.5" thickBot="1" x14ac:dyDescent="0.25">
      <c r="T15397" s="28">
        <v>22146017</v>
      </c>
      <c r="U15397" s="29" t="s">
        <v>2948</v>
      </c>
      <c r="V15397" s="30">
        <v>163300000</v>
      </c>
    </row>
    <row r="15398" spans="20:22" ht="13.5" thickBot="1" x14ac:dyDescent="0.25">
      <c r="T15398" s="28">
        <v>22146018</v>
      </c>
      <c r="U15398" s="29" t="s">
        <v>2949</v>
      </c>
      <c r="V15398" s="30">
        <v>163300000</v>
      </c>
    </row>
    <row r="15399" spans="20:22" ht="13.5" thickBot="1" x14ac:dyDescent="0.25">
      <c r="T15399" s="28">
        <v>22146019</v>
      </c>
      <c r="U15399" s="29" t="s">
        <v>2950</v>
      </c>
      <c r="V15399" s="30">
        <v>175300000</v>
      </c>
    </row>
    <row r="15400" spans="20:22" ht="13.5" thickBot="1" x14ac:dyDescent="0.25">
      <c r="T15400" s="28">
        <v>22146020</v>
      </c>
      <c r="U15400" s="29" t="s">
        <v>2951</v>
      </c>
      <c r="V15400" s="30">
        <v>166300000</v>
      </c>
    </row>
    <row r="15401" spans="20:22" ht="13.5" thickBot="1" x14ac:dyDescent="0.25">
      <c r="T15401" s="28">
        <v>22154001</v>
      </c>
      <c r="U15401" s="29" t="s">
        <v>1003</v>
      </c>
      <c r="V15401" s="30">
        <v>13000000</v>
      </c>
    </row>
    <row r="15402" spans="20:22" ht="13.5" thickBot="1" x14ac:dyDescent="0.25">
      <c r="T15402" s="28">
        <v>22154002</v>
      </c>
      <c r="U15402" s="29" t="s">
        <v>963</v>
      </c>
      <c r="V15402" s="30">
        <v>13900000</v>
      </c>
    </row>
    <row r="15403" spans="20:22" ht="13.5" thickBot="1" x14ac:dyDescent="0.25">
      <c r="T15403" s="28">
        <v>22154003</v>
      </c>
      <c r="U15403" s="29" t="s">
        <v>985</v>
      </c>
      <c r="V15403" s="30">
        <v>13200000</v>
      </c>
    </row>
    <row r="15404" spans="20:22" ht="13.5" thickBot="1" x14ac:dyDescent="0.25">
      <c r="T15404" s="28">
        <v>22155001</v>
      </c>
      <c r="U15404" s="29" t="s">
        <v>2952</v>
      </c>
      <c r="V15404" s="30">
        <v>87200000</v>
      </c>
    </row>
    <row r="15405" spans="20:22" ht="13.5" thickBot="1" x14ac:dyDescent="0.25">
      <c r="T15405" s="28">
        <v>22155002</v>
      </c>
      <c r="U15405" s="29" t="s">
        <v>2953</v>
      </c>
      <c r="V15405" s="30">
        <v>77100000</v>
      </c>
    </row>
    <row r="15406" spans="20:22" ht="13.5" thickBot="1" x14ac:dyDescent="0.25">
      <c r="T15406" s="28">
        <v>22155003</v>
      </c>
      <c r="U15406" s="29" t="s">
        <v>2954</v>
      </c>
      <c r="V15406" s="30">
        <v>75700000</v>
      </c>
    </row>
    <row r="15407" spans="20:22" ht="13.5" thickBot="1" x14ac:dyDescent="0.25">
      <c r="T15407" s="28">
        <v>22155004</v>
      </c>
      <c r="U15407" s="29" t="s">
        <v>2955</v>
      </c>
      <c r="V15407" s="30">
        <v>77100000</v>
      </c>
    </row>
    <row r="15408" spans="20:22" ht="13.5" thickBot="1" x14ac:dyDescent="0.25">
      <c r="T15408" s="28">
        <v>22155005</v>
      </c>
      <c r="U15408" s="29" t="s">
        <v>2956</v>
      </c>
      <c r="V15408" s="30">
        <v>77100000</v>
      </c>
    </row>
    <row r="15409" spans="20:22" ht="13.5" thickBot="1" x14ac:dyDescent="0.25">
      <c r="T15409" s="28">
        <v>22171001</v>
      </c>
      <c r="U15409" s="29" t="s">
        <v>2957</v>
      </c>
      <c r="V15409" s="30">
        <v>3000</v>
      </c>
    </row>
    <row r="15410" spans="20:22" ht="13.5" thickBot="1" x14ac:dyDescent="0.25">
      <c r="T15410" s="28">
        <v>22171003</v>
      </c>
      <c r="U15410" s="29" t="s">
        <v>2958</v>
      </c>
      <c r="V15410" s="30">
        <v>3000</v>
      </c>
    </row>
    <row r="15411" spans="20:22" ht="13.5" thickBot="1" x14ac:dyDescent="0.25">
      <c r="T15411" s="28">
        <v>22172001</v>
      </c>
      <c r="U15411" s="29" t="s">
        <v>2959</v>
      </c>
      <c r="V15411" s="30">
        <v>48000</v>
      </c>
    </row>
    <row r="15412" spans="20:22" ht="13.5" thickBot="1" x14ac:dyDescent="0.25">
      <c r="T15412" s="28">
        <v>22172003</v>
      </c>
      <c r="U15412" s="29" t="s">
        <v>2960</v>
      </c>
      <c r="V15412" s="30">
        <v>48000</v>
      </c>
    </row>
    <row r="15413" spans="20:22" ht="24.75" thickBot="1" x14ac:dyDescent="0.25">
      <c r="T15413" s="28">
        <v>22172005</v>
      </c>
      <c r="U15413" s="29" t="s">
        <v>2961</v>
      </c>
      <c r="V15413" s="30">
        <v>48000</v>
      </c>
    </row>
    <row r="15414" spans="20:22" ht="13.5" thickBot="1" x14ac:dyDescent="0.25">
      <c r="T15414" s="28">
        <v>22172007</v>
      </c>
      <c r="U15414" s="29" t="s">
        <v>2962</v>
      </c>
      <c r="V15414" s="30">
        <v>48000</v>
      </c>
    </row>
    <row r="15415" spans="20:22" ht="13.5" thickBot="1" x14ac:dyDescent="0.25">
      <c r="T15415" s="28">
        <v>22172009</v>
      </c>
      <c r="U15415" s="29" t="s">
        <v>2963</v>
      </c>
      <c r="V15415" s="30">
        <v>48000</v>
      </c>
    </row>
    <row r="15416" spans="20:22" ht="24.75" thickBot="1" x14ac:dyDescent="0.25">
      <c r="T15416" s="28">
        <v>22172011</v>
      </c>
      <c r="U15416" s="29" t="s">
        <v>2964</v>
      </c>
      <c r="V15416" s="30">
        <v>48000</v>
      </c>
    </row>
    <row r="15417" spans="20:22" ht="24.75" thickBot="1" x14ac:dyDescent="0.25">
      <c r="T15417" s="28">
        <v>22173001</v>
      </c>
      <c r="U15417" s="29" t="s">
        <v>2965</v>
      </c>
      <c r="V15417" s="30">
        <v>1300000</v>
      </c>
    </row>
    <row r="15418" spans="20:22" ht="24.75" thickBot="1" x14ac:dyDescent="0.25">
      <c r="T15418" s="28">
        <v>22173003</v>
      </c>
      <c r="U15418" s="29" t="s">
        <v>2966</v>
      </c>
      <c r="V15418" s="30">
        <v>1300000</v>
      </c>
    </row>
    <row r="15419" spans="20:22" ht="24.75" thickBot="1" x14ac:dyDescent="0.25">
      <c r="T15419" s="28">
        <v>22173005</v>
      </c>
      <c r="U15419" s="29" t="s">
        <v>2967</v>
      </c>
      <c r="V15419" s="30">
        <v>1300000</v>
      </c>
    </row>
    <row r="15420" spans="20:22" ht="24.75" thickBot="1" x14ac:dyDescent="0.25">
      <c r="T15420" s="28">
        <v>22174001</v>
      </c>
      <c r="U15420" s="29" t="s">
        <v>2968</v>
      </c>
      <c r="V15420" s="30">
        <v>13000000</v>
      </c>
    </row>
    <row r="15421" spans="20:22" ht="24.75" thickBot="1" x14ac:dyDescent="0.25">
      <c r="T15421" s="28">
        <v>22174003</v>
      </c>
      <c r="U15421" s="29" t="s">
        <v>2969</v>
      </c>
      <c r="V15421" s="30">
        <v>13000000</v>
      </c>
    </row>
    <row r="15422" spans="20:22" ht="24.75" thickBot="1" x14ac:dyDescent="0.25">
      <c r="T15422" s="28">
        <v>22174005</v>
      </c>
      <c r="U15422" s="29" t="s">
        <v>2970</v>
      </c>
      <c r="V15422" s="30">
        <v>13000000</v>
      </c>
    </row>
    <row r="15423" spans="20:22" ht="24.75" thickBot="1" x14ac:dyDescent="0.25">
      <c r="T15423" s="28">
        <v>22174007</v>
      </c>
      <c r="U15423" s="29" t="s">
        <v>2971</v>
      </c>
      <c r="V15423" s="30">
        <v>13000000</v>
      </c>
    </row>
    <row r="15424" spans="20:22" ht="13.5" thickBot="1" x14ac:dyDescent="0.25">
      <c r="T15424" s="28">
        <v>22174009</v>
      </c>
      <c r="U15424" s="29" t="s">
        <v>2972</v>
      </c>
      <c r="V15424" s="30">
        <v>13000000</v>
      </c>
    </row>
    <row r="15425" spans="20:22" ht="13.5" thickBot="1" x14ac:dyDescent="0.25">
      <c r="T15425" s="28">
        <v>22174011</v>
      </c>
      <c r="U15425" s="29" t="s">
        <v>2973</v>
      </c>
      <c r="V15425" s="30">
        <v>13000000</v>
      </c>
    </row>
    <row r="15426" spans="20:22" ht="24.75" thickBot="1" x14ac:dyDescent="0.25">
      <c r="T15426" s="28">
        <v>22174013</v>
      </c>
      <c r="U15426" s="29" t="s">
        <v>2974</v>
      </c>
      <c r="V15426" s="30">
        <v>13000000</v>
      </c>
    </row>
    <row r="15427" spans="20:22" ht="24.75" thickBot="1" x14ac:dyDescent="0.25">
      <c r="T15427" s="28">
        <v>22174015</v>
      </c>
      <c r="U15427" s="29" t="s">
        <v>2975</v>
      </c>
      <c r="V15427" s="30">
        <v>13000000</v>
      </c>
    </row>
    <row r="15428" spans="20:22" ht="24.75" thickBot="1" x14ac:dyDescent="0.25">
      <c r="T15428" s="28">
        <v>22175001</v>
      </c>
      <c r="U15428" s="29" t="s">
        <v>2976</v>
      </c>
      <c r="V15428" s="30">
        <v>75700000</v>
      </c>
    </row>
    <row r="15429" spans="20:22" ht="24.75" thickBot="1" x14ac:dyDescent="0.25">
      <c r="T15429" s="28">
        <v>22175003</v>
      </c>
      <c r="U15429" s="29" t="s">
        <v>2977</v>
      </c>
      <c r="V15429" s="30">
        <v>75700000</v>
      </c>
    </row>
    <row r="15430" spans="20:22" ht="13.5" thickBot="1" x14ac:dyDescent="0.25">
      <c r="T15430" s="28">
        <v>22175005</v>
      </c>
      <c r="U15430" s="29" t="s">
        <v>2978</v>
      </c>
      <c r="V15430" s="30">
        <v>75700000</v>
      </c>
    </row>
    <row r="15431" spans="20:22" ht="13.5" thickBot="1" x14ac:dyDescent="0.25">
      <c r="T15431" s="28">
        <v>22175007</v>
      </c>
      <c r="U15431" s="29" t="s">
        <v>2979</v>
      </c>
      <c r="V15431" s="30">
        <v>75700000</v>
      </c>
    </row>
    <row r="15432" spans="20:22" ht="13.5" thickBot="1" x14ac:dyDescent="0.25">
      <c r="T15432" s="28">
        <v>22175009</v>
      </c>
      <c r="U15432" s="29" t="s">
        <v>2980</v>
      </c>
      <c r="V15432" s="30">
        <v>75700000</v>
      </c>
    </row>
    <row r="15433" spans="20:22" ht="13.5" thickBot="1" x14ac:dyDescent="0.25">
      <c r="T15433" s="28">
        <v>22175011</v>
      </c>
      <c r="U15433" s="29" t="s">
        <v>2981</v>
      </c>
      <c r="V15433" s="30">
        <v>75700000</v>
      </c>
    </row>
    <row r="15434" spans="20:22" ht="13.5" thickBot="1" x14ac:dyDescent="0.25">
      <c r="T15434" s="28">
        <v>22175013</v>
      </c>
      <c r="U15434" s="29" t="s">
        <v>2982</v>
      </c>
      <c r="V15434" s="30">
        <v>75700000</v>
      </c>
    </row>
    <row r="15435" spans="20:22" ht="13.5" thickBot="1" x14ac:dyDescent="0.25">
      <c r="T15435" s="28">
        <v>22175015</v>
      </c>
      <c r="U15435" s="29" t="s">
        <v>2983</v>
      </c>
      <c r="V15435" s="30">
        <v>75700000</v>
      </c>
    </row>
    <row r="15436" spans="20:22" ht="13.5" thickBot="1" x14ac:dyDescent="0.25">
      <c r="T15436" s="28">
        <v>22175017</v>
      </c>
      <c r="U15436" s="29" t="s">
        <v>2984</v>
      </c>
      <c r="V15436" s="30">
        <v>75700000</v>
      </c>
    </row>
    <row r="15437" spans="20:22" ht="24.75" thickBot="1" x14ac:dyDescent="0.25">
      <c r="T15437" s="28">
        <v>22175019</v>
      </c>
      <c r="U15437" s="29" t="s">
        <v>2985</v>
      </c>
      <c r="V15437" s="30">
        <v>75700000</v>
      </c>
    </row>
    <row r="15438" spans="20:22" ht="24.75" thickBot="1" x14ac:dyDescent="0.25">
      <c r="T15438" s="28">
        <v>22175021</v>
      </c>
      <c r="U15438" s="29" t="s">
        <v>2986</v>
      </c>
      <c r="V15438" s="30">
        <v>75700000</v>
      </c>
    </row>
    <row r="15439" spans="20:22" ht="24.75" thickBot="1" x14ac:dyDescent="0.25">
      <c r="T15439" s="28">
        <v>22211001</v>
      </c>
      <c r="U15439" s="29" t="s">
        <v>2987</v>
      </c>
      <c r="V15439" s="30">
        <v>2700</v>
      </c>
    </row>
    <row r="15440" spans="20:22" ht="13.5" thickBot="1" x14ac:dyDescent="0.25">
      <c r="T15440" s="28">
        <v>22211003</v>
      </c>
      <c r="U15440" s="29" t="s">
        <v>2988</v>
      </c>
      <c r="V15440" s="30">
        <v>2900</v>
      </c>
    </row>
    <row r="15441" spans="20:22" ht="13.5" thickBot="1" x14ac:dyDescent="0.25">
      <c r="T15441" s="28">
        <v>22211005</v>
      </c>
      <c r="U15441" s="29" t="s">
        <v>487</v>
      </c>
      <c r="V15441" s="30">
        <v>2700</v>
      </c>
    </row>
    <row r="15442" spans="20:22" ht="13.5" thickBot="1" x14ac:dyDescent="0.25">
      <c r="T15442" s="28">
        <v>22211007</v>
      </c>
      <c r="U15442" s="29" t="s">
        <v>488</v>
      </c>
      <c r="V15442" s="30">
        <v>2700</v>
      </c>
    </row>
    <row r="15443" spans="20:22" ht="24.75" thickBot="1" x14ac:dyDescent="0.25">
      <c r="T15443" s="28">
        <v>22211008</v>
      </c>
      <c r="U15443" s="29" t="s">
        <v>489</v>
      </c>
      <c r="V15443" s="30">
        <v>2700</v>
      </c>
    </row>
    <row r="15444" spans="20:22" ht="13.5" thickBot="1" x14ac:dyDescent="0.25">
      <c r="T15444" s="28">
        <v>22211009</v>
      </c>
      <c r="U15444" s="29" t="s">
        <v>481</v>
      </c>
      <c r="V15444" s="30">
        <v>2700</v>
      </c>
    </row>
    <row r="15445" spans="20:22" ht="24.75" thickBot="1" x14ac:dyDescent="0.25">
      <c r="T15445" s="28">
        <v>22211010</v>
      </c>
      <c r="U15445" s="29" t="s">
        <v>482</v>
      </c>
      <c r="V15445" s="30">
        <v>2700</v>
      </c>
    </row>
    <row r="15446" spans="20:22" ht="13.5" thickBot="1" x14ac:dyDescent="0.25">
      <c r="T15446" s="28">
        <v>22211011</v>
      </c>
      <c r="U15446" s="29" t="s">
        <v>483</v>
      </c>
      <c r="V15446" s="30">
        <v>2700</v>
      </c>
    </row>
    <row r="15447" spans="20:22" ht="24.75" thickBot="1" x14ac:dyDescent="0.25">
      <c r="T15447" s="28">
        <v>22211012</v>
      </c>
      <c r="U15447" s="29" t="s">
        <v>484</v>
      </c>
      <c r="V15447" s="30">
        <v>2700</v>
      </c>
    </row>
    <row r="15448" spans="20:22" ht="13.5" thickBot="1" x14ac:dyDescent="0.25">
      <c r="T15448" s="28">
        <v>22211013</v>
      </c>
      <c r="U15448" s="29" t="s">
        <v>2989</v>
      </c>
      <c r="V15448" s="30">
        <v>2900</v>
      </c>
    </row>
    <row r="15449" spans="20:22" ht="13.5" thickBot="1" x14ac:dyDescent="0.25">
      <c r="T15449" s="28">
        <v>22211016</v>
      </c>
      <c r="U15449" s="29" t="s">
        <v>485</v>
      </c>
      <c r="V15449" s="30">
        <v>2900</v>
      </c>
    </row>
    <row r="15450" spans="20:22" ht="24.75" thickBot="1" x14ac:dyDescent="0.25">
      <c r="T15450" s="28">
        <v>22211018</v>
      </c>
      <c r="U15450" s="29" t="s">
        <v>486</v>
      </c>
      <c r="V15450" s="30">
        <v>2900</v>
      </c>
    </row>
    <row r="15451" spans="20:22" ht="13.5" thickBot="1" x14ac:dyDescent="0.25">
      <c r="T15451" s="28">
        <v>22211019</v>
      </c>
      <c r="U15451" s="29" t="s">
        <v>2990</v>
      </c>
      <c r="V15451" s="30">
        <v>2800</v>
      </c>
    </row>
    <row r="15452" spans="20:22" ht="13.5" thickBot="1" x14ac:dyDescent="0.25">
      <c r="T15452" s="28">
        <v>22211021</v>
      </c>
      <c r="U15452" s="29" t="s">
        <v>2991</v>
      </c>
      <c r="V15452" s="30">
        <v>2700</v>
      </c>
    </row>
    <row r="15453" spans="20:22" ht="24.75" thickBot="1" x14ac:dyDescent="0.25">
      <c r="T15453" s="28">
        <v>22211023</v>
      </c>
      <c r="U15453" s="29" t="s">
        <v>2992</v>
      </c>
      <c r="V15453" s="30">
        <v>2800</v>
      </c>
    </row>
    <row r="15454" spans="20:22" ht="24.75" thickBot="1" x14ac:dyDescent="0.25">
      <c r="T15454" s="28">
        <v>22211025</v>
      </c>
      <c r="U15454" s="29" t="s">
        <v>2993</v>
      </c>
      <c r="V15454" s="30">
        <v>2700</v>
      </c>
    </row>
    <row r="15455" spans="20:22" ht="24.75" thickBot="1" x14ac:dyDescent="0.25">
      <c r="T15455" s="28">
        <v>22211027</v>
      </c>
      <c r="U15455" s="29" t="s">
        <v>2994</v>
      </c>
      <c r="V15455" s="30">
        <v>2700</v>
      </c>
    </row>
    <row r="15456" spans="20:22" ht="13.5" thickBot="1" x14ac:dyDescent="0.25">
      <c r="T15456" s="28">
        <v>22211029</v>
      </c>
      <c r="U15456" s="29" t="s">
        <v>2995</v>
      </c>
      <c r="V15456" s="30">
        <v>2700</v>
      </c>
    </row>
    <row r="15457" spans="20:22" ht="13.5" thickBot="1" x14ac:dyDescent="0.25">
      <c r="T15457" s="28">
        <v>22211031</v>
      </c>
      <c r="U15457" s="29" t="s">
        <v>2996</v>
      </c>
      <c r="V15457" s="30">
        <v>2700</v>
      </c>
    </row>
    <row r="15458" spans="20:22" ht="13.5" thickBot="1" x14ac:dyDescent="0.25">
      <c r="T15458" s="28">
        <v>22212001</v>
      </c>
      <c r="U15458" s="29" t="s">
        <v>2997</v>
      </c>
      <c r="V15458" s="30">
        <v>45100</v>
      </c>
    </row>
    <row r="15459" spans="20:22" ht="13.5" thickBot="1" x14ac:dyDescent="0.25">
      <c r="T15459" s="28">
        <v>22212003</v>
      </c>
      <c r="U15459" s="29" t="s">
        <v>550</v>
      </c>
      <c r="V15459" s="30">
        <v>43200</v>
      </c>
    </row>
    <row r="15460" spans="20:22" ht="13.5" thickBot="1" x14ac:dyDescent="0.25">
      <c r="T15460" s="28">
        <v>22212005</v>
      </c>
      <c r="U15460" s="29" t="s">
        <v>2998</v>
      </c>
      <c r="V15460" s="30">
        <v>43200</v>
      </c>
    </row>
    <row r="15461" spans="20:22" ht="13.5" thickBot="1" x14ac:dyDescent="0.25">
      <c r="T15461" s="28">
        <v>22212007</v>
      </c>
      <c r="U15461" s="29" t="s">
        <v>549</v>
      </c>
      <c r="V15461" s="30">
        <v>44100</v>
      </c>
    </row>
    <row r="15462" spans="20:22" ht="24.75" thickBot="1" x14ac:dyDescent="0.25">
      <c r="T15462" s="28">
        <v>22212009</v>
      </c>
      <c r="U15462" s="29" t="s">
        <v>539</v>
      </c>
      <c r="V15462" s="30">
        <v>45100</v>
      </c>
    </row>
    <row r="15463" spans="20:22" ht="24.75" thickBot="1" x14ac:dyDescent="0.25">
      <c r="T15463" s="28">
        <v>22212010</v>
      </c>
      <c r="U15463" s="29" t="s">
        <v>540</v>
      </c>
      <c r="V15463" s="30">
        <v>45100</v>
      </c>
    </row>
    <row r="15464" spans="20:22" ht="13.5" thickBot="1" x14ac:dyDescent="0.25">
      <c r="T15464" s="28">
        <v>22212011</v>
      </c>
      <c r="U15464" s="29" t="s">
        <v>541</v>
      </c>
      <c r="V15464" s="30">
        <v>44100</v>
      </c>
    </row>
    <row r="15465" spans="20:22" ht="13.5" thickBot="1" x14ac:dyDescent="0.25">
      <c r="T15465" s="28">
        <v>22212012</v>
      </c>
      <c r="U15465" s="29" t="s">
        <v>542</v>
      </c>
      <c r="V15465" s="30">
        <v>44100</v>
      </c>
    </row>
    <row r="15466" spans="20:22" ht="13.5" thickBot="1" x14ac:dyDescent="0.25">
      <c r="T15466" s="28">
        <v>22212013</v>
      </c>
      <c r="U15466" s="29" t="s">
        <v>543</v>
      </c>
      <c r="V15466" s="30">
        <v>44100</v>
      </c>
    </row>
    <row r="15467" spans="20:22" ht="24.75" thickBot="1" x14ac:dyDescent="0.25">
      <c r="T15467" s="28">
        <v>22212016</v>
      </c>
      <c r="U15467" s="29" t="s">
        <v>544</v>
      </c>
      <c r="V15467" s="30">
        <v>43200</v>
      </c>
    </row>
    <row r="15468" spans="20:22" ht="13.5" thickBot="1" x14ac:dyDescent="0.25">
      <c r="T15468" s="28">
        <v>22212018</v>
      </c>
      <c r="U15468" s="29" t="s">
        <v>545</v>
      </c>
      <c r="V15468" s="30">
        <v>45100</v>
      </c>
    </row>
    <row r="15469" spans="20:22" ht="13.5" thickBot="1" x14ac:dyDescent="0.25">
      <c r="T15469" s="28">
        <v>22212019</v>
      </c>
      <c r="U15469" s="29" t="s">
        <v>546</v>
      </c>
      <c r="V15469" s="30">
        <v>44100</v>
      </c>
    </row>
    <row r="15470" spans="20:22" ht="13.5" thickBot="1" x14ac:dyDescent="0.25">
      <c r="T15470" s="28">
        <v>22212021</v>
      </c>
      <c r="U15470" s="29" t="s">
        <v>2999</v>
      </c>
      <c r="V15470" s="30">
        <v>45100</v>
      </c>
    </row>
    <row r="15471" spans="20:22" ht="24.75" thickBot="1" x14ac:dyDescent="0.25">
      <c r="T15471" s="28">
        <v>22212023</v>
      </c>
      <c r="U15471" s="29" t="s">
        <v>678</v>
      </c>
      <c r="V15471" s="30">
        <v>1200000</v>
      </c>
    </row>
    <row r="15472" spans="20:22" ht="24.75" thickBot="1" x14ac:dyDescent="0.25">
      <c r="T15472" s="28">
        <v>22212024</v>
      </c>
      <c r="U15472" s="29" t="s">
        <v>3000</v>
      </c>
      <c r="V15472" s="30">
        <v>1200000</v>
      </c>
    </row>
    <row r="15473" spans="20:22" ht="24.75" thickBot="1" x14ac:dyDescent="0.25">
      <c r="T15473" s="28">
        <v>22212026</v>
      </c>
      <c r="U15473" s="29" t="s">
        <v>3001</v>
      </c>
      <c r="V15473" s="30">
        <v>1200000</v>
      </c>
    </row>
    <row r="15474" spans="20:22" ht="24.75" thickBot="1" x14ac:dyDescent="0.25">
      <c r="T15474" s="28">
        <v>22212027</v>
      </c>
      <c r="U15474" s="29" t="s">
        <v>3002</v>
      </c>
      <c r="V15474" s="30">
        <v>43200</v>
      </c>
    </row>
    <row r="15475" spans="20:22" ht="24.75" thickBot="1" x14ac:dyDescent="0.25">
      <c r="T15475" s="28">
        <v>22212029</v>
      </c>
      <c r="U15475" s="29" t="s">
        <v>3003</v>
      </c>
      <c r="V15475" s="30">
        <v>43200</v>
      </c>
    </row>
    <row r="15476" spans="20:22" ht="24.75" thickBot="1" x14ac:dyDescent="0.25">
      <c r="T15476" s="28">
        <v>22212031</v>
      </c>
      <c r="U15476" s="29" t="s">
        <v>3004</v>
      </c>
      <c r="V15476" s="30">
        <v>43200</v>
      </c>
    </row>
    <row r="15477" spans="20:22" ht="24.75" thickBot="1" x14ac:dyDescent="0.25">
      <c r="T15477" s="28">
        <v>22212033</v>
      </c>
      <c r="U15477" s="29" t="s">
        <v>3005</v>
      </c>
      <c r="V15477" s="30">
        <v>44100</v>
      </c>
    </row>
    <row r="15478" spans="20:22" ht="24.75" thickBot="1" x14ac:dyDescent="0.25">
      <c r="T15478" s="28">
        <v>22212035</v>
      </c>
      <c r="U15478" s="29" t="s">
        <v>3006</v>
      </c>
      <c r="V15478" s="30">
        <v>43200</v>
      </c>
    </row>
    <row r="15479" spans="20:22" ht="24.75" thickBot="1" x14ac:dyDescent="0.25">
      <c r="T15479" s="28">
        <v>22212037</v>
      </c>
      <c r="U15479" s="29" t="s">
        <v>3007</v>
      </c>
      <c r="V15479" s="30">
        <v>43200</v>
      </c>
    </row>
    <row r="15480" spans="20:22" ht="24.75" thickBot="1" x14ac:dyDescent="0.25">
      <c r="T15480" s="28">
        <v>22223001</v>
      </c>
      <c r="U15480" s="29" t="s">
        <v>3008</v>
      </c>
      <c r="V15480" s="30">
        <v>1200000</v>
      </c>
    </row>
    <row r="15481" spans="20:22" ht="24.75" thickBot="1" x14ac:dyDescent="0.25">
      <c r="T15481" s="28">
        <v>22223002</v>
      </c>
      <c r="U15481" s="29" t="s">
        <v>633</v>
      </c>
      <c r="V15481" s="30">
        <v>1200000</v>
      </c>
    </row>
    <row r="15482" spans="20:22" ht="24.75" thickBot="1" x14ac:dyDescent="0.25">
      <c r="T15482" s="28">
        <v>22223003</v>
      </c>
      <c r="U15482" s="29" t="s">
        <v>679</v>
      </c>
      <c r="V15482" s="30">
        <v>1200000</v>
      </c>
    </row>
    <row r="15483" spans="20:22" ht="24.75" thickBot="1" x14ac:dyDescent="0.25">
      <c r="T15483" s="28">
        <v>22223004</v>
      </c>
      <c r="U15483" s="29" t="s">
        <v>680</v>
      </c>
      <c r="V15483" s="30">
        <v>1200000</v>
      </c>
    </row>
    <row r="15484" spans="20:22" ht="24.75" thickBot="1" x14ac:dyDescent="0.25">
      <c r="T15484" s="28">
        <v>22223005</v>
      </c>
      <c r="U15484" s="29" t="s">
        <v>3009</v>
      </c>
      <c r="V15484" s="30">
        <v>1200000</v>
      </c>
    </row>
    <row r="15485" spans="20:22" ht="24.75" thickBot="1" x14ac:dyDescent="0.25">
      <c r="T15485" s="28">
        <v>22223007</v>
      </c>
      <c r="U15485" s="29" t="s">
        <v>712</v>
      </c>
      <c r="V15485" s="30">
        <v>1200000</v>
      </c>
    </row>
    <row r="15486" spans="20:22" ht="24.75" thickBot="1" x14ac:dyDescent="0.25">
      <c r="T15486" s="28">
        <v>22223009</v>
      </c>
      <c r="U15486" s="29" t="s">
        <v>681</v>
      </c>
      <c r="V15486" s="30">
        <v>1200000</v>
      </c>
    </row>
    <row r="15487" spans="20:22" ht="24.75" thickBot="1" x14ac:dyDescent="0.25">
      <c r="T15487" s="28">
        <v>22223011</v>
      </c>
      <c r="U15487" s="29" t="s">
        <v>3010</v>
      </c>
      <c r="V15487" s="30">
        <v>1300000</v>
      </c>
    </row>
    <row r="15488" spans="20:22" ht="24.75" thickBot="1" x14ac:dyDescent="0.25">
      <c r="T15488" s="28">
        <v>22223013</v>
      </c>
      <c r="U15488" s="29" t="s">
        <v>682</v>
      </c>
      <c r="V15488" s="30">
        <v>1200000</v>
      </c>
    </row>
    <row r="15489" spans="20:22" ht="24.75" thickBot="1" x14ac:dyDescent="0.25">
      <c r="T15489" s="28">
        <v>22223014</v>
      </c>
      <c r="U15489" s="29" t="s">
        <v>683</v>
      </c>
      <c r="V15489" s="30">
        <v>1200000</v>
      </c>
    </row>
    <row r="15490" spans="20:22" ht="24.75" thickBot="1" x14ac:dyDescent="0.25">
      <c r="T15490" s="28">
        <v>22223015</v>
      </c>
      <c r="U15490" s="29" t="s">
        <v>634</v>
      </c>
      <c r="V15490" s="30">
        <v>1200000</v>
      </c>
    </row>
    <row r="15491" spans="20:22" ht="24.75" thickBot="1" x14ac:dyDescent="0.25">
      <c r="T15491" s="28">
        <v>22223016</v>
      </c>
      <c r="U15491" s="29" t="s">
        <v>635</v>
      </c>
      <c r="V15491" s="30">
        <v>1200000</v>
      </c>
    </row>
    <row r="15492" spans="20:22" ht="24.75" thickBot="1" x14ac:dyDescent="0.25">
      <c r="T15492" s="28">
        <v>22223017</v>
      </c>
      <c r="U15492" s="29" t="s">
        <v>684</v>
      </c>
      <c r="V15492" s="30">
        <v>1200000</v>
      </c>
    </row>
    <row r="15493" spans="20:22" ht="24.75" thickBot="1" x14ac:dyDescent="0.25">
      <c r="T15493" s="28">
        <v>22223018</v>
      </c>
      <c r="U15493" s="29" t="s">
        <v>685</v>
      </c>
      <c r="V15493" s="30">
        <v>1200000</v>
      </c>
    </row>
    <row r="15494" spans="20:22" ht="13.5" thickBot="1" x14ac:dyDescent="0.25">
      <c r="T15494" s="28">
        <v>22223019</v>
      </c>
      <c r="U15494" s="29" t="s">
        <v>713</v>
      </c>
      <c r="V15494" s="30">
        <v>1300000</v>
      </c>
    </row>
    <row r="15495" spans="20:22" ht="24.75" thickBot="1" x14ac:dyDescent="0.25">
      <c r="T15495" s="28">
        <v>22224001</v>
      </c>
      <c r="U15495" s="29" t="s">
        <v>3011</v>
      </c>
      <c r="V15495" s="30">
        <v>12600000</v>
      </c>
    </row>
    <row r="15496" spans="20:22" ht="24.75" thickBot="1" x14ac:dyDescent="0.25">
      <c r="T15496" s="28">
        <v>22224002</v>
      </c>
      <c r="U15496" s="29" t="s">
        <v>865</v>
      </c>
      <c r="V15496" s="30">
        <v>12600000</v>
      </c>
    </row>
    <row r="15497" spans="20:22" ht="24.75" thickBot="1" x14ac:dyDescent="0.25">
      <c r="T15497" s="28">
        <v>22224003</v>
      </c>
      <c r="U15497" s="29" t="s">
        <v>901</v>
      </c>
      <c r="V15497" s="30">
        <v>11900000</v>
      </c>
    </row>
    <row r="15498" spans="20:22" ht="24.75" thickBot="1" x14ac:dyDescent="0.25">
      <c r="T15498" s="28">
        <v>22224004</v>
      </c>
      <c r="U15498" s="29" t="s">
        <v>902</v>
      </c>
      <c r="V15498" s="30">
        <v>12600000</v>
      </c>
    </row>
    <row r="15499" spans="20:22" ht="24.75" thickBot="1" x14ac:dyDescent="0.25">
      <c r="T15499" s="28">
        <v>22224005</v>
      </c>
      <c r="U15499" s="29" t="s">
        <v>934</v>
      </c>
      <c r="V15499" s="30">
        <v>11700000</v>
      </c>
    </row>
    <row r="15500" spans="20:22" ht="24.75" thickBot="1" x14ac:dyDescent="0.25">
      <c r="T15500" s="28">
        <v>22224006</v>
      </c>
      <c r="U15500" s="29" t="s">
        <v>935</v>
      </c>
      <c r="V15500" s="30">
        <v>11900000</v>
      </c>
    </row>
    <row r="15501" spans="20:22" ht="13.5" thickBot="1" x14ac:dyDescent="0.25">
      <c r="T15501" s="28">
        <v>22224007</v>
      </c>
      <c r="U15501" s="29" t="s">
        <v>936</v>
      </c>
      <c r="V15501" s="30">
        <v>13000000</v>
      </c>
    </row>
    <row r="15502" spans="20:22" ht="24.75" thickBot="1" x14ac:dyDescent="0.25">
      <c r="T15502" s="28">
        <v>22224009</v>
      </c>
      <c r="U15502" s="29" t="s">
        <v>937</v>
      </c>
      <c r="V15502" s="30">
        <v>11700000</v>
      </c>
    </row>
    <row r="15503" spans="20:22" ht="24.75" thickBot="1" x14ac:dyDescent="0.25">
      <c r="T15503" s="28">
        <v>22224010</v>
      </c>
      <c r="U15503" s="29" t="s">
        <v>938</v>
      </c>
      <c r="V15503" s="30">
        <v>11700000</v>
      </c>
    </row>
    <row r="15504" spans="20:22" ht="13.5" thickBot="1" x14ac:dyDescent="0.25">
      <c r="T15504" s="28">
        <v>22224011</v>
      </c>
      <c r="U15504" s="29" t="s">
        <v>903</v>
      </c>
      <c r="V15504" s="30">
        <v>11700000</v>
      </c>
    </row>
    <row r="15505" spans="20:22" ht="24.75" thickBot="1" x14ac:dyDescent="0.25">
      <c r="T15505" s="28">
        <v>22224013</v>
      </c>
      <c r="U15505" s="29" t="s">
        <v>866</v>
      </c>
      <c r="V15505" s="30">
        <v>11700000</v>
      </c>
    </row>
    <row r="15506" spans="20:22" ht="24.75" thickBot="1" x14ac:dyDescent="0.25">
      <c r="T15506" s="28">
        <v>22224014</v>
      </c>
      <c r="U15506" s="29" t="s">
        <v>867</v>
      </c>
      <c r="V15506" s="30">
        <v>11700000</v>
      </c>
    </row>
    <row r="15507" spans="20:22" ht="24.75" thickBot="1" x14ac:dyDescent="0.25">
      <c r="T15507" s="28">
        <v>22224015</v>
      </c>
      <c r="U15507" s="29" t="s">
        <v>868</v>
      </c>
      <c r="V15507" s="30">
        <v>11900000</v>
      </c>
    </row>
    <row r="15508" spans="20:22" ht="24.75" thickBot="1" x14ac:dyDescent="0.25">
      <c r="T15508" s="28">
        <v>22224016</v>
      </c>
      <c r="U15508" s="29" t="s">
        <v>869</v>
      </c>
      <c r="V15508" s="30">
        <v>11900000</v>
      </c>
    </row>
    <row r="15509" spans="20:22" ht="13.5" thickBot="1" x14ac:dyDescent="0.25">
      <c r="T15509" s="28">
        <v>22224017</v>
      </c>
      <c r="U15509" s="29" t="s">
        <v>3012</v>
      </c>
      <c r="V15509" s="30">
        <v>13500000</v>
      </c>
    </row>
    <row r="15510" spans="20:22" ht="24.75" thickBot="1" x14ac:dyDescent="0.25">
      <c r="T15510" s="28">
        <v>22224019</v>
      </c>
      <c r="U15510" s="29" t="s">
        <v>904</v>
      </c>
      <c r="V15510" s="30">
        <v>11700000</v>
      </c>
    </row>
    <row r="15511" spans="20:22" ht="24.75" thickBot="1" x14ac:dyDescent="0.25">
      <c r="T15511" s="28">
        <v>22224020</v>
      </c>
      <c r="U15511" s="29" t="s">
        <v>905</v>
      </c>
      <c r="V15511" s="30">
        <v>11700000</v>
      </c>
    </row>
    <row r="15512" spans="20:22" ht="24.75" thickBot="1" x14ac:dyDescent="0.25">
      <c r="T15512" s="28">
        <v>22224021</v>
      </c>
      <c r="U15512" s="29" t="s">
        <v>870</v>
      </c>
      <c r="V15512" s="30">
        <v>12600000</v>
      </c>
    </row>
    <row r="15513" spans="20:22" ht="24.75" thickBot="1" x14ac:dyDescent="0.25">
      <c r="T15513" s="28">
        <v>22224022</v>
      </c>
      <c r="U15513" s="29" t="s">
        <v>871</v>
      </c>
      <c r="V15513" s="30">
        <v>12200000</v>
      </c>
    </row>
    <row r="15514" spans="20:22" ht="24.75" thickBot="1" x14ac:dyDescent="0.25">
      <c r="T15514" s="28">
        <v>22224023</v>
      </c>
      <c r="U15514" s="29" t="s">
        <v>906</v>
      </c>
      <c r="V15514" s="30">
        <v>11900000</v>
      </c>
    </row>
    <row r="15515" spans="20:22" ht="24.75" thickBot="1" x14ac:dyDescent="0.25">
      <c r="T15515" s="28">
        <v>22224024</v>
      </c>
      <c r="U15515" s="29" t="s">
        <v>907</v>
      </c>
      <c r="V15515" s="30">
        <v>11900000</v>
      </c>
    </row>
    <row r="15516" spans="20:22" ht="24.75" thickBot="1" x14ac:dyDescent="0.25">
      <c r="T15516" s="28">
        <v>22224025</v>
      </c>
      <c r="U15516" s="29" t="s">
        <v>939</v>
      </c>
      <c r="V15516" s="30">
        <v>11900000</v>
      </c>
    </row>
    <row r="15517" spans="20:22" ht="24.75" thickBot="1" x14ac:dyDescent="0.25">
      <c r="T15517" s="28">
        <v>22224026</v>
      </c>
      <c r="U15517" s="29" t="s">
        <v>940</v>
      </c>
      <c r="V15517" s="30">
        <v>11900000</v>
      </c>
    </row>
    <row r="15518" spans="20:22" ht="24.75" thickBot="1" x14ac:dyDescent="0.25">
      <c r="T15518" s="28">
        <v>22224027</v>
      </c>
      <c r="U15518" s="29" t="s">
        <v>872</v>
      </c>
      <c r="V15518" s="30">
        <v>11700000</v>
      </c>
    </row>
    <row r="15519" spans="20:22" ht="24.75" thickBot="1" x14ac:dyDescent="0.25">
      <c r="T15519" s="28">
        <v>22224028</v>
      </c>
      <c r="U15519" s="29" t="s">
        <v>873</v>
      </c>
      <c r="V15519" s="30">
        <v>11700000</v>
      </c>
    </row>
    <row r="15520" spans="20:22" ht="24.75" thickBot="1" x14ac:dyDescent="0.25">
      <c r="T15520" s="28">
        <v>22224029</v>
      </c>
      <c r="U15520" s="29" t="s">
        <v>908</v>
      </c>
      <c r="V15520" s="30">
        <v>11700000</v>
      </c>
    </row>
    <row r="15521" spans="20:22" ht="13.5" thickBot="1" x14ac:dyDescent="0.25">
      <c r="T15521" s="28">
        <v>22224031</v>
      </c>
      <c r="U15521" s="29" t="s">
        <v>909</v>
      </c>
      <c r="V15521" s="30">
        <v>11700000</v>
      </c>
    </row>
    <row r="15522" spans="20:22" ht="24.75" thickBot="1" x14ac:dyDescent="0.25">
      <c r="T15522" s="28">
        <v>22224033</v>
      </c>
      <c r="U15522" s="29" t="s">
        <v>3013</v>
      </c>
      <c r="V15522" s="30">
        <v>11700000</v>
      </c>
    </row>
    <row r="15523" spans="20:22" ht="24.75" thickBot="1" x14ac:dyDescent="0.25">
      <c r="T15523" s="28">
        <v>22224035</v>
      </c>
      <c r="U15523" s="29" t="s">
        <v>941</v>
      </c>
      <c r="V15523" s="30">
        <v>11900000</v>
      </c>
    </row>
    <row r="15524" spans="20:22" ht="24.75" thickBot="1" x14ac:dyDescent="0.25">
      <c r="T15524" s="28">
        <v>22224036</v>
      </c>
      <c r="U15524" s="29" t="s">
        <v>942</v>
      </c>
      <c r="V15524" s="30">
        <v>11900000</v>
      </c>
    </row>
    <row r="15525" spans="20:22" ht="24.75" thickBot="1" x14ac:dyDescent="0.25">
      <c r="T15525" s="28">
        <v>22225001</v>
      </c>
      <c r="U15525" s="29" t="s">
        <v>3014</v>
      </c>
      <c r="V15525" s="30">
        <v>69400000</v>
      </c>
    </row>
    <row r="15526" spans="20:22" ht="24.75" thickBot="1" x14ac:dyDescent="0.25">
      <c r="T15526" s="28">
        <v>22225003</v>
      </c>
      <c r="U15526" s="29" t="s">
        <v>3015</v>
      </c>
      <c r="V15526" s="30">
        <v>78400000</v>
      </c>
    </row>
    <row r="15527" spans="20:22" ht="24.75" thickBot="1" x14ac:dyDescent="0.25">
      <c r="T15527" s="28">
        <v>22225005</v>
      </c>
      <c r="U15527" s="29" t="s">
        <v>3016</v>
      </c>
      <c r="V15527" s="30">
        <v>78400000</v>
      </c>
    </row>
    <row r="15528" spans="20:22" ht="24.75" thickBot="1" x14ac:dyDescent="0.25">
      <c r="T15528" s="28">
        <v>22225006</v>
      </c>
      <c r="U15528" s="29" t="s">
        <v>3017</v>
      </c>
      <c r="V15528" s="30">
        <v>78400000</v>
      </c>
    </row>
    <row r="15529" spans="20:22" ht="24.75" thickBot="1" x14ac:dyDescent="0.25">
      <c r="T15529" s="28">
        <v>22225007</v>
      </c>
      <c r="U15529" s="29" t="s">
        <v>3018</v>
      </c>
      <c r="V15529" s="30">
        <v>73100000</v>
      </c>
    </row>
    <row r="15530" spans="20:22" ht="24.75" thickBot="1" x14ac:dyDescent="0.25">
      <c r="T15530" s="28">
        <v>22225009</v>
      </c>
      <c r="U15530" s="29" t="s">
        <v>3019</v>
      </c>
      <c r="V15530" s="30">
        <v>78400000</v>
      </c>
    </row>
    <row r="15531" spans="20:22" ht="13.5" thickBot="1" x14ac:dyDescent="0.25">
      <c r="T15531" s="28">
        <v>22225010</v>
      </c>
      <c r="U15531" s="29" t="s">
        <v>3020</v>
      </c>
      <c r="V15531" s="30">
        <v>78400000</v>
      </c>
    </row>
    <row r="15532" spans="20:22" ht="24.75" thickBot="1" x14ac:dyDescent="0.25">
      <c r="T15532" s="28">
        <v>22225011</v>
      </c>
      <c r="U15532" s="29" t="s">
        <v>3021</v>
      </c>
      <c r="V15532" s="30">
        <v>68100000</v>
      </c>
    </row>
    <row r="15533" spans="20:22" ht="24.75" thickBot="1" x14ac:dyDescent="0.25">
      <c r="T15533" s="28">
        <v>22225012</v>
      </c>
      <c r="U15533" s="29" t="s">
        <v>3022</v>
      </c>
      <c r="V15533" s="30">
        <v>69400000</v>
      </c>
    </row>
    <row r="15534" spans="20:22" ht="24.75" thickBot="1" x14ac:dyDescent="0.25">
      <c r="T15534" s="28">
        <v>22225013</v>
      </c>
      <c r="U15534" s="29" t="s">
        <v>3023</v>
      </c>
      <c r="V15534" s="30">
        <v>68100000</v>
      </c>
    </row>
    <row r="15535" spans="20:22" ht="24.75" thickBot="1" x14ac:dyDescent="0.25">
      <c r="T15535" s="28">
        <v>22225014</v>
      </c>
      <c r="U15535" s="29" t="s">
        <v>3024</v>
      </c>
      <c r="V15535" s="30">
        <v>68100000</v>
      </c>
    </row>
    <row r="15536" spans="20:22" ht="24.75" thickBot="1" x14ac:dyDescent="0.25">
      <c r="T15536" s="28">
        <v>22225015</v>
      </c>
      <c r="U15536" s="29" t="s">
        <v>3025</v>
      </c>
      <c r="V15536" s="30">
        <v>73100000</v>
      </c>
    </row>
    <row r="15537" spans="20:22" ht="24.75" thickBot="1" x14ac:dyDescent="0.25">
      <c r="T15537" s="28">
        <v>22225017</v>
      </c>
      <c r="U15537" s="29" t="s">
        <v>3026</v>
      </c>
      <c r="V15537" s="30">
        <v>69400000</v>
      </c>
    </row>
    <row r="15538" spans="20:22" ht="24.75" thickBot="1" x14ac:dyDescent="0.25">
      <c r="T15538" s="28">
        <v>22225021</v>
      </c>
      <c r="U15538" s="29" t="s">
        <v>3027</v>
      </c>
      <c r="V15538" s="30">
        <v>78400000</v>
      </c>
    </row>
    <row r="15539" spans="20:22" ht="24.75" thickBot="1" x14ac:dyDescent="0.25">
      <c r="T15539" s="28">
        <v>22225023</v>
      </c>
      <c r="U15539" s="29" t="s">
        <v>3028</v>
      </c>
      <c r="V15539" s="30">
        <v>69400000</v>
      </c>
    </row>
    <row r="15540" spans="20:22" ht="24.75" thickBot="1" x14ac:dyDescent="0.25">
      <c r="T15540" s="28">
        <v>22225025</v>
      </c>
      <c r="U15540" s="29" t="s">
        <v>3029</v>
      </c>
      <c r="V15540" s="30">
        <v>68100000</v>
      </c>
    </row>
    <row r="15541" spans="20:22" ht="24.75" thickBot="1" x14ac:dyDescent="0.25">
      <c r="T15541" s="28">
        <v>22225027</v>
      </c>
      <c r="U15541" s="29" t="s">
        <v>3030</v>
      </c>
      <c r="V15541" s="30">
        <v>73100000</v>
      </c>
    </row>
    <row r="15542" spans="20:22" ht="24.75" thickBot="1" x14ac:dyDescent="0.25">
      <c r="T15542" s="28">
        <v>22225029</v>
      </c>
      <c r="U15542" s="29" t="s">
        <v>3031</v>
      </c>
      <c r="V15542" s="30">
        <v>68100000</v>
      </c>
    </row>
    <row r="15543" spans="20:22" ht="24.75" thickBot="1" x14ac:dyDescent="0.25">
      <c r="T15543" s="28">
        <v>22225031</v>
      </c>
      <c r="U15543" s="29" t="s">
        <v>3032</v>
      </c>
      <c r="V15543" s="30">
        <v>68100000</v>
      </c>
    </row>
    <row r="15544" spans="20:22" ht="13.5" thickBot="1" x14ac:dyDescent="0.25">
      <c r="T15544" s="28">
        <v>22225033</v>
      </c>
      <c r="U15544" s="29" t="s">
        <v>3033</v>
      </c>
      <c r="V15544" s="30">
        <v>69400000</v>
      </c>
    </row>
    <row r="15545" spans="20:22" ht="24.75" thickBot="1" x14ac:dyDescent="0.25">
      <c r="T15545" s="28">
        <v>22225035</v>
      </c>
      <c r="U15545" s="29" t="s">
        <v>3034</v>
      </c>
      <c r="V15545" s="30">
        <v>69400000</v>
      </c>
    </row>
    <row r="15546" spans="20:22" ht="24.75" thickBot="1" x14ac:dyDescent="0.25">
      <c r="T15546" s="28">
        <v>22226001</v>
      </c>
      <c r="U15546" s="29" t="s">
        <v>3035</v>
      </c>
      <c r="V15546" s="30">
        <v>157800000</v>
      </c>
    </row>
    <row r="15547" spans="20:22" ht="24.75" thickBot="1" x14ac:dyDescent="0.25">
      <c r="T15547" s="28">
        <v>22226003</v>
      </c>
      <c r="U15547" s="29" t="s">
        <v>3036</v>
      </c>
      <c r="V15547" s="30">
        <v>157800000</v>
      </c>
    </row>
    <row r="15548" spans="20:22" ht="24.75" thickBot="1" x14ac:dyDescent="0.25">
      <c r="T15548" s="28">
        <v>22226005</v>
      </c>
      <c r="U15548" s="29" t="s">
        <v>3037</v>
      </c>
      <c r="V15548" s="30">
        <v>153300000</v>
      </c>
    </row>
    <row r="15549" spans="20:22" ht="24.75" thickBot="1" x14ac:dyDescent="0.25">
      <c r="T15549" s="28">
        <v>22226007</v>
      </c>
      <c r="U15549" s="29" t="s">
        <v>3038</v>
      </c>
      <c r="V15549" s="30">
        <v>147000000</v>
      </c>
    </row>
    <row r="15550" spans="20:22" ht="24.75" thickBot="1" x14ac:dyDescent="0.25">
      <c r="T15550" s="28">
        <v>22226009</v>
      </c>
      <c r="U15550" s="29" t="s">
        <v>3039</v>
      </c>
      <c r="V15550" s="30">
        <v>169300000</v>
      </c>
    </row>
    <row r="15551" spans="20:22" ht="24.75" thickBot="1" x14ac:dyDescent="0.25">
      <c r="T15551" s="28">
        <v>22226011</v>
      </c>
      <c r="U15551" s="29" t="s">
        <v>3040</v>
      </c>
      <c r="V15551" s="30">
        <v>163100000</v>
      </c>
    </row>
    <row r="15552" spans="20:22" ht="36.75" thickBot="1" x14ac:dyDescent="0.25">
      <c r="T15552" s="28">
        <v>22226013</v>
      </c>
      <c r="U15552" s="29" t="s">
        <v>3041</v>
      </c>
      <c r="V15552" s="30">
        <v>149700000</v>
      </c>
    </row>
    <row r="15553" spans="20:22" ht="24.75" thickBot="1" x14ac:dyDescent="0.25">
      <c r="T15553" s="28">
        <v>22226014</v>
      </c>
      <c r="U15553" s="29" t="s">
        <v>3042</v>
      </c>
      <c r="V15553" s="30">
        <v>149700000</v>
      </c>
    </row>
    <row r="15554" spans="20:22" ht="24.75" thickBot="1" x14ac:dyDescent="0.25">
      <c r="T15554" s="28">
        <v>22226015</v>
      </c>
      <c r="U15554" s="29" t="s">
        <v>3043</v>
      </c>
      <c r="V15554" s="30">
        <v>157800000</v>
      </c>
    </row>
    <row r="15555" spans="20:22" ht="24.75" thickBot="1" x14ac:dyDescent="0.25">
      <c r="T15555" s="28">
        <v>22226017</v>
      </c>
      <c r="U15555" s="29" t="s">
        <v>3044</v>
      </c>
      <c r="V15555" s="30">
        <v>147000000</v>
      </c>
    </row>
    <row r="15556" spans="20:22" ht="24.75" thickBot="1" x14ac:dyDescent="0.25">
      <c r="T15556" s="28">
        <v>22226019</v>
      </c>
      <c r="U15556" s="29" t="s">
        <v>3045</v>
      </c>
      <c r="V15556" s="30">
        <v>149700000</v>
      </c>
    </row>
    <row r="15557" spans="20:22" ht="24.75" thickBot="1" x14ac:dyDescent="0.25">
      <c r="T15557" s="28">
        <v>22226021</v>
      </c>
      <c r="U15557" s="29" t="s">
        <v>3046</v>
      </c>
      <c r="V15557" s="30">
        <v>169300000</v>
      </c>
    </row>
    <row r="15558" spans="20:22" ht="24.75" thickBot="1" x14ac:dyDescent="0.25">
      <c r="T15558" s="28">
        <v>22226022</v>
      </c>
      <c r="U15558" s="29" t="s">
        <v>3047</v>
      </c>
      <c r="V15558" s="30">
        <v>169300000</v>
      </c>
    </row>
    <row r="15559" spans="20:22" ht="24.75" thickBot="1" x14ac:dyDescent="0.25">
      <c r="T15559" s="28">
        <v>22226023</v>
      </c>
      <c r="U15559" s="29" t="s">
        <v>3048</v>
      </c>
      <c r="V15559" s="30">
        <v>149700000</v>
      </c>
    </row>
    <row r="15560" spans="20:22" ht="13.5" thickBot="1" x14ac:dyDescent="0.25">
      <c r="T15560" s="28">
        <v>22226025</v>
      </c>
      <c r="U15560" s="29" t="s">
        <v>3049</v>
      </c>
      <c r="V15560" s="30">
        <v>149700000</v>
      </c>
    </row>
    <row r="15561" spans="20:22" ht="24.75" thickBot="1" x14ac:dyDescent="0.25">
      <c r="T15561" s="28">
        <v>22226027</v>
      </c>
      <c r="U15561" s="29" t="s">
        <v>3050</v>
      </c>
      <c r="V15561" s="30">
        <v>163100000</v>
      </c>
    </row>
    <row r="15562" spans="20:22" ht="24.75" thickBot="1" x14ac:dyDescent="0.25">
      <c r="T15562" s="28">
        <v>22226029</v>
      </c>
      <c r="U15562" s="29" t="s">
        <v>3051</v>
      </c>
      <c r="V15562" s="30">
        <v>149700000</v>
      </c>
    </row>
    <row r="15563" spans="20:22" ht="24.75" thickBot="1" x14ac:dyDescent="0.25">
      <c r="T15563" s="28">
        <v>22226031</v>
      </c>
      <c r="U15563" s="29" t="s">
        <v>3052</v>
      </c>
      <c r="V15563" s="30">
        <v>147000000</v>
      </c>
    </row>
    <row r="15564" spans="20:22" ht="24.75" thickBot="1" x14ac:dyDescent="0.25">
      <c r="T15564" s="28">
        <v>22226033</v>
      </c>
      <c r="U15564" s="29" t="s">
        <v>3053</v>
      </c>
      <c r="V15564" s="30">
        <v>147000000</v>
      </c>
    </row>
    <row r="15565" spans="20:22" ht="24.75" thickBot="1" x14ac:dyDescent="0.25">
      <c r="T15565" s="28">
        <v>22226034</v>
      </c>
      <c r="U15565" s="29" t="s">
        <v>3054</v>
      </c>
      <c r="V15565" s="30">
        <v>147000000</v>
      </c>
    </row>
    <row r="15566" spans="20:22" ht="24.75" thickBot="1" x14ac:dyDescent="0.25">
      <c r="T15566" s="28">
        <v>22226035</v>
      </c>
      <c r="U15566" s="29" t="s">
        <v>3055</v>
      </c>
      <c r="V15566" s="30">
        <v>149700000</v>
      </c>
    </row>
    <row r="15567" spans="20:22" ht="24.75" thickBot="1" x14ac:dyDescent="0.25">
      <c r="T15567" s="28">
        <v>22233001</v>
      </c>
      <c r="U15567" s="29" t="s">
        <v>686</v>
      </c>
      <c r="V15567" s="30">
        <v>1200000</v>
      </c>
    </row>
    <row r="15568" spans="20:22" ht="13.5" thickBot="1" x14ac:dyDescent="0.25">
      <c r="T15568" s="28">
        <v>22233002</v>
      </c>
      <c r="U15568" s="29" t="s">
        <v>687</v>
      </c>
      <c r="V15568" s="30">
        <v>1200000</v>
      </c>
    </row>
    <row r="15569" spans="20:22" ht="24.75" thickBot="1" x14ac:dyDescent="0.25">
      <c r="T15569" s="28">
        <v>22233003</v>
      </c>
      <c r="U15569" s="29" t="s">
        <v>3056</v>
      </c>
      <c r="V15569" s="30">
        <v>1200000</v>
      </c>
    </row>
    <row r="15570" spans="20:22" ht="24.75" thickBot="1" x14ac:dyDescent="0.25">
      <c r="T15570" s="28">
        <v>22233004</v>
      </c>
      <c r="U15570" s="29" t="s">
        <v>3057</v>
      </c>
      <c r="V15570" s="30">
        <v>1200000</v>
      </c>
    </row>
    <row r="15571" spans="20:22" ht="13.5" thickBot="1" x14ac:dyDescent="0.25">
      <c r="T15571" s="28">
        <v>22233005</v>
      </c>
      <c r="U15571" s="29" t="s">
        <v>714</v>
      </c>
      <c r="V15571" s="30">
        <v>1200000</v>
      </c>
    </row>
    <row r="15572" spans="20:22" ht="24.75" thickBot="1" x14ac:dyDescent="0.25">
      <c r="T15572" s="28">
        <v>22233007</v>
      </c>
      <c r="U15572" s="29" t="s">
        <v>3058</v>
      </c>
      <c r="V15572" s="30">
        <v>1200000</v>
      </c>
    </row>
    <row r="15573" spans="20:22" ht="24.75" thickBot="1" x14ac:dyDescent="0.25">
      <c r="T15573" s="28">
        <v>22233008</v>
      </c>
      <c r="U15573" s="29" t="s">
        <v>643</v>
      </c>
      <c r="V15573" s="30">
        <v>1200000</v>
      </c>
    </row>
    <row r="15574" spans="20:22" ht="13.5" thickBot="1" x14ac:dyDescent="0.25">
      <c r="T15574" s="28">
        <v>22233009</v>
      </c>
      <c r="U15574" s="29" t="s">
        <v>715</v>
      </c>
      <c r="V15574" s="30">
        <v>1300000</v>
      </c>
    </row>
    <row r="15575" spans="20:22" ht="13.5" thickBot="1" x14ac:dyDescent="0.25">
      <c r="T15575" s="28">
        <v>22233011</v>
      </c>
      <c r="U15575" s="29" t="s">
        <v>688</v>
      </c>
      <c r="V15575" s="30">
        <v>1200000</v>
      </c>
    </row>
    <row r="15576" spans="20:22" ht="24.75" thickBot="1" x14ac:dyDescent="0.25">
      <c r="T15576" s="28">
        <v>22233013</v>
      </c>
      <c r="U15576" s="29" t="s">
        <v>689</v>
      </c>
      <c r="V15576" s="30">
        <v>1200000</v>
      </c>
    </row>
    <row r="15577" spans="20:22" ht="24.75" thickBot="1" x14ac:dyDescent="0.25">
      <c r="T15577" s="28">
        <v>22233014</v>
      </c>
      <c r="U15577" s="29" t="s">
        <v>690</v>
      </c>
      <c r="V15577" s="30">
        <v>1200000</v>
      </c>
    </row>
    <row r="15578" spans="20:22" ht="13.5" thickBot="1" x14ac:dyDescent="0.25">
      <c r="T15578" s="28">
        <v>22233015</v>
      </c>
      <c r="U15578" s="29" t="s">
        <v>644</v>
      </c>
      <c r="V15578" s="30">
        <v>1200000</v>
      </c>
    </row>
    <row r="15579" spans="20:22" ht="24.75" thickBot="1" x14ac:dyDescent="0.25">
      <c r="T15579" s="28">
        <v>22233016</v>
      </c>
      <c r="U15579" s="29" t="s">
        <v>645</v>
      </c>
      <c r="V15579" s="30">
        <v>1200000</v>
      </c>
    </row>
    <row r="15580" spans="20:22" ht="24.75" thickBot="1" x14ac:dyDescent="0.25">
      <c r="T15580" s="28">
        <v>22233017</v>
      </c>
      <c r="U15580" s="29" t="s">
        <v>691</v>
      </c>
      <c r="V15580" s="30">
        <v>1200000</v>
      </c>
    </row>
    <row r="15581" spans="20:22" ht="24.75" thickBot="1" x14ac:dyDescent="0.25">
      <c r="T15581" s="28">
        <v>22233018</v>
      </c>
      <c r="U15581" s="29" t="s">
        <v>692</v>
      </c>
      <c r="V15581" s="30">
        <v>1200000</v>
      </c>
    </row>
    <row r="15582" spans="20:22" ht="13.5" thickBot="1" x14ac:dyDescent="0.25">
      <c r="T15582" s="28">
        <v>22233019</v>
      </c>
      <c r="U15582" s="29" t="s">
        <v>716</v>
      </c>
      <c r="V15582" s="30">
        <v>1300000</v>
      </c>
    </row>
    <row r="15583" spans="20:22" ht="24.75" thickBot="1" x14ac:dyDescent="0.25">
      <c r="T15583" s="28">
        <v>22233021</v>
      </c>
      <c r="U15583" s="29" t="s">
        <v>3059</v>
      </c>
      <c r="V15583" s="30">
        <v>1300000</v>
      </c>
    </row>
    <row r="15584" spans="20:22" ht="13.5" thickBot="1" x14ac:dyDescent="0.25">
      <c r="T15584" s="28">
        <v>22233023</v>
      </c>
      <c r="U15584" s="29" t="s">
        <v>717</v>
      </c>
      <c r="V15584" s="30">
        <v>1200000</v>
      </c>
    </row>
    <row r="15585" spans="20:22" ht="13.5" thickBot="1" x14ac:dyDescent="0.25">
      <c r="T15585" s="28">
        <v>22233025</v>
      </c>
      <c r="U15585" s="29" t="s">
        <v>646</v>
      </c>
      <c r="V15585" s="30">
        <v>1300000</v>
      </c>
    </row>
    <row r="15586" spans="20:22" ht="13.5" thickBot="1" x14ac:dyDescent="0.25">
      <c r="T15586" s="28">
        <v>22233026</v>
      </c>
      <c r="U15586" s="29" t="s">
        <v>647</v>
      </c>
      <c r="V15586" s="30">
        <v>1300000</v>
      </c>
    </row>
    <row r="15587" spans="20:22" ht="13.5" thickBot="1" x14ac:dyDescent="0.25">
      <c r="T15587" s="28">
        <v>22233027</v>
      </c>
      <c r="U15587" s="29" t="s">
        <v>718</v>
      </c>
      <c r="V15587" s="30">
        <v>1200000</v>
      </c>
    </row>
    <row r="15588" spans="20:22" ht="24.75" thickBot="1" x14ac:dyDescent="0.25">
      <c r="T15588" s="28">
        <v>22233029</v>
      </c>
      <c r="U15588" s="29" t="s">
        <v>693</v>
      </c>
      <c r="V15588" s="30">
        <v>1200000</v>
      </c>
    </row>
    <row r="15589" spans="20:22" ht="24.75" thickBot="1" x14ac:dyDescent="0.25">
      <c r="T15589" s="28">
        <v>22233030</v>
      </c>
      <c r="U15589" s="29" t="s">
        <v>694</v>
      </c>
      <c r="V15589" s="30">
        <v>1200000</v>
      </c>
    </row>
    <row r="15590" spans="20:22" ht="24.75" thickBot="1" x14ac:dyDescent="0.25">
      <c r="T15590" s="28">
        <v>22233031</v>
      </c>
      <c r="U15590" s="29" t="s">
        <v>648</v>
      </c>
      <c r="V15590" s="30">
        <v>1200000</v>
      </c>
    </row>
    <row r="15591" spans="20:22" ht="24.75" thickBot="1" x14ac:dyDescent="0.25">
      <c r="T15591" s="28">
        <v>22233032</v>
      </c>
      <c r="U15591" s="29" t="s">
        <v>649</v>
      </c>
      <c r="V15591" s="30">
        <v>1200000</v>
      </c>
    </row>
    <row r="15592" spans="20:22" ht="13.5" thickBot="1" x14ac:dyDescent="0.25">
      <c r="T15592" s="28">
        <v>22233033</v>
      </c>
      <c r="U15592" s="29" t="s">
        <v>719</v>
      </c>
      <c r="V15592" s="30">
        <v>1200000</v>
      </c>
    </row>
    <row r="15593" spans="20:22" ht="13.5" thickBot="1" x14ac:dyDescent="0.25">
      <c r="T15593" s="28">
        <v>22233035</v>
      </c>
      <c r="U15593" s="29" t="s">
        <v>650</v>
      </c>
      <c r="V15593" s="30">
        <v>1200000</v>
      </c>
    </row>
    <row r="15594" spans="20:22" ht="13.5" thickBot="1" x14ac:dyDescent="0.25">
      <c r="T15594" s="28">
        <v>22233036</v>
      </c>
      <c r="U15594" s="29" t="s">
        <v>651</v>
      </c>
      <c r="V15594" s="30">
        <v>1200000</v>
      </c>
    </row>
    <row r="15595" spans="20:22" ht="24.75" thickBot="1" x14ac:dyDescent="0.25">
      <c r="T15595" s="28">
        <v>22233037</v>
      </c>
      <c r="U15595" s="29" t="s">
        <v>695</v>
      </c>
      <c r="V15595" s="30">
        <v>1200000</v>
      </c>
    </row>
    <row r="15596" spans="20:22" ht="24.75" thickBot="1" x14ac:dyDescent="0.25">
      <c r="T15596" s="28">
        <v>22233038</v>
      </c>
      <c r="U15596" s="29" t="s">
        <v>696</v>
      </c>
      <c r="V15596" s="30">
        <v>1200000</v>
      </c>
    </row>
    <row r="15597" spans="20:22" ht="24.75" thickBot="1" x14ac:dyDescent="0.25">
      <c r="T15597" s="28">
        <v>22233039</v>
      </c>
      <c r="U15597" s="29" t="s">
        <v>652</v>
      </c>
      <c r="V15597" s="30">
        <v>1200000</v>
      </c>
    </row>
    <row r="15598" spans="20:22" ht="24.75" thickBot="1" x14ac:dyDescent="0.25">
      <c r="T15598" s="28">
        <v>22233040</v>
      </c>
      <c r="U15598" s="29" t="s">
        <v>653</v>
      </c>
      <c r="V15598" s="30">
        <v>1200000</v>
      </c>
    </row>
    <row r="15599" spans="20:22" ht="13.5" thickBot="1" x14ac:dyDescent="0.25">
      <c r="T15599" s="28">
        <v>22234001</v>
      </c>
      <c r="U15599" s="29" t="s">
        <v>913</v>
      </c>
      <c r="V15599" s="30">
        <v>11900000</v>
      </c>
    </row>
    <row r="15600" spans="20:22" ht="24.75" thickBot="1" x14ac:dyDescent="0.25">
      <c r="T15600" s="28">
        <v>22234003</v>
      </c>
      <c r="U15600" s="29" t="s">
        <v>3060</v>
      </c>
      <c r="V15600" s="30">
        <v>11700000</v>
      </c>
    </row>
    <row r="15601" spans="20:22" ht="24.75" thickBot="1" x14ac:dyDescent="0.25">
      <c r="T15601" s="28">
        <v>22234005</v>
      </c>
      <c r="U15601" s="29" t="s">
        <v>943</v>
      </c>
      <c r="V15601" s="30">
        <v>13500000</v>
      </c>
    </row>
    <row r="15602" spans="20:22" ht="24.75" thickBot="1" x14ac:dyDescent="0.25">
      <c r="T15602" s="28">
        <v>22234006</v>
      </c>
      <c r="U15602" s="29" t="s">
        <v>944</v>
      </c>
      <c r="V15602" s="30">
        <v>13500000</v>
      </c>
    </row>
    <row r="15603" spans="20:22" ht="24.75" thickBot="1" x14ac:dyDescent="0.25">
      <c r="T15603" s="28">
        <v>22234007</v>
      </c>
      <c r="U15603" s="29" t="s">
        <v>3061</v>
      </c>
      <c r="V15603" s="30">
        <v>11900000</v>
      </c>
    </row>
    <row r="15604" spans="20:22" ht="24.75" thickBot="1" x14ac:dyDescent="0.25">
      <c r="T15604" s="28">
        <v>22234008</v>
      </c>
      <c r="U15604" s="29" t="s">
        <v>875</v>
      </c>
      <c r="V15604" s="30">
        <v>11900000</v>
      </c>
    </row>
    <row r="15605" spans="20:22" ht="13.5" thickBot="1" x14ac:dyDescent="0.25">
      <c r="T15605" s="28">
        <v>22234009</v>
      </c>
      <c r="U15605" s="29" t="s">
        <v>945</v>
      </c>
      <c r="V15605" s="30">
        <v>13500000</v>
      </c>
    </row>
    <row r="15606" spans="20:22" ht="24.75" thickBot="1" x14ac:dyDescent="0.25">
      <c r="T15606" s="28">
        <v>22234011</v>
      </c>
      <c r="U15606" s="29" t="s">
        <v>914</v>
      </c>
      <c r="V15606" s="30">
        <v>11700000</v>
      </c>
    </row>
    <row r="15607" spans="20:22" ht="24.75" thickBot="1" x14ac:dyDescent="0.25">
      <c r="T15607" s="28">
        <v>22234012</v>
      </c>
      <c r="U15607" s="29" t="s">
        <v>915</v>
      </c>
      <c r="V15607" s="30">
        <v>11700000</v>
      </c>
    </row>
    <row r="15608" spans="20:22" ht="13.5" thickBot="1" x14ac:dyDescent="0.25">
      <c r="T15608" s="28">
        <v>22234013</v>
      </c>
      <c r="U15608" s="29" t="s">
        <v>916</v>
      </c>
      <c r="V15608" s="30">
        <v>11900000</v>
      </c>
    </row>
    <row r="15609" spans="20:22" ht="24.75" thickBot="1" x14ac:dyDescent="0.25">
      <c r="T15609" s="28">
        <v>22234014</v>
      </c>
      <c r="U15609" s="29" t="s">
        <v>917</v>
      </c>
      <c r="V15609" s="30">
        <v>13000000</v>
      </c>
    </row>
    <row r="15610" spans="20:22" ht="24.75" thickBot="1" x14ac:dyDescent="0.25">
      <c r="T15610" s="28">
        <v>22234015</v>
      </c>
      <c r="U15610" s="29" t="s">
        <v>876</v>
      </c>
      <c r="V15610" s="30">
        <v>11900000</v>
      </c>
    </row>
    <row r="15611" spans="20:22" ht="24.75" thickBot="1" x14ac:dyDescent="0.25">
      <c r="T15611" s="28">
        <v>22234016</v>
      </c>
      <c r="U15611" s="29" t="s">
        <v>877</v>
      </c>
      <c r="V15611" s="30">
        <v>11700000</v>
      </c>
    </row>
    <row r="15612" spans="20:22" ht="13.5" thickBot="1" x14ac:dyDescent="0.25">
      <c r="T15612" s="28">
        <v>22234017</v>
      </c>
      <c r="U15612" s="29" t="s">
        <v>918</v>
      </c>
      <c r="V15612" s="30">
        <v>11700000</v>
      </c>
    </row>
    <row r="15613" spans="20:22" ht="13.5" thickBot="1" x14ac:dyDescent="0.25">
      <c r="T15613" s="28">
        <v>22234019</v>
      </c>
      <c r="U15613" s="29" t="s">
        <v>946</v>
      </c>
      <c r="V15613" s="30">
        <v>13500000</v>
      </c>
    </row>
    <row r="15614" spans="20:22" ht="13.5" thickBot="1" x14ac:dyDescent="0.25">
      <c r="T15614" s="28">
        <v>22234021</v>
      </c>
      <c r="U15614" s="29" t="s">
        <v>3062</v>
      </c>
      <c r="V15614" s="30">
        <v>13500000</v>
      </c>
    </row>
    <row r="15615" spans="20:22" ht="24.75" thickBot="1" x14ac:dyDescent="0.25">
      <c r="T15615" s="28">
        <v>22234023</v>
      </c>
      <c r="U15615" s="29" t="s">
        <v>947</v>
      </c>
      <c r="V15615" s="30">
        <v>13500000</v>
      </c>
    </row>
    <row r="15616" spans="20:22" ht="24.75" thickBot="1" x14ac:dyDescent="0.25">
      <c r="T15616" s="28">
        <v>22234024</v>
      </c>
      <c r="U15616" s="29" t="s">
        <v>948</v>
      </c>
      <c r="V15616" s="30">
        <v>13500000</v>
      </c>
    </row>
    <row r="15617" spans="20:22" ht="13.5" thickBot="1" x14ac:dyDescent="0.25">
      <c r="T15617" s="28">
        <v>22234025</v>
      </c>
      <c r="U15617" s="29" t="s">
        <v>878</v>
      </c>
      <c r="V15617" s="30">
        <v>11700000</v>
      </c>
    </row>
    <row r="15618" spans="20:22" ht="13.5" thickBot="1" x14ac:dyDescent="0.25">
      <c r="T15618" s="28">
        <v>22234027</v>
      </c>
      <c r="U15618" s="29" t="s">
        <v>949</v>
      </c>
      <c r="V15618" s="30">
        <v>11700000</v>
      </c>
    </row>
    <row r="15619" spans="20:22" ht="13.5" thickBot="1" x14ac:dyDescent="0.25">
      <c r="T15619" s="28">
        <v>22234029</v>
      </c>
      <c r="U15619" s="29" t="s">
        <v>919</v>
      </c>
      <c r="V15619" s="30">
        <v>13500000</v>
      </c>
    </row>
    <row r="15620" spans="20:22" ht="24.75" thickBot="1" x14ac:dyDescent="0.25">
      <c r="T15620" s="28">
        <v>22234031</v>
      </c>
      <c r="U15620" s="29" t="s">
        <v>879</v>
      </c>
      <c r="V15620" s="30">
        <v>11700000</v>
      </c>
    </row>
    <row r="15621" spans="20:22" ht="24.75" thickBot="1" x14ac:dyDescent="0.25">
      <c r="T15621" s="28">
        <v>22234032</v>
      </c>
      <c r="U15621" s="29" t="s">
        <v>880</v>
      </c>
      <c r="V15621" s="30">
        <v>11900000</v>
      </c>
    </row>
    <row r="15622" spans="20:22" ht="13.5" thickBot="1" x14ac:dyDescent="0.25">
      <c r="T15622" s="28">
        <v>22234033</v>
      </c>
      <c r="U15622" s="29" t="s">
        <v>950</v>
      </c>
      <c r="V15622" s="30">
        <v>11700000</v>
      </c>
    </row>
    <row r="15623" spans="20:22" ht="24.75" thickBot="1" x14ac:dyDescent="0.25">
      <c r="T15623" s="28">
        <v>22234035</v>
      </c>
      <c r="U15623" s="29" t="s">
        <v>881</v>
      </c>
      <c r="V15623" s="30">
        <v>11900000</v>
      </c>
    </row>
    <row r="15624" spans="20:22" ht="24.75" thickBot="1" x14ac:dyDescent="0.25">
      <c r="T15624" s="28">
        <v>22234036</v>
      </c>
      <c r="U15624" s="29" t="s">
        <v>882</v>
      </c>
      <c r="V15624" s="30">
        <v>11900000</v>
      </c>
    </row>
    <row r="15625" spans="20:22" ht="24.75" thickBot="1" x14ac:dyDescent="0.25">
      <c r="T15625" s="28">
        <v>22234037</v>
      </c>
      <c r="U15625" s="29" t="s">
        <v>920</v>
      </c>
      <c r="V15625" s="30">
        <v>11700000</v>
      </c>
    </row>
    <row r="15626" spans="20:22" ht="24.75" thickBot="1" x14ac:dyDescent="0.25">
      <c r="T15626" s="28">
        <v>22234038</v>
      </c>
      <c r="U15626" s="29" t="s">
        <v>921</v>
      </c>
      <c r="V15626" s="30">
        <v>12600000</v>
      </c>
    </row>
    <row r="15627" spans="20:22" ht="24.75" thickBot="1" x14ac:dyDescent="0.25">
      <c r="T15627" s="28">
        <v>22234039</v>
      </c>
      <c r="U15627" s="29" t="s">
        <v>883</v>
      </c>
      <c r="V15627" s="30">
        <v>13500000</v>
      </c>
    </row>
    <row r="15628" spans="20:22" ht="24.75" thickBot="1" x14ac:dyDescent="0.25">
      <c r="T15628" s="28">
        <v>22234040</v>
      </c>
      <c r="U15628" s="29" t="s">
        <v>884</v>
      </c>
      <c r="V15628" s="30">
        <v>11900000</v>
      </c>
    </row>
    <row r="15629" spans="20:22" ht="13.5" thickBot="1" x14ac:dyDescent="0.25">
      <c r="T15629" s="28">
        <v>22235001</v>
      </c>
      <c r="U15629" s="29" t="s">
        <v>3063</v>
      </c>
      <c r="V15629" s="30">
        <v>78400000</v>
      </c>
    </row>
    <row r="15630" spans="20:22" ht="13.5" thickBot="1" x14ac:dyDescent="0.25">
      <c r="T15630" s="28">
        <v>22235003</v>
      </c>
      <c r="U15630" s="29" t="s">
        <v>3064</v>
      </c>
      <c r="V15630" s="30">
        <v>78400000</v>
      </c>
    </row>
    <row r="15631" spans="20:22" ht="24.75" thickBot="1" x14ac:dyDescent="0.25">
      <c r="T15631" s="28">
        <v>22235005</v>
      </c>
      <c r="U15631" s="29" t="s">
        <v>3065</v>
      </c>
      <c r="V15631" s="30">
        <v>68100000</v>
      </c>
    </row>
    <row r="15632" spans="20:22" ht="24.75" thickBot="1" x14ac:dyDescent="0.25">
      <c r="T15632" s="28">
        <v>22235007</v>
      </c>
      <c r="U15632" s="29" t="s">
        <v>3066</v>
      </c>
      <c r="V15632" s="30">
        <v>69400000</v>
      </c>
    </row>
    <row r="15633" spans="20:22" ht="36.75" thickBot="1" x14ac:dyDescent="0.25">
      <c r="T15633" s="28">
        <v>22235009</v>
      </c>
      <c r="U15633" s="29" t="s">
        <v>3067</v>
      </c>
      <c r="V15633" s="30">
        <v>69400000</v>
      </c>
    </row>
    <row r="15634" spans="20:22" ht="24.75" thickBot="1" x14ac:dyDescent="0.25">
      <c r="T15634" s="28">
        <v>22235010</v>
      </c>
      <c r="U15634" s="29" t="s">
        <v>3068</v>
      </c>
      <c r="V15634" s="30">
        <v>68100000</v>
      </c>
    </row>
    <row r="15635" spans="20:22" ht="24.75" thickBot="1" x14ac:dyDescent="0.25">
      <c r="T15635" s="28">
        <v>22235011</v>
      </c>
      <c r="U15635" s="29" t="s">
        <v>3069</v>
      </c>
      <c r="V15635" s="30">
        <v>69400000</v>
      </c>
    </row>
    <row r="15636" spans="20:22" ht="13.5" thickBot="1" x14ac:dyDescent="0.25">
      <c r="T15636" s="28">
        <v>22235013</v>
      </c>
      <c r="U15636" s="29" t="s">
        <v>3070</v>
      </c>
      <c r="V15636" s="30">
        <v>68100000</v>
      </c>
    </row>
    <row r="15637" spans="20:22" ht="24.75" thickBot="1" x14ac:dyDescent="0.25">
      <c r="T15637" s="28">
        <v>22235015</v>
      </c>
      <c r="U15637" s="29" t="s">
        <v>3071</v>
      </c>
      <c r="V15637" s="30">
        <v>69400000</v>
      </c>
    </row>
    <row r="15638" spans="20:22" ht="24.75" thickBot="1" x14ac:dyDescent="0.25">
      <c r="T15638" s="28">
        <v>22235016</v>
      </c>
      <c r="U15638" s="29" t="s">
        <v>3072</v>
      </c>
      <c r="V15638" s="30">
        <v>69400000</v>
      </c>
    </row>
    <row r="15639" spans="20:22" ht="24.75" thickBot="1" x14ac:dyDescent="0.25">
      <c r="T15639" s="28">
        <v>22235017</v>
      </c>
      <c r="U15639" s="29" t="s">
        <v>3073</v>
      </c>
      <c r="V15639" s="30">
        <v>78400000</v>
      </c>
    </row>
    <row r="15640" spans="20:22" ht="24.75" thickBot="1" x14ac:dyDescent="0.25">
      <c r="T15640" s="28">
        <v>22235019</v>
      </c>
      <c r="U15640" s="29" t="s">
        <v>3074</v>
      </c>
      <c r="V15640" s="30">
        <v>68100000</v>
      </c>
    </row>
    <row r="15641" spans="20:22" ht="13.5" thickBot="1" x14ac:dyDescent="0.25">
      <c r="T15641" s="28">
        <v>22235021</v>
      </c>
      <c r="U15641" s="29" t="s">
        <v>3075</v>
      </c>
      <c r="V15641" s="30">
        <v>78400000</v>
      </c>
    </row>
    <row r="15642" spans="20:22" ht="24.75" thickBot="1" x14ac:dyDescent="0.25">
      <c r="T15642" s="28">
        <v>22235023</v>
      </c>
      <c r="U15642" s="29" t="s">
        <v>3076</v>
      </c>
      <c r="V15642" s="30">
        <v>73100000</v>
      </c>
    </row>
    <row r="15643" spans="20:22" ht="24.75" thickBot="1" x14ac:dyDescent="0.25">
      <c r="T15643" s="28">
        <v>22235025</v>
      </c>
      <c r="U15643" s="29" t="s">
        <v>3077</v>
      </c>
      <c r="V15643" s="30">
        <v>78400000</v>
      </c>
    </row>
    <row r="15644" spans="20:22" ht="24.75" thickBot="1" x14ac:dyDescent="0.25">
      <c r="T15644" s="28">
        <v>22235026</v>
      </c>
      <c r="U15644" s="29" t="s">
        <v>3078</v>
      </c>
      <c r="V15644" s="30">
        <v>78400000</v>
      </c>
    </row>
    <row r="15645" spans="20:22" ht="24.75" thickBot="1" x14ac:dyDescent="0.25">
      <c r="T15645" s="28">
        <v>22235027</v>
      </c>
      <c r="U15645" s="29" t="s">
        <v>3079</v>
      </c>
      <c r="V15645" s="30">
        <v>69400000</v>
      </c>
    </row>
    <row r="15646" spans="20:22" ht="24.75" thickBot="1" x14ac:dyDescent="0.25">
      <c r="T15646" s="28">
        <v>22235029</v>
      </c>
      <c r="U15646" s="29" t="s">
        <v>3080</v>
      </c>
      <c r="V15646" s="30">
        <v>75600000</v>
      </c>
    </row>
    <row r="15647" spans="20:22" ht="24.75" thickBot="1" x14ac:dyDescent="0.25">
      <c r="T15647" s="28">
        <v>22235031</v>
      </c>
      <c r="U15647" s="29" t="s">
        <v>3081</v>
      </c>
      <c r="V15647" s="30">
        <v>69400000</v>
      </c>
    </row>
    <row r="15648" spans="20:22" ht="24.75" thickBot="1" x14ac:dyDescent="0.25">
      <c r="T15648" s="28">
        <v>22235032</v>
      </c>
      <c r="U15648" s="29" t="s">
        <v>3082</v>
      </c>
      <c r="V15648" s="30">
        <v>69400000</v>
      </c>
    </row>
    <row r="15649" spans="20:22" ht="24.75" thickBot="1" x14ac:dyDescent="0.25">
      <c r="T15649" s="28">
        <v>22235033</v>
      </c>
      <c r="U15649" s="29" t="s">
        <v>3083</v>
      </c>
      <c r="V15649" s="30">
        <v>78400000</v>
      </c>
    </row>
    <row r="15650" spans="20:22" ht="24.75" thickBot="1" x14ac:dyDescent="0.25">
      <c r="T15650" s="28">
        <v>22235034</v>
      </c>
      <c r="U15650" s="29" t="s">
        <v>3084</v>
      </c>
      <c r="V15650" s="30">
        <v>78400000</v>
      </c>
    </row>
    <row r="15651" spans="20:22" ht="24.75" thickBot="1" x14ac:dyDescent="0.25">
      <c r="T15651" s="28">
        <v>22235035</v>
      </c>
      <c r="U15651" s="29" t="s">
        <v>3085</v>
      </c>
      <c r="V15651" s="30">
        <v>73100000</v>
      </c>
    </row>
    <row r="15652" spans="20:22" ht="24.75" thickBot="1" x14ac:dyDescent="0.25">
      <c r="T15652" s="28">
        <v>22235037</v>
      </c>
      <c r="U15652" s="29" t="s">
        <v>3086</v>
      </c>
      <c r="V15652" s="30">
        <v>73100000</v>
      </c>
    </row>
    <row r="15653" spans="20:22" ht="36.75" thickBot="1" x14ac:dyDescent="0.25">
      <c r="T15653" s="28">
        <v>22235038</v>
      </c>
      <c r="U15653" s="29" t="s">
        <v>3087</v>
      </c>
      <c r="V15653" s="30">
        <v>73100000</v>
      </c>
    </row>
    <row r="15654" spans="20:22" ht="24.75" thickBot="1" x14ac:dyDescent="0.25">
      <c r="T15654" s="28">
        <v>22235039</v>
      </c>
      <c r="U15654" s="29" t="s">
        <v>3088</v>
      </c>
      <c r="V15654" s="30">
        <v>78400000</v>
      </c>
    </row>
    <row r="15655" spans="20:22" ht="24.75" thickBot="1" x14ac:dyDescent="0.25">
      <c r="T15655" s="28">
        <v>22235041</v>
      </c>
      <c r="U15655" s="29" t="s">
        <v>3089</v>
      </c>
      <c r="V15655" s="30">
        <v>68100000</v>
      </c>
    </row>
    <row r="15656" spans="20:22" ht="24.75" thickBot="1" x14ac:dyDescent="0.25">
      <c r="T15656" s="28">
        <v>22235042</v>
      </c>
      <c r="U15656" s="29" t="s">
        <v>3090</v>
      </c>
      <c r="V15656" s="30">
        <v>68100000</v>
      </c>
    </row>
    <row r="15657" spans="20:22" ht="24.75" thickBot="1" x14ac:dyDescent="0.25">
      <c r="T15657" s="28">
        <v>22235043</v>
      </c>
      <c r="U15657" s="29" t="s">
        <v>3091</v>
      </c>
      <c r="V15657" s="30">
        <v>69400000</v>
      </c>
    </row>
    <row r="15658" spans="20:22" ht="24.75" thickBot="1" x14ac:dyDescent="0.25">
      <c r="T15658" s="28">
        <v>22236001</v>
      </c>
      <c r="U15658" s="29" t="s">
        <v>3092</v>
      </c>
      <c r="V15658" s="30">
        <v>157800000</v>
      </c>
    </row>
    <row r="15659" spans="20:22" ht="24.75" thickBot="1" x14ac:dyDescent="0.25">
      <c r="T15659" s="28">
        <v>22236003</v>
      </c>
      <c r="U15659" s="29" t="s">
        <v>3093</v>
      </c>
      <c r="V15659" s="30">
        <v>149700000</v>
      </c>
    </row>
    <row r="15660" spans="20:22" ht="24.75" thickBot="1" x14ac:dyDescent="0.25">
      <c r="T15660" s="28">
        <v>22236005</v>
      </c>
      <c r="U15660" s="29" t="s">
        <v>3094</v>
      </c>
      <c r="V15660" s="30">
        <v>147000000</v>
      </c>
    </row>
    <row r="15661" spans="20:22" ht="24.75" thickBot="1" x14ac:dyDescent="0.25">
      <c r="T15661" s="28">
        <v>22236007</v>
      </c>
      <c r="U15661" s="29" t="s">
        <v>3095</v>
      </c>
      <c r="V15661" s="30">
        <v>149700000</v>
      </c>
    </row>
    <row r="15662" spans="20:22" ht="24.75" thickBot="1" x14ac:dyDescent="0.25">
      <c r="T15662" s="28">
        <v>22236009</v>
      </c>
      <c r="U15662" s="29" t="s">
        <v>3096</v>
      </c>
      <c r="V15662" s="30">
        <v>169300000</v>
      </c>
    </row>
    <row r="15663" spans="20:22" ht="24.75" thickBot="1" x14ac:dyDescent="0.25">
      <c r="T15663" s="28">
        <v>22236011</v>
      </c>
      <c r="U15663" s="29" t="s">
        <v>3097</v>
      </c>
      <c r="V15663" s="30">
        <v>147000000</v>
      </c>
    </row>
    <row r="15664" spans="20:22" ht="24.75" thickBot="1" x14ac:dyDescent="0.25">
      <c r="T15664" s="28">
        <v>22236013</v>
      </c>
      <c r="U15664" s="29" t="s">
        <v>3098</v>
      </c>
      <c r="V15664" s="30">
        <v>157800000</v>
      </c>
    </row>
    <row r="15665" spans="20:22" ht="24.75" thickBot="1" x14ac:dyDescent="0.25">
      <c r="T15665" s="28">
        <v>22236015</v>
      </c>
      <c r="U15665" s="29" t="s">
        <v>3099</v>
      </c>
      <c r="V15665" s="30">
        <v>163100000</v>
      </c>
    </row>
    <row r="15666" spans="20:22" ht="24.75" thickBot="1" x14ac:dyDescent="0.25">
      <c r="T15666" s="28">
        <v>22236017</v>
      </c>
      <c r="U15666" s="29" t="s">
        <v>3100</v>
      </c>
      <c r="V15666" s="30">
        <v>169300000</v>
      </c>
    </row>
    <row r="15667" spans="20:22" ht="24.75" thickBot="1" x14ac:dyDescent="0.25">
      <c r="T15667" s="28">
        <v>22236018</v>
      </c>
      <c r="U15667" s="29" t="s">
        <v>3101</v>
      </c>
      <c r="V15667" s="30">
        <v>169300000</v>
      </c>
    </row>
    <row r="15668" spans="20:22" ht="24.75" thickBot="1" x14ac:dyDescent="0.25">
      <c r="T15668" s="28">
        <v>22236019</v>
      </c>
      <c r="U15668" s="29" t="s">
        <v>3102</v>
      </c>
      <c r="V15668" s="30">
        <v>157800000</v>
      </c>
    </row>
    <row r="15669" spans="20:22" ht="24.75" thickBot="1" x14ac:dyDescent="0.25">
      <c r="T15669" s="28">
        <v>22236021</v>
      </c>
      <c r="U15669" s="29" t="s">
        <v>3103</v>
      </c>
      <c r="V15669" s="30">
        <v>149700000</v>
      </c>
    </row>
    <row r="15670" spans="20:22" ht="36.75" thickBot="1" x14ac:dyDescent="0.25">
      <c r="T15670" s="28">
        <v>22236023</v>
      </c>
      <c r="U15670" s="29" t="s">
        <v>3104</v>
      </c>
      <c r="V15670" s="30">
        <v>163100000</v>
      </c>
    </row>
    <row r="15671" spans="20:22" ht="24.75" thickBot="1" x14ac:dyDescent="0.25">
      <c r="T15671" s="28">
        <v>22236025</v>
      </c>
      <c r="U15671" s="29" t="s">
        <v>3105</v>
      </c>
      <c r="V15671" s="30">
        <v>157800000</v>
      </c>
    </row>
    <row r="15672" spans="20:22" ht="24.75" thickBot="1" x14ac:dyDescent="0.25">
      <c r="T15672" s="28">
        <v>22236027</v>
      </c>
      <c r="U15672" s="29" t="s">
        <v>3106</v>
      </c>
      <c r="V15672" s="30">
        <v>157800000</v>
      </c>
    </row>
    <row r="15673" spans="20:22" ht="24.75" thickBot="1" x14ac:dyDescent="0.25">
      <c r="T15673" s="28">
        <v>22236029</v>
      </c>
      <c r="U15673" s="29" t="s">
        <v>3107</v>
      </c>
      <c r="V15673" s="30">
        <v>149700000</v>
      </c>
    </row>
    <row r="15674" spans="20:22" ht="24.75" thickBot="1" x14ac:dyDescent="0.25">
      <c r="T15674" s="28">
        <v>22236031</v>
      </c>
      <c r="U15674" s="29" t="s">
        <v>3108</v>
      </c>
      <c r="V15674" s="30">
        <v>153300000</v>
      </c>
    </row>
    <row r="15675" spans="20:22" ht="24.75" thickBot="1" x14ac:dyDescent="0.25">
      <c r="T15675" s="28">
        <v>22236032</v>
      </c>
      <c r="U15675" s="29" t="s">
        <v>3109</v>
      </c>
      <c r="V15675" s="30">
        <v>153300000</v>
      </c>
    </row>
    <row r="15676" spans="20:22" ht="13.5" thickBot="1" x14ac:dyDescent="0.25">
      <c r="T15676" s="28">
        <v>22236033</v>
      </c>
      <c r="U15676" s="29" t="s">
        <v>3110</v>
      </c>
      <c r="V15676" s="30">
        <v>169300000</v>
      </c>
    </row>
    <row r="15677" spans="20:22" ht="24.75" thickBot="1" x14ac:dyDescent="0.25">
      <c r="T15677" s="28">
        <v>22236035</v>
      </c>
      <c r="U15677" s="29" t="s">
        <v>3111</v>
      </c>
      <c r="V15677" s="30">
        <v>169300000</v>
      </c>
    </row>
    <row r="15678" spans="20:22" ht="24.75" thickBot="1" x14ac:dyDescent="0.25">
      <c r="T15678" s="28">
        <v>22236037</v>
      </c>
      <c r="U15678" s="29" t="s">
        <v>3112</v>
      </c>
      <c r="V15678" s="30">
        <v>149700000</v>
      </c>
    </row>
    <row r="15679" spans="20:22" ht="24.75" thickBot="1" x14ac:dyDescent="0.25">
      <c r="T15679" s="28">
        <v>22236039</v>
      </c>
      <c r="U15679" s="29" t="s">
        <v>3113</v>
      </c>
      <c r="V15679" s="30">
        <v>157800000</v>
      </c>
    </row>
    <row r="15680" spans="20:22" ht="24.75" thickBot="1" x14ac:dyDescent="0.25">
      <c r="T15680" s="28">
        <v>22236041</v>
      </c>
      <c r="U15680" s="29" t="s">
        <v>3114</v>
      </c>
      <c r="V15680" s="30">
        <v>149700000</v>
      </c>
    </row>
    <row r="15681" spans="20:22" ht="24.75" thickBot="1" x14ac:dyDescent="0.25">
      <c r="T15681" s="28">
        <v>22236042</v>
      </c>
      <c r="U15681" s="29" t="s">
        <v>3115</v>
      </c>
      <c r="V15681" s="30">
        <v>149700000</v>
      </c>
    </row>
    <row r="15682" spans="20:22" ht="24.75" thickBot="1" x14ac:dyDescent="0.25">
      <c r="T15682" s="28">
        <v>22236043</v>
      </c>
      <c r="U15682" s="29" t="s">
        <v>3116</v>
      </c>
      <c r="V15682" s="30">
        <v>149700000</v>
      </c>
    </row>
    <row r="15683" spans="20:22" ht="24.75" thickBot="1" x14ac:dyDescent="0.25">
      <c r="T15683" s="28">
        <v>22243001</v>
      </c>
      <c r="U15683" s="29" t="s">
        <v>700</v>
      </c>
      <c r="V15683" s="30">
        <v>1200000</v>
      </c>
    </row>
    <row r="15684" spans="20:22" ht="24.75" thickBot="1" x14ac:dyDescent="0.25">
      <c r="T15684" s="28">
        <v>22243002</v>
      </c>
      <c r="U15684" s="29" t="s">
        <v>701</v>
      </c>
      <c r="V15684" s="30">
        <v>1200000</v>
      </c>
    </row>
    <row r="15685" spans="20:22" ht="24.75" thickBot="1" x14ac:dyDescent="0.25">
      <c r="T15685" s="28">
        <v>22243003</v>
      </c>
      <c r="U15685" s="29" t="s">
        <v>3117</v>
      </c>
      <c r="V15685" s="30">
        <v>1200000</v>
      </c>
    </row>
    <row r="15686" spans="20:22" ht="24.75" thickBot="1" x14ac:dyDescent="0.25">
      <c r="T15686" s="28">
        <v>22243004</v>
      </c>
      <c r="U15686" s="29" t="s">
        <v>3118</v>
      </c>
      <c r="V15686" s="30">
        <v>1200000</v>
      </c>
    </row>
    <row r="15687" spans="20:22" ht="24.75" thickBot="1" x14ac:dyDescent="0.25">
      <c r="T15687" s="28">
        <v>22243005</v>
      </c>
      <c r="U15687" s="29" t="s">
        <v>3119</v>
      </c>
      <c r="V15687" s="30">
        <v>1200000</v>
      </c>
    </row>
    <row r="15688" spans="20:22" ht="13.5" thickBot="1" x14ac:dyDescent="0.25">
      <c r="T15688" s="28">
        <v>22243006</v>
      </c>
      <c r="U15688" s="29" t="s">
        <v>658</v>
      </c>
      <c r="V15688" s="30">
        <v>1300000</v>
      </c>
    </row>
    <row r="15689" spans="20:22" ht="24.75" thickBot="1" x14ac:dyDescent="0.25">
      <c r="T15689" s="28">
        <v>22243007</v>
      </c>
      <c r="U15689" s="29" t="s">
        <v>720</v>
      </c>
      <c r="V15689" s="30">
        <v>1200000</v>
      </c>
    </row>
    <row r="15690" spans="20:22" ht="13.5" thickBot="1" x14ac:dyDescent="0.25">
      <c r="T15690" s="28">
        <v>22243009</v>
      </c>
      <c r="U15690" s="29" t="s">
        <v>721</v>
      </c>
      <c r="V15690" s="30">
        <v>1200000</v>
      </c>
    </row>
    <row r="15691" spans="20:22" ht="13.5" thickBot="1" x14ac:dyDescent="0.25">
      <c r="T15691" s="28">
        <v>22243011</v>
      </c>
      <c r="U15691" s="29" t="s">
        <v>3120</v>
      </c>
      <c r="V15691" s="30">
        <v>1300000</v>
      </c>
    </row>
    <row r="15692" spans="20:22" ht="13.5" thickBot="1" x14ac:dyDescent="0.25">
      <c r="T15692" s="28">
        <v>22243013</v>
      </c>
      <c r="U15692" s="29" t="s">
        <v>659</v>
      </c>
      <c r="V15692" s="30">
        <v>1200000</v>
      </c>
    </row>
    <row r="15693" spans="20:22" ht="13.5" thickBot="1" x14ac:dyDescent="0.25">
      <c r="T15693" s="28">
        <v>22243014</v>
      </c>
      <c r="U15693" s="29" t="s">
        <v>660</v>
      </c>
      <c r="V15693" s="30">
        <v>1200000</v>
      </c>
    </row>
    <row r="15694" spans="20:22" ht="24.75" thickBot="1" x14ac:dyDescent="0.25">
      <c r="T15694" s="28">
        <v>22243015</v>
      </c>
      <c r="U15694" s="29" t="s">
        <v>702</v>
      </c>
      <c r="V15694" s="30">
        <v>1200000</v>
      </c>
    </row>
    <row r="15695" spans="20:22" ht="13.5" thickBot="1" x14ac:dyDescent="0.25">
      <c r="T15695" s="28">
        <v>22243016</v>
      </c>
      <c r="U15695" s="29" t="s">
        <v>703</v>
      </c>
      <c r="V15695" s="30">
        <v>1200000</v>
      </c>
    </row>
    <row r="15696" spans="20:22" ht="13.5" thickBot="1" x14ac:dyDescent="0.25">
      <c r="T15696" s="28">
        <v>22243017</v>
      </c>
      <c r="U15696" s="29" t="s">
        <v>722</v>
      </c>
      <c r="V15696" s="30">
        <v>1200000</v>
      </c>
    </row>
    <row r="15697" spans="20:22" ht="24.75" thickBot="1" x14ac:dyDescent="0.25">
      <c r="T15697" s="28">
        <v>22243019</v>
      </c>
      <c r="U15697" s="29" t="s">
        <v>661</v>
      </c>
      <c r="V15697" s="30">
        <v>1200000</v>
      </c>
    </row>
    <row r="15698" spans="20:22" ht="24.75" thickBot="1" x14ac:dyDescent="0.25">
      <c r="T15698" s="28">
        <v>22243020</v>
      </c>
      <c r="U15698" s="29" t="s">
        <v>662</v>
      </c>
      <c r="V15698" s="30">
        <v>1200000</v>
      </c>
    </row>
    <row r="15699" spans="20:22" ht="24.75" thickBot="1" x14ac:dyDescent="0.25">
      <c r="T15699" s="28">
        <v>22243021</v>
      </c>
      <c r="U15699" s="29" t="s">
        <v>663</v>
      </c>
      <c r="V15699" s="30">
        <v>1200000</v>
      </c>
    </row>
    <row r="15700" spans="20:22" ht="24.75" thickBot="1" x14ac:dyDescent="0.25">
      <c r="T15700" s="28">
        <v>22243022</v>
      </c>
      <c r="U15700" s="29" t="s">
        <v>664</v>
      </c>
      <c r="V15700" s="30">
        <v>1200000</v>
      </c>
    </row>
    <row r="15701" spans="20:22" ht="13.5" thickBot="1" x14ac:dyDescent="0.25">
      <c r="T15701" s="28">
        <v>22243023</v>
      </c>
      <c r="U15701" s="29" t="s">
        <v>723</v>
      </c>
      <c r="V15701" s="30">
        <v>1200000</v>
      </c>
    </row>
    <row r="15702" spans="20:22" ht="24.75" thickBot="1" x14ac:dyDescent="0.25">
      <c r="T15702" s="28">
        <v>22243025</v>
      </c>
      <c r="U15702" s="29" t="s">
        <v>704</v>
      </c>
      <c r="V15702" s="30">
        <v>1200000</v>
      </c>
    </row>
    <row r="15703" spans="20:22" ht="24.75" thickBot="1" x14ac:dyDescent="0.25">
      <c r="T15703" s="28">
        <v>22243026</v>
      </c>
      <c r="U15703" s="29" t="s">
        <v>705</v>
      </c>
      <c r="V15703" s="30">
        <v>1200000</v>
      </c>
    </row>
    <row r="15704" spans="20:22" ht="24.75" thickBot="1" x14ac:dyDescent="0.25">
      <c r="T15704" s="28">
        <v>22243027</v>
      </c>
      <c r="U15704" s="29" t="s">
        <v>706</v>
      </c>
      <c r="V15704" s="30">
        <v>1200000</v>
      </c>
    </row>
    <row r="15705" spans="20:22" ht="24.75" thickBot="1" x14ac:dyDescent="0.25">
      <c r="T15705" s="28">
        <v>22243028</v>
      </c>
      <c r="U15705" s="29" t="s">
        <v>707</v>
      </c>
      <c r="V15705" s="30">
        <v>1200000</v>
      </c>
    </row>
    <row r="15706" spans="20:22" ht="13.5" thickBot="1" x14ac:dyDescent="0.25">
      <c r="T15706" s="28">
        <v>22243029</v>
      </c>
      <c r="U15706" s="29" t="s">
        <v>724</v>
      </c>
      <c r="V15706" s="30">
        <v>1200000</v>
      </c>
    </row>
    <row r="15707" spans="20:22" ht="24.75" thickBot="1" x14ac:dyDescent="0.25">
      <c r="T15707" s="28">
        <v>22243031</v>
      </c>
      <c r="U15707" s="29" t="s">
        <v>665</v>
      </c>
      <c r="V15707" s="30">
        <v>1200000</v>
      </c>
    </row>
    <row r="15708" spans="20:22" ht="13.5" thickBot="1" x14ac:dyDescent="0.25">
      <c r="T15708" s="28">
        <v>22243032</v>
      </c>
      <c r="U15708" s="29" t="s">
        <v>666</v>
      </c>
      <c r="V15708" s="30">
        <v>1200000</v>
      </c>
    </row>
    <row r="15709" spans="20:22" ht="24.75" thickBot="1" x14ac:dyDescent="0.25">
      <c r="T15709" s="28">
        <v>22243033</v>
      </c>
      <c r="U15709" s="29" t="s">
        <v>708</v>
      </c>
      <c r="V15709" s="30">
        <v>1200000</v>
      </c>
    </row>
    <row r="15710" spans="20:22" ht="24.75" thickBot="1" x14ac:dyDescent="0.25">
      <c r="T15710" s="28">
        <v>22243034</v>
      </c>
      <c r="U15710" s="29" t="s">
        <v>709</v>
      </c>
      <c r="V15710" s="30">
        <v>1200000</v>
      </c>
    </row>
    <row r="15711" spans="20:22" ht="13.5" thickBot="1" x14ac:dyDescent="0.25">
      <c r="T15711" s="28">
        <v>22243035</v>
      </c>
      <c r="U15711" s="29" t="s">
        <v>667</v>
      </c>
      <c r="V15711" s="30">
        <v>1200000</v>
      </c>
    </row>
    <row r="15712" spans="20:22" ht="13.5" thickBot="1" x14ac:dyDescent="0.25">
      <c r="T15712" s="28">
        <v>22243036</v>
      </c>
      <c r="U15712" s="29" t="s">
        <v>668</v>
      </c>
      <c r="V15712" s="30">
        <v>1200000</v>
      </c>
    </row>
    <row r="15713" spans="20:22" ht="13.5" thickBot="1" x14ac:dyDescent="0.25">
      <c r="T15713" s="28">
        <v>22243037</v>
      </c>
      <c r="U15713" s="29" t="s">
        <v>725</v>
      </c>
      <c r="V15713" s="30">
        <v>1200000</v>
      </c>
    </row>
    <row r="15714" spans="20:22" ht="13.5" thickBot="1" x14ac:dyDescent="0.25">
      <c r="T15714" s="28">
        <v>22243039</v>
      </c>
      <c r="U15714" s="29" t="s">
        <v>669</v>
      </c>
      <c r="V15714" s="30">
        <v>1300000</v>
      </c>
    </row>
    <row r="15715" spans="20:22" ht="24.75" thickBot="1" x14ac:dyDescent="0.25">
      <c r="T15715" s="28">
        <v>22243040</v>
      </c>
      <c r="U15715" s="29" t="s">
        <v>670</v>
      </c>
      <c r="V15715" s="30">
        <v>1300000</v>
      </c>
    </row>
    <row r="15716" spans="20:22" ht="24.75" thickBot="1" x14ac:dyDescent="0.25">
      <c r="T15716" s="28">
        <v>22244001</v>
      </c>
      <c r="U15716" s="29" t="s">
        <v>922</v>
      </c>
      <c r="V15716" s="30">
        <v>11700000</v>
      </c>
    </row>
    <row r="15717" spans="20:22" ht="24.75" thickBot="1" x14ac:dyDescent="0.25">
      <c r="T15717" s="28">
        <v>22244002</v>
      </c>
      <c r="U15717" s="29" t="s">
        <v>923</v>
      </c>
      <c r="V15717" s="30">
        <v>11700000</v>
      </c>
    </row>
    <row r="15718" spans="20:22" ht="24.75" thickBot="1" x14ac:dyDescent="0.25">
      <c r="T15718" s="28">
        <v>22244003</v>
      </c>
      <c r="U15718" s="29" t="s">
        <v>3121</v>
      </c>
      <c r="V15718" s="30">
        <v>11700000</v>
      </c>
    </row>
    <row r="15719" spans="20:22" ht="24.75" thickBot="1" x14ac:dyDescent="0.25">
      <c r="T15719" s="28">
        <v>22244004</v>
      </c>
      <c r="U15719" s="29" t="s">
        <v>3122</v>
      </c>
      <c r="V15719" s="30">
        <v>13500000</v>
      </c>
    </row>
    <row r="15720" spans="20:22" ht="24.75" thickBot="1" x14ac:dyDescent="0.25">
      <c r="T15720" s="28">
        <v>22244005</v>
      </c>
      <c r="U15720" s="29" t="s">
        <v>3123</v>
      </c>
      <c r="V15720" s="30">
        <v>11700000</v>
      </c>
    </row>
    <row r="15721" spans="20:22" ht="13.5" thickBot="1" x14ac:dyDescent="0.25">
      <c r="T15721" s="28">
        <v>22244007</v>
      </c>
      <c r="U15721" s="29" t="s">
        <v>951</v>
      </c>
      <c r="V15721" s="30">
        <v>11900000</v>
      </c>
    </row>
    <row r="15722" spans="20:22" ht="24.75" thickBot="1" x14ac:dyDescent="0.25">
      <c r="T15722" s="28">
        <v>22244009</v>
      </c>
      <c r="U15722" s="29" t="s">
        <v>3124</v>
      </c>
      <c r="V15722" s="30">
        <v>11700000</v>
      </c>
    </row>
    <row r="15723" spans="20:22" ht="24.75" thickBot="1" x14ac:dyDescent="0.25">
      <c r="T15723" s="28">
        <v>22244011</v>
      </c>
      <c r="U15723" s="29" t="s">
        <v>924</v>
      </c>
      <c r="V15723" s="30">
        <v>11700000</v>
      </c>
    </row>
    <row r="15724" spans="20:22" ht="24.75" thickBot="1" x14ac:dyDescent="0.25">
      <c r="T15724" s="28">
        <v>22244012</v>
      </c>
      <c r="U15724" s="29" t="s">
        <v>925</v>
      </c>
      <c r="V15724" s="30">
        <v>11700000</v>
      </c>
    </row>
    <row r="15725" spans="20:22" ht="13.5" thickBot="1" x14ac:dyDescent="0.25">
      <c r="T15725" s="28">
        <v>22244013</v>
      </c>
      <c r="U15725" s="29" t="s">
        <v>889</v>
      </c>
      <c r="V15725" s="30">
        <v>12600000</v>
      </c>
    </row>
    <row r="15726" spans="20:22" ht="24.75" thickBot="1" x14ac:dyDescent="0.25">
      <c r="T15726" s="28">
        <v>22244014</v>
      </c>
      <c r="U15726" s="29" t="s">
        <v>890</v>
      </c>
      <c r="V15726" s="30">
        <v>12600000</v>
      </c>
    </row>
    <row r="15727" spans="20:22" ht="24.75" thickBot="1" x14ac:dyDescent="0.25">
      <c r="T15727" s="28">
        <v>22244015</v>
      </c>
      <c r="U15727" s="29" t="s">
        <v>926</v>
      </c>
      <c r="V15727" s="30">
        <v>11900000</v>
      </c>
    </row>
    <row r="15728" spans="20:22" ht="24.75" thickBot="1" x14ac:dyDescent="0.25">
      <c r="T15728" s="28">
        <v>22244016</v>
      </c>
      <c r="U15728" s="29" t="s">
        <v>927</v>
      </c>
      <c r="V15728" s="30">
        <v>11900000</v>
      </c>
    </row>
    <row r="15729" spans="20:22" ht="24.75" thickBot="1" x14ac:dyDescent="0.25">
      <c r="T15729" s="28">
        <v>22244017</v>
      </c>
      <c r="U15729" s="29" t="s">
        <v>952</v>
      </c>
      <c r="V15729" s="30">
        <v>11700000</v>
      </c>
    </row>
    <row r="15730" spans="20:22" ht="24.75" thickBot="1" x14ac:dyDescent="0.25">
      <c r="T15730" s="28">
        <v>22244019</v>
      </c>
      <c r="U15730" s="29" t="s">
        <v>891</v>
      </c>
      <c r="V15730" s="30">
        <v>11900000</v>
      </c>
    </row>
    <row r="15731" spans="20:22" ht="24.75" thickBot="1" x14ac:dyDescent="0.25">
      <c r="T15731" s="28">
        <v>22244020</v>
      </c>
      <c r="U15731" s="29" t="s">
        <v>892</v>
      </c>
      <c r="V15731" s="30">
        <v>11900000</v>
      </c>
    </row>
    <row r="15732" spans="20:22" ht="24.75" thickBot="1" x14ac:dyDescent="0.25">
      <c r="T15732" s="28">
        <v>22244021</v>
      </c>
      <c r="U15732" s="29" t="s">
        <v>893</v>
      </c>
      <c r="V15732" s="30">
        <v>11900000</v>
      </c>
    </row>
    <row r="15733" spans="20:22" ht="24.75" thickBot="1" x14ac:dyDescent="0.25">
      <c r="T15733" s="28">
        <v>22244022</v>
      </c>
      <c r="U15733" s="29" t="s">
        <v>894</v>
      </c>
      <c r="V15733" s="30">
        <v>13500000</v>
      </c>
    </row>
    <row r="15734" spans="20:22" ht="24.75" thickBot="1" x14ac:dyDescent="0.25">
      <c r="T15734" s="28">
        <v>22244023</v>
      </c>
      <c r="U15734" s="29" t="s">
        <v>953</v>
      </c>
      <c r="V15734" s="30">
        <v>11900000</v>
      </c>
    </row>
    <row r="15735" spans="20:22" ht="24.75" thickBot="1" x14ac:dyDescent="0.25">
      <c r="T15735" s="28">
        <v>22244024</v>
      </c>
      <c r="U15735" s="29" t="s">
        <v>954</v>
      </c>
      <c r="V15735" s="30">
        <v>11900000</v>
      </c>
    </row>
    <row r="15736" spans="20:22" ht="24.75" thickBot="1" x14ac:dyDescent="0.25">
      <c r="T15736" s="28">
        <v>22244025</v>
      </c>
      <c r="U15736" s="29" t="s">
        <v>3125</v>
      </c>
      <c r="V15736" s="30">
        <v>13500000</v>
      </c>
    </row>
    <row r="15737" spans="20:22" ht="24.75" thickBot="1" x14ac:dyDescent="0.25">
      <c r="T15737" s="28">
        <v>22244027</v>
      </c>
      <c r="U15737" s="29" t="s">
        <v>928</v>
      </c>
      <c r="V15737" s="30">
        <v>12200000</v>
      </c>
    </row>
    <row r="15738" spans="20:22" ht="24.75" thickBot="1" x14ac:dyDescent="0.25">
      <c r="T15738" s="28">
        <v>22244028</v>
      </c>
      <c r="U15738" s="29" t="s">
        <v>929</v>
      </c>
      <c r="V15738" s="30">
        <v>12200000</v>
      </c>
    </row>
    <row r="15739" spans="20:22" ht="24.75" thickBot="1" x14ac:dyDescent="0.25">
      <c r="T15739" s="28">
        <v>22244029</v>
      </c>
      <c r="U15739" s="29" t="s">
        <v>955</v>
      </c>
      <c r="V15739" s="30">
        <v>11700000</v>
      </c>
    </row>
    <row r="15740" spans="20:22" ht="24.75" thickBot="1" x14ac:dyDescent="0.25">
      <c r="T15740" s="28">
        <v>22244031</v>
      </c>
      <c r="U15740" s="29" t="s">
        <v>895</v>
      </c>
      <c r="V15740" s="30">
        <v>11700000</v>
      </c>
    </row>
    <row r="15741" spans="20:22" ht="24.75" thickBot="1" x14ac:dyDescent="0.25">
      <c r="T15741" s="28">
        <v>22244032</v>
      </c>
      <c r="U15741" s="29" t="s">
        <v>896</v>
      </c>
      <c r="V15741" s="30">
        <v>11700000</v>
      </c>
    </row>
    <row r="15742" spans="20:22" ht="24.75" thickBot="1" x14ac:dyDescent="0.25">
      <c r="T15742" s="28">
        <v>22244033</v>
      </c>
      <c r="U15742" s="29" t="s">
        <v>930</v>
      </c>
      <c r="V15742" s="30">
        <v>11700000</v>
      </c>
    </row>
    <row r="15743" spans="20:22" ht="24.75" thickBot="1" x14ac:dyDescent="0.25">
      <c r="T15743" s="28">
        <v>22244034</v>
      </c>
      <c r="U15743" s="29" t="s">
        <v>931</v>
      </c>
      <c r="V15743" s="30">
        <v>11700000</v>
      </c>
    </row>
    <row r="15744" spans="20:22" ht="24.75" thickBot="1" x14ac:dyDescent="0.25">
      <c r="T15744" s="28">
        <v>22244035</v>
      </c>
      <c r="U15744" s="29" t="s">
        <v>897</v>
      </c>
      <c r="V15744" s="30">
        <v>12600000</v>
      </c>
    </row>
    <row r="15745" spans="20:22" ht="13.5" thickBot="1" x14ac:dyDescent="0.25">
      <c r="T15745" s="28">
        <v>22244036</v>
      </c>
      <c r="U15745" s="29" t="s">
        <v>898</v>
      </c>
      <c r="V15745" s="30">
        <v>12600000</v>
      </c>
    </row>
    <row r="15746" spans="20:22" ht="13.5" thickBot="1" x14ac:dyDescent="0.25">
      <c r="T15746" s="28">
        <v>22244037</v>
      </c>
      <c r="U15746" s="29" t="s">
        <v>956</v>
      </c>
      <c r="V15746" s="30">
        <v>11900000</v>
      </c>
    </row>
    <row r="15747" spans="20:22" ht="24.75" thickBot="1" x14ac:dyDescent="0.25">
      <c r="T15747" s="28">
        <v>22244039</v>
      </c>
      <c r="U15747" s="29" t="s">
        <v>899</v>
      </c>
      <c r="V15747" s="30">
        <v>13500000</v>
      </c>
    </row>
    <row r="15748" spans="20:22" ht="24.75" thickBot="1" x14ac:dyDescent="0.25">
      <c r="T15748" s="28">
        <v>22244040</v>
      </c>
      <c r="U15748" s="29" t="s">
        <v>900</v>
      </c>
      <c r="V15748" s="30">
        <v>13500000</v>
      </c>
    </row>
    <row r="15749" spans="20:22" ht="24.75" thickBot="1" x14ac:dyDescent="0.25">
      <c r="T15749" s="28">
        <v>22245001</v>
      </c>
      <c r="U15749" s="29" t="s">
        <v>3126</v>
      </c>
      <c r="V15749" s="30">
        <v>69400000</v>
      </c>
    </row>
    <row r="15750" spans="20:22" ht="13.5" thickBot="1" x14ac:dyDescent="0.25">
      <c r="T15750" s="28">
        <v>22245003</v>
      </c>
      <c r="U15750" s="29" t="s">
        <v>3127</v>
      </c>
      <c r="V15750" s="30">
        <v>68100000</v>
      </c>
    </row>
    <row r="15751" spans="20:22" ht="13.5" thickBot="1" x14ac:dyDescent="0.25">
      <c r="T15751" s="28">
        <v>22245005</v>
      </c>
      <c r="U15751" s="29" t="s">
        <v>3128</v>
      </c>
      <c r="V15751" s="30">
        <v>78400000</v>
      </c>
    </row>
    <row r="15752" spans="20:22" ht="24.75" thickBot="1" x14ac:dyDescent="0.25">
      <c r="T15752" s="28">
        <v>22245007</v>
      </c>
      <c r="U15752" s="29" t="s">
        <v>3129</v>
      </c>
      <c r="V15752" s="30">
        <v>68100000</v>
      </c>
    </row>
    <row r="15753" spans="20:22" ht="24.75" thickBot="1" x14ac:dyDescent="0.25">
      <c r="T15753" s="28">
        <v>22245009</v>
      </c>
      <c r="U15753" s="29" t="s">
        <v>3130</v>
      </c>
      <c r="V15753" s="30">
        <v>78400000</v>
      </c>
    </row>
    <row r="15754" spans="20:22" ht="24.75" thickBot="1" x14ac:dyDescent="0.25">
      <c r="T15754" s="28">
        <v>22245010</v>
      </c>
      <c r="U15754" s="29" t="s">
        <v>3131</v>
      </c>
      <c r="V15754" s="30">
        <v>73100000</v>
      </c>
    </row>
    <row r="15755" spans="20:22" ht="13.5" thickBot="1" x14ac:dyDescent="0.25">
      <c r="T15755" s="28">
        <v>22245011</v>
      </c>
      <c r="U15755" s="29" t="s">
        <v>3132</v>
      </c>
      <c r="V15755" s="30">
        <v>78400000</v>
      </c>
    </row>
    <row r="15756" spans="20:22" ht="24.75" thickBot="1" x14ac:dyDescent="0.25">
      <c r="T15756" s="28">
        <v>22245013</v>
      </c>
      <c r="U15756" s="29" t="s">
        <v>3133</v>
      </c>
      <c r="V15756" s="30">
        <v>69400000</v>
      </c>
    </row>
    <row r="15757" spans="20:22" ht="24.75" thickBot="1" x14ac:dyDescent="0.25">
      <c r="T15757" s="28">
        <v>22245014</v>
      </c>
      <c r="U15757" s="29" t="s">
        <v>3134</v>
      </c>
      <c r="V15757" s="30">
        <v>69400000</v>
      </c>
    </row>
    <row r="15758" spans="20:22" ht="24.75" thickBot="1" x14ac:dyDescent="0.25">
      <c r="T15758" s="28">
        <v>22245015</v>
      </c>
      <c r="U15758" s="29" t="s">
        <v>3135</v>
      </c>
      <c r="V15758" s="30">
        <v>69400000</v>
      </c>
    </row>
    <row r="15759" spans="20:22" ht="13.5" thickBot="1" x14ac:dyDescent="0.25">
      <c r="T15759" s="28">
        <v>22245017</v>
      </c>
      <c r="U15759" s="29" t="s">
        <v>3136</v>
      </c>
      <c r="V15759" s="30">
        <v>69400000</v>
      </c>
    </row>
    <row r="15760" spans="20:22" ht="13.5" thickBot="1" x14ac:dyDescent="0.25">
      <c r="T15760" s="28">
        <v>22245019</v>
      </c>
      <c r="U15760" s="29" t="s">
        <v>3137</v>
      </c>
      <c r="V15760" s="30">
        <v>68100000</v>
      </c>
    </row>
    <row r="15761" spans="20:22" ht="24.75" thickBot="1" x14ac:dyDescent="0.25">
      <c r="T15761" s="28">
        <v>22245021</v>
      </c>
      <c r="U15761" s="29" t="s">
        <v>3138</v>
      </c>
      <c r="V15761" s="30">
        <v>73100000</v>
      </c>
    </row>
    <row r="15762" spans="20:22" ht="24.75" thickBot="1" x14ac:dyDescent="0.25">
      <c r="T15762" s="28">
        <v>22245023</v>
      </c>
      <c r="U15762" s="29" t="s">
        <v>3139</v>
      </c>
      <c r="V15762" s="30">
        <v>68100000</v>
      </c>
    </row>
    <row r="15763" spans="20:22" ht="24.75" thickBot="1" x14ac:dyDescent="0.25">
      <c r="T15763" s="28">
        <v>22245025</v>
      </c>
      <c r="U15763" s="29" t="s">
        <v>3140</v>
      </c>
      <c r="V15763" s="30">
        <v>68100000</v>
      </c>
    </row>
    <row r="15764" spans="20:22" ht="24.75" thickBot="1" x14ac:dyDescent="0.25">
      <c r="T15764" s="28">
        <v>22245026</v>
      </c>
      <c r="U15764" s="29" t="s">
        <v>3141</v>
      </c>
      <c r="V15764" s="30">
        <v>75600000</v>
      </c>
    </row>
    <row r="15765" spans="20:22" ht="24.75" thickBot="1" x14ac:dyDescent="0.25">
      <c r="T15765" s="28">
        <v>22245027</v>
      </c>
      <c r="U15765" s="29" t="s">
        <v>3142</v>
      </c>
      <c r="V15765" s="30">
        <v>71000000</v>
      </c>
    </row>
    <row r="15766" spans="20:22" ht="24.75" thickBot="1" x14ac:dyDescent="0.25">
      <c r="T15766" s="28">
        <v>22245029</v>
      </c>
      <c r="U15766" s="29" t="s">
        <v>3143</v>
      </c>
      <c r="V15766" s="30">
        <v>73100000</v>
      </c>
    </row>
    <row r="15767" spans="20:22" ht="24.75" thickBot="1" x14ac:dyDescent="0.25">
      <c r="T15767" s="28">
        <v>22245030</v>
      </c>
      <c r="U15767" s="29" t="s">
        <v>3144</v>
      </c>
      <c r="V15767" s="30">
        <v>73100000</v>
      </c>
    </row>
    <row r="15768" spans="20:22" ht="24.75" thickBot="1" x14ac:dyDescent="0.25">
      <c r="T15768" s="28">
        <v>22245031</v>
      </c>
      <c r="U15768" s="29" t="s">
        <v>3145</v>
      </c>
      <c r="V15768" s="30">
        <v>75600000</v>
      </c>
    </row>
    <row r="15769" spans="20:22" ht="24.75" thickBot="1" x14ac:dyDescent="0.25">
      <c r="T15769" s="28">
        <v>22245032</v>
      </c>
      <c r="U15769" s="29" t="s">
        <v>3146</v>
      </c>
      <c r="V15769" s="30">
        <v>75600000</v>
      </c>
    </row>
    <row r="15770" spans="20:22" ht="24.75" thickBot="1" x14ac:dyDescent="0.25">
      <c r="T15770" s="28">
        <v>22245033</v>
      </c>
      <c r="U15770" s="29" t="s">
        <v>3147</v>
      </c>
      <c r="V15770" s="30">
        <v>73100000</v>
      </c>
    </row>
    <row r="15771" spans="20:22" ht="24.75" thickBot="1" x14ac:dyDescent="0.25">
      <c r="T15771" s="28">
        <v>22245035</v>
      </c>
      <c r="U15771" s="29" t="s">
        <v>3148</v>
      </c>
      <c r="V15771" s="30">
        <v>73100000</v>
      </c>
    </row>
    <row r="15772" spans="20:22" ht="24.75" thickBot="1" x14ac:dyDescent="0.25">
      <c r="T15772" s="28">
        <v>22245036</v>
      </c>
      <c r="U15772" s="29" t="s">
        <v>3149</v>
      </c>
      <c r="V15772" s="30">
        <v>73100000</v>
      </c>
    </row>
    <row r="15773" spans="20:22" ht="24.75" thickBot="1" x14ac:dyDescent="0.25">
      <c r="T15773" s="28">
        <v>22246001</v>
      </c>
      <c r="U15773" s="29" t="s">
        <v>3150</v>
      </c>
      <c r="V15773" s="30">
        <v>163100000</v>
      </c>
    </row>
    <row r="15774" spans="20:22" ht="24.75" thickBot="1" x14ac:dyDescent="0.25">
      <c r="T15774" s="28">
        <v>22246003</v>
      </c>
      <c r="U15774" s="29" t="s">
        <v>3151</v>
      </c>
      <c r="V15774" s="30">
        <v>169300000</v>
      </c>
    </row>
    <row r="15775" spans="20:22" ht="24.75" thickBot="1" x14ac:dyDescent="0.25">
      <c r="T15775" s="28">
        <v>22246005</v>
      </c>
      <c r="U15775" s="29" t="s">
        <v>3152</v>
      </c>
      <c r="V15775" s="30">
        <v>169300000</v>
      </c>
    </row>
    <row r="15776" spans="20:22" ht="24.75" thickBot="1" x14ac:dyDescent="0.25">
      <c r="T15776" s="28">
        <v>22246007</v>
      </c>
      <c r="U15776" s="29" t="s">
        <v>3153</v>
      </c>
      <c r="V15776" s="30">
        <v>147000000</v>
      </c>
    </row>
    <row r="15777" spans="20:22" ht="24.75" thickBot="1" x14ac:dyDescent="0.25">
      <c r="T15777" s="28">
        <v>22246009</v>
      </c>
      <c r="U15777" s="29" t="s">
        <v>3154</v>
      </c>
      <c r="V15777" s="30">
        <v>163100000</v>
      </c>
    </row>
    <row r="15778" spans="20:22" ht="24.75" thickBot="1" x14ac:dyDescent="0.25">
      <c r="T15778" s="28">
        <v>22246011</v>
      </c>
      <c r="U15778" s="29" t="s">
        <v>3155</v>
      </c>
      <c r="V15778" s="30">
        <v>149700000</v>
      </c>
    </row>
    <row r="15779" spans="20:22" ht="24.75" thickBot="1" x14ac:dyDescent="0.25">
      <c r="T15779" s="28">
        <v>22246013</v>
      </c>
      <c r="U15779" s="29" t="s">
        <v>3156</v>
      </c>
      <c r="V15779" s="30">
        <v>149700000</v>
      </c>
    </row>
    <row r="15780" spans="20:22" ht="24.75" thickBot="1" x14ac:dyDescent="0.25">
      <c r="T15780" s="28">
        <v>22246015</v>
      </c>
      <c r="U15780" s="29" t="s">
        <v>3157</v>
      </c>
      <c r="V15780" s="30">
        <v>157800000</v>
      </c>
    </row>
    <row r="15781" spans="20:22" ht="24.75" thickBot="1" x14ac:dyDescent="0.25">
      <c r="T15781" s="28">
        <v>22246017</v>
      </c>
      <c r="U15781" s="29" t="s">
        <v>3158</v>
      </c>
      <c r="V15781" s="30">
        <v>147000000</v>
      </c>
    </row>
    <row r="15782" spans="20:22" ht="24.75" thickBot="1" x14ac:dyDescent="0.25">
      <c r="T15782" s="28">
        <v>22246019</v>
      </c>
      <c r="U15782" s="29" t="s">
        <v>3159</v>
      </c>
      <c r="V15782" s="30">
        <v>169300000</v>
      </c>
    </row>
    <row r="15783" spans="20:22" ht="24.75" thickBot="1" x14ac:dyDescent="0.25">
      <c r="T15783" s="28">
        <v>22246020</v>
      </c>
      <c r="U15783" s="29" t="s">
        <v>3160</v>
      </c>
      <c r="V15783" s="30">
        <v>169300000</v>
      </c>
    </row>
    <row r="15784" spans="20:22" ht="24.75" thickBot="1" x14ac:dyDescent="0.25">
      <c r="T15784" s="28">
        <v>22246021</v>
      </c>
      <c r="U15784" s="29" t="s">
        <v>3161</v>
      </c>
      <c r="V15784" s="30">
        <v>157800000</v>
      </c>
    </row>
    <row r="15785" spans="20:22" ht="24.75" thickBot="1" x14ac:dyDescent="0.25">
      <c r="T15785" s="28">
        <v>22246023</v>
      </c>
      <c r="U15785" s="29" t="s">
        <v>3162</v>
      </c>
      <c r="V15785" s="30">
        <v>147000000</v>
      </c>
    </row>
    <row r="15786" spans="20:22" ht="24.75" thickBot="1" x14ac:dyDescent="0.25">
      <c r="T15786" s="28">
        <v>22246025</v>
      </c>
      <c r="U15786" s="29" t="s">
        <v>3163</v>
      </c>
      <c r="V15786" s="30">
        <v>163100000</v>
      </c>
    </row>
    <row r="15787" spans="20:22" ht="24.75" thickBot="1" x14ac:dyDescent="0.25">
      <c r="T15787" s="28">
        <v>22246027</v>
      </c>
      <c r="U15787" s="29" t="s">
        <v>3164</v>
      </c>
      <c r="V15787" s="30">
        <v>147000000</v>
      </c>
    </row>
    <row r="15788" spans="20:22" ht="24.75" thickBot="1" x14ac:dyDescent="0.25">
      <c r="T15788" s="28">
        <v>22246028</v>
      </c>
      <c r="U15788" s="29" t="s">
        <v>3165</v>
      </c>
      <c r="V15788" s="30">
        <v>147000000</v>
      </c>
    </row>
    <row r="15789" spans="20:22" ht="24.75" thickBot="1" x14ac:dyDescent="0.25">
      <c r="T15789" s="28">
        <v>22246029</v>
      </c>
      <c r="U15789" s="29" t="s">
        <v>3166</v>
      </c>
      <c r="V15789" s="30">
        <v>149700000</v>
      </c>
    </row>
    <row r="15790" spans="20:22" ht="24.75" thickBot="1" x14ac:dyDescent="0.25">
      <c r="T15790" s="28">
        <v>22246031</v>
      </c>
      <c r="U15790" s="29" t="s">
        <v>3167</v>
      </c>
      <c r="V15790" s="30">
        <v>163100000</v>
      </c>
    </row>
    <row r="15791" spans="20:22" ht="24.75" thickBot="1" x14ac:dyDescent="0.25">
      <c r="T15791" s="28">
        <v>22246033</v>
      </c>
      <c r="U15791" s="29" t="s">
        <v>3168</v>
      </c>
      <c r="V15791" s="30">
        <v>147000000</v>
      </c>
    </row>
    <row r="15792" spans="20:22" ht="24.75" thickBot="1" x14ac:dyDescent="0.25">
      <c r="T15792" s="28">
        <v>22246035</v>
      </c>
      <c r="U15792" s="29" t="s">
        <v>3169</v>
      </c>
      <c r="V15792" s="30">
        <v>147000000</v>
      </c>
    </row>
    <row r="15793" spans="20:22" ht="24.75" thickBot="1" x14ac:dyDescent="0.25">
      <c r="T15793" s="28">
        <v>22246036</v>
      </c>
      <c r="U15793" s="29" t="s">
        <v>3170</v>
      </c>
      <c r="V15793" s="30">
        <v>147000000</v>
      </c>
    </row>
    <row r="15794" spans="20:22" ht="24.75" thickBot="1" x14ac:dyDescent="0.25">
      <c r="T15794" s="28">
        <v>22253001</v>
      </c>
      <c r="U15794" s="29" t="s">
        <v>3171</v>
      </c>
      <c r="V15794" s="30">
        <v>69400000</v>
      </c>
    </row>
    <row r="15795" spans="20:22" ht="13.5" thickBot="1" x14ac:dyDescent="0.25">
      <c r="T15795" s="28">
        <v>22253002</v>
      </c>
      <c r="U15795" s="29" t="s">
        <v>636</v>
      </c>
      <c r="V15795" s="30">
        <v>1300000</v>
      </c>
    </row>
    <row r="15796" spans="20:22" ht="24.75" thickBot="1" x14ac:dyDescent="0.25">
      <c r="T15796" s="28">
        <v>22253003</v>
      </c>
      <c r="U15796" s="29" t="s">
        <v>3172</v>
      </c>
      <c r="V15796" s="30">
        <v>73100000</v>
      </c>
    </row>
    <row r="15797" spans="20:22" ht="24.75" thickBot="1" x14ac:dyDescent="0.25">
      <c r="T15797" s="28">
        <v>22253004</v>
      </c>
      <c r="U15797" s="29" t="s">
        <v>637</v>
      </c>
      <c r="V15797" s="30">
        <v>1200000</v>
      </c>
    </row>
    <row r="15798" spans="20:22" ht="24.75" thickBot="1" x14ac:dyDescent="0.25">
      <c r="T15798" s="28">
        <v>22253005</v>
      </c>
      <c r="U15798" s="29" t="s">
        <v>638</v>
      </c>
      <c r="V15798" s="30">
        <v>1200000</v>
      </c>
    </row>
    <row r="15799" spans="20:22" ht="24.75" thickBot="1" x14ac:dyDescent="0.25">
      <c r="T15799" s="28">
        <v>22253007</v>
      </c>
      <c r="U15799" s="29" t="s">
        <v>639</v>
      </c>
      <c r="V15799" s="30">
        <v>1200000</v>
      </c>
    </row>
    <row r="15800" spans="20:22" ht="24.75" thickBot="1" x14ac:dyDescent="0.25">
      <c r="T15800" s="28">
        <v>22253008</v>
      </c>
      <c r="U15800" s="29" t="s">
        <v>671</v>
      </c>
      <c r="V15800" s="30">
        <v>1200000</v>
      </c>
    </row>
    <row r="15801" spans="20:22" ht="13.5" thickBot="1" x14ac:dyDescent="0.25">
      <c r="T15801" s="28">
        <v>22253009</v>
      </c>
      <c r="U15801" s="29" t="s">
        <v>640</v>
      </c>
      <c r="V15801" s="30">
        <v>1300000</v>
      </c>
    </row>
    <row r="15802" spans="20:22" ht="13.5" thickBot="1" x14ac:dyDescent="0.25">
      <c r="T15802" s="28">
        <v>22253011</v>
      </c>
      <c r="U15802" s="29" t="s">
        <v>641</v>
      </c>
      <c r="V15802" s="30">
        <v>1200000</v>
      </c>
    </row>
    <row r="15803" spans="20:22" ht="24.75" thickBot="1" x14ac:dyDescent="0.25">
      <c r="T15803" s="28">
        <v>22253012</v>
      </c>
      <c r="U15803" s="29" t="s">
        <v>676</v>
      </c>
      <c r="V15803" s="30">
        <v>1300000</v>
      </c>
    </row>
    <row r="15804" spans="20:22" ht="24.75" thickBot="1" x14ac:dyDescent="0.25">
      <c r="T15804" s="28">
        <v>22253015</v>
      </c>
      <c r="U15804" s="29" t="s">
        <v>642</v>
      </c>
      <c r="V15804" s="30">
        <v>1200000</v>
      </c>
    </row>
    <row r="15805" spans="20:22" ht="24.75" thickBot="1" x14ac:dyDescent="0.25">
      <c r="T15805" s="28">
        <v>22253021</v>
      </c>
      <c r="U15805" s="29" t="s">
        <v>697</v>
      </c>
      <c r="V15805" s="30">
        <v>1200000</v>
      </c>
    </row>
    <row r="15806" spans="20:22" ht="13.5" thickBot="1" x14ac:dyDescent="0.25">
      <c r="T15806" s="28">
        <v>22253023</v>
      </c>
      <c r="U15806" s="29" t="s">
        <v>698</v>
      </c>
      <c r="V15806" s="30">
        <v>1200000</v>
      </c>
    </row>
    <row r="15807" spans="20:22" ht="36.75" thickBot="1" x14ac:dyDescent="0.25">
      <c r="T15807" s="28">
        <v>22253025</v>
      </c>
      <c r="U15807" s="29" t="s">
        <v>654</v>
      </c>
      <c r="V15807" s="30">
        <v>1200000</v>
      </c>
    </row>
    <row r="15808" spans="20:22" ht="13.5" thickBot="1" x14ac:dyDescent="0.25">
      <c r="T15808" s="28">
        <v>22253027</v>
      </c>
      <c r="U15808" s="29" t="s">
        <v>655</v>
      </c>
      <c r="V15808" s="30">
        <v>1300000</v>
      </c>
    </row>
    <row r="15809" spans="20:22" ht="24.75" thickBot="1" x14ac:dyDescent="0.25">
      <c r="T15809" s="28">
        <v>22253029</v>
      </c>
      <c r="U15809" s="29" t="s">
        <v>656</v>
      </c>
      <c r="V15809" s="30">
        <v>1200000</v>
      </c>
    </row>
    <row r="15810" spans="20:22" ht="24.75" thickBot="1" x14ac:dyDescent="0.25">
      <c r="T15810" s="28">
        <v>22253031</v>
      </c>
      <c r="U15810" s="29" t="s">
        <v>657</v>
      </c>
      <c r="V15810" s="30">
        <v>1200000</v>
      </c>
    </row>
    <row r="15811" spans="20:22" ht="24.75" thickBot="1" x14ac:dyDescent="0.25">
      <c r="T15811" s="28">
        <v>22253033</v>
      </c>
      <c r="U15811" s="29" t="s">
        <v>710</v>
      </c>
      <c r="V15811" s="30">
        <v>1200000</v>
      </c>
    </row>
    <row r="15812" spans="20:22" ht="24.75" thickBot="1" x14ac:dyDescent="0.25">
      <c r="T15812" s="28">
        <v>22253035</v>
      </c>
      <c r="U15812" s="29" t="s">
        <v>711</v>
      </c>
      <c r="V15812" s="30">
        <v>1300000</v>
      </c>
    </row>
    <row r="15813" spans="20:22" ht="24.75" thickBot="1" x14ac:dyDescent="0.25">
      <c r="T15813" s="28">
        <v>22253037</v>
      </c>
      <c r="U15813" s="29" t="s">
        <v>672</v>
      </c>
      <c r="V15813" s="30">
        <v>1200000</v>
      </c>
    </row>
    <row r="15814" spans="20:22" ht="24.75" thickBot="1" x14ac:dyDescent="0.25">
      <c r="T15814" s="28">
        <v>22253039</v>
      </c>
      <c r="U15814" s="29" t="s">
        <v>673</v>
      </c>
      <c r="V15814" s="30">
        <v>1200000</v>
      </c>
    </row>
    <row r="15815" spans="20:22" ht="24.75" thickBot="1" x14ac:dyDescent="0.25">
      <c r="T15815" s="28">
        <v>22253041</v>
      </c>
      <c r="U15815" s="29" t="s">
        <v>674</v>
      </c>
      <c r="V15815" s="30">
        <v>1200000</v>
      </c>
    </row>
    <row r="15816" spans="20:22" ht="24.75" thickBot="1" x14ac:dyDescent="0.25">
      <c r="T15816" s="28">
        <v>22253045</v>
      </c>
      <c r="U15816" s="29" t="s">
        <v>547</v>
      </c>
      <c r="V15816" s="30">
        <v>45100</v>
      </c>
    </row>
    <row r="15817" spans="20:22" ht="24.75" thickBot="1" x14ac:dyDescent="0.25">
      <c r="T15817" s="28">
        <v>22253047</v>
      </c>
      <c r="U15817" s="29" t="s">
        <v>548</v>
      </c>
      <c r="V15817" s="30">
        <v>45100</v>
      </c>
    </row>
    <row r="15818" spans="20:22" ht="24.75" thickBot="1" x14ac:dyDescent="0.25">
      <c r="T15818" s="28">
        <v>22253049</v>
      </c>
      <c r="U15818" s="29" t="s">
        <v>675</v>
      </c>
      <c r="V15818" s="30">
        <v>1300000</v>
      </c>
    </row>
    <row r="15819" spans="20:22" ht="24.75" thickBot="1" x14ac:dyDescent="0.25">
      <c r="T15819" s="28">
        <v>22254001</v>
      </c>
      <c r="U15819" s="29" t="s">
        <v>910</v>
      </c>
      <c r="V15819" s="30">
        <v>11700000</v>
      </c>
    </row>
    <row r="15820" spans="20:22" ht="24.75" thickBot="1" x14ac:dyDescent="0.25">
      <c r="T15820" s="28">
        <v>22254002</v>
      </c>
      <c r="U15820" s="29" t="s">
        <v>874</v>
      </c>
      <c r="V15820" s="30">
        <v>11700000</v>
      </c>
    </row>
    <row r="15821" spans="20:22" ht="24.75" thickBot="1" x14ac:dyDescent="0.25">
      <c r="T15821" s="28">
        <v>22254003</v>
      </c>
      <c r="U15821" s="29" t="s">
        <v>3173</v>
      </c>
      <c r="V15821" s="30">
        <v>68100000</v>
      </c>
    </row>
    <row r="15822" spans="20:22" ht="24.75" thickBot="1" x14ac:dyDescent="0.25">
      <c r="T15822" s="28">
        <v>22254005</v>
      </c>
      <c r="U15822" s="29" t="s">
        <v>911</v>
      </c>
      <c r="V15822" s="30">
        <v>11700000</v>
      </c>
    </row>
    <row r="15823" spans="20:22" ht="24.75" thickBot="1" x14ac:dyDescent="0.25">
      <c r="T15823" s="28">
        <v>22254007</v>
      </c>
      <c r="U15823" s="29" t="s">
        <v>699</v>
      </c>
      <c r="V15823" s="30">
        <v>1200000</v>
      </c>
    </row>
    <row r="15824" spans="20:22" ht="24.75" thickBot="1" x14ac:dyDescent="0.25">
      <c r="T15824" s="28">
        <v>22254009</v>
      </c>
      <c r="U15824" s="29" t="s">
        <v>3174</v>
      </c>
      <c r="V15824" s="30">
        <v>69400000</v>
      </c>
    </row>
    <row r="15825" spans="20:22" ht="24.75" thickBot="1" x14ac:dyDescent="0.25">
      <c r="T15825" s="28">
        <v>22254013</v>
      </c>
      <c r="U15825" s="29" t="s">
        <v>886</v>
      </c>
      <c r="V15825" s="30">
        <v>11700000</v>
      </c>
    </row>
    <row r="15826" spans="20:22" ht="24.75" thickBot="1" x14ac:dyDescent="0.25">
      <c r="T15826" s="28">
        <v>22254015</v>
      </c>
      <c r="U15826" s="29" t="s">
        <v>932</v>
      </c>
      <c r="V15826" s="30">
        <v>11700000</v>
      </c>
    </row>
    <row r="15827" spans="20:22" ht="24.75" thickBot="1" x14ac:dyDescent="0.25">
      <c r="T15827" s="28">
        <v>22254017</v>
      </c>
      <c r="U15827" s="29" t="s">
        <v>933</v>
      </c>
      <c r="V15827" s="30">
        <v>11700000</v>
      </c>
    </row>
    <row r="15828" spans="20:22" ht="24.75" thickBot="1" x14ac:dyDescent="0.25">
      <c r="T15828" s="28">
        <v>22254019</v>
      </c>
      <c r="U15828" s="29" t="s">
        <v>677</v>
      </c>
      <c r="V15828" s="30">
        <v>1300000</v>
      </c>
    </row>
    <row r="15829" spans="20:22" ht="24.75" thickBot="1" x14ac:dyDescent="0.25">
      <c r="T15829" s="28">
        <v>22255001</v>
      </c>
      <c r="U15829" s="29" t="s">
        <v>3175</v>
      </c>
      <c r="V15829" s="30">
        <v>68100000</v>
      </c>
    </row>
    <row r="15830" spans="20:22" ht="24.75" thickBot="1" x14ac:dyDescent="0.25">
      <c r="T15830" s="28">
        <v>22264001</v>
      </c>
      <c r="U15830" s="29" t="s">
        <v>3176</v>
      </c>
      <c r="V15830" s="30">
        <v>13000000</v>
      </c>
    </row>
    <row r="15831" spans="20:22" ht="24.75" thickBot="1" x14ac:dyDescent="0.25">
      <c r="T15831" s="28">
        <v>22264002</v>
      </c>
      <c r="U15831" s="29" t="s">
        <v>3177</v>
      </c>
      <c r="V15831" s="30">
        <v>13000000</v>
      </c>
    </row>
    <row r="15832" spans="20:22" ht="24.75" thickBot="1" x14ac:dyDescent="0.25">
      <c r="T15832" s="28">
        <v>22264003</v>
      </c>
      <c r="U15832" s="29" t="s">
        <v>3178</v>
      </c>
      <c r="V15832" s="30">
        <v>13000000</v>
      </c>
    </row>
    <row r="15833" spans="20:22" ht="24.75" thickBot="1" x14ac:dyDescent="0.25">
      <c r="T15833" s="28">
        <v>22264004</v>
      </c>
      <c r="U15833" s="29" t="s">
        <v>3179</v>
      </c>
      <c r="V15833" s="30">
        <v>13000000</v>
      </c>
    </row>
    <row r="15834" spans="20:22" ht="24.75" thickBot="1" x14ac:dyDescent="0.25">
      <c r="T15834" s="28">
        <v>22264005</v>
      </c>
      <c r="U15834" s="29" t="s">
        <v>3180</v>
      </c>
      <c r="V15834" s="30">
        <v>13000000</v>
      </c>
    </row>
    <row r="15835" spans="20:22" ht="24.75" thickBot="1" x14ac:dyDescent="0.25">
      <c r="T15835" s="28">
        <v>22264006</v>
      </c>
      <c r="U15835" s="29" t="s">
        <v>3181</v>
      </c>
      <c r="V15835" s="30">
        <v>13000000</v>
      </c>
    </row>
    <row r="15836" spans="20:22" ht="24.75" thickBot="1" x14ac:dyDescent="0.25">
      <c r="T15836" s="28">
        <v>22264008</v>
      </c>
      <c r="U15836" s="29" t="s">
        <v>3182</v>
      </c>
      <c r="V15836" s="30">
        <v>13000000</v>
      </c>
    </row>
    <row r="15837" spans="20:22" ht="24.75" thickBot="1" x14ac:dyDescent="0.25">
      <c r="T15837" s="28">
        <v>22264009</v>
      </c>
      <c r="U15837" s="29" t="s">
        <v>3183</v>
      </c>
      <c r="V15837" s="30">
        <v>13000000</v>
      </c>
    </row>
    <row r="15838" spans="20:22" ht="24.75" thickBot="1" x14ac:dyDescent="0.25">
      <c r="T15838" s="28">
        <v>22264010</v>
      </c>
      <c r="U15838" s="29" t="s">
        <v>3184</v>
      </c>
      <c r="V15838" s="30">
        <v>13000000</v>
      </c>
    </row>
    <row r="15839" spans="20:22" ht="24.75" thickBot="1" x14ac:dyDescent="0.25">
      <c r="T15839" s="28">
        <v>22264011</v>
      </c>
      <c r="U15839" s="29" t="s">
        <v>3185</v>
      </c>
      <c r="V15839" s="30">
        <v>13000000</v>
      </c>
    </row>
    <row r="15840" spans="20:22" ht="24.75" thickBot="1" x14ac:dyDescent="0.25">
      <c r="T15840" s="28">
        <v>22264012</v>
      </c>
      <c r="U15840" s="29" t="s">
        <v>3186</v>
      </c>
      <c r="V15840" s="30">
        <v>13000000</v>
      </c>
    </row>
    <row r="15841" spans="20:22" ht="36.75" thickBot="1" x14ac:dyDescent="0.25">
      <c r="T15841" s="28">
        <v>22264013</v>
      </c>
      <c r="U15841" s="29" t="s">
        <v>3187</v>
      </c>
      <c r="V15841" s="30">
        <v>13000000</v>
      </c>
    </row>
    <row r="15842" spans="20:22" ht="24.75" thickBot="1" x14ac:dyDescent="0.25">
      <c r="T15842" s="28">
        <v>22264014</v>
      </c>
      <c r="U15842" s="29" t="s">
        <v>3188</v>
      </c>
      <c r="V15842" s="30">
        <v>13000000</v>
      </c>
    </row>
    <row r="15843" spans="20:22" ht="24.75" thickBot="1" x14ac:dyDescent="0.25">
      <c r="T15843" s="28">
        <v>22264015</v>
      </c>
      <c r="U15843" s="29" t="s">
        <v>3189</v>
      </c>
      <c r="V15843" s="30">
        <v>13000000</v>
      </c>
    </row>
    <row r="15844" spans="20:22" ht="24.75" thickBot="1" x14ac:dyDescent="0.25">
      <c r="T15844" s="28">
        <v>22264016</v>
      </c>
      <c r="U15844" s="29" t="s">
        <v>3190</v>
      </c>
      <c r="V15844" s="30">
        <v>13000000</v>
      </c>
    </row>
    <row r="15845" spans="20:22" ht="24.75" thickBot="1" x14ac:dyDescent="0.25">
      <c r="T15845" s="28">
        <v>22264017</v>
      </c>
      <c r="U15845" s="29" t="s">
        <v>3191</v>
      </c>
      <c r="V15845" s="30">
        <v>13000000</v>
      </c>
    </row>
    <row r="15846" spans="20:22" ht="24.75" thickBot="1" x14ac:dyDescent="0.25">
      <c r="T15846" s="28">
        <v>22264018</v>
      </c>
      <c r="U15846" s="29" t="s">
        <v>3192</v>
      </c>
      <c r="V15846" s="30">
        <v>13000000</v>
      </c>
    </row>
    <row r="15847" spans="20:22" ht="24.75" thickBot="1" x14ac:dyDescent="0.25">
      <c r="T15847" s="28">
        <v>22264019</v>
      </c>
      <c r="U15847" s="29" t="s">
        <v>3193</v>
      </c>
      <c r="V15847" s="30">
        <v>13000000</v>
      </c>
    </row>
    <row r="15848" spans="20:22" ht="24.75" thickBot="1" x14ac:dyDescent="0.25">
      <c r="T15848" s="28">
        <v>22264020</v>
      </c>
      <c r="U15848" s="29" t="s">
        <v>3194</v>
      </c>
      <c r="V15848" s="30">
        <v>13000000</v>
      </c>
    </row>
    <row r="15849" spans="20:22" ht="24.75" thickBot="1" x14ac:dyDescent="0.25">
      <c r="T15849" s="28">
        <v>22264021</v>
      </c>
      <c r="U15849" s="29" t="s">
        <v>3195</v>
      </c>
      <c r="V15849" s="30">
        <v>13000000</v>
      </c>
    </row>
    <row r="15850" spans="20:22" ht="24.75" thickBot="1" x14ac:dyDescent="0.25">
      <c r="T15850" s="28">
        <v>22264022</v>
      </c>
      <c r="U15850" s="29" t="s">
        <v>3196</v>
      </c>
      <c r="V15850" s="30">
        <v>13000000</v>
      </c>
    </row>
    <row r="15851" spans="20:22" ht="24.75" thickBot="1" x14ac:dyDescent="0.25">
      <c r="T15851" s="28">
        <v>22264023</v>
      </c>
      <c r="U15851" s="29" t="s">
        <v>3197</v>
      </c>
      <c r="V15851" s="30">
        <v>13000000</v>
      </c>
    </row>
    <row r="15852" spans="20:22" ht="36.75" thickBot="1" x14ac:dyDescent="0.25">
      <c r="T15852" s="28">
        <v>22264024</v>
      </c>
      <c r="U15852" s="29" t="s">
        <v>3198</v>
      </c>
      <c r="V15852" s="30">
        <v>13000000</v>
      </c>
    </row>
    <row r="15853" spans="20:22" ht="24.75" thickBot="1" x14ac:dyDescent="0.25">
      <c r="T15853" s="28">
        <v>22264025</v>
      </c>
      <c r="U15853" s="29" t="s">
        <v>3199</v>
      </c>
      <c r="V15853" s="30">
        <v>13000000</v>
      </c>
    </row>
    <row r="15854" spans="20:22" ht="24.75" thickBot="1" x14ac:dyDescent="0.25">
      <c r="T15854" s="28">
        <v>22264026</v>
      </c>
      <c r="U15854" s="29" t="s">
        <v>3200</v>
      </c>
      <c r="V15854" s="30">
        <v>13000000</v>
      </c>
    </row>
    <row r="15855" spans="20:22" ht="24.75" thickBot="1" x14ac:dyDescent="0.25">
      <c r="T15855" s="28">
        <v>22264500</v>
      </c>
      <c r="U15855" s="29" t="s">
        <v>3201</v>
      </c>
      <c r="V15855" s="30">
        <v>96000</v>
      </c>
    </row>
    <row r="15856" spans="20:22" ht="24.75" thickBot="1" x14ac:dyDescent="0.25">
      <c r="T15856" s="28">
        <v>22264501</v>
      </c>
      <c r="U15856" s="29" t="s">
        <v>3202</v>
      </c>
      <c r="V15856" s="30">
        <v>1200000</v>
      </c>
    </row>
    <row r="15857" spans="20:22" ht="24.75" thickBot="1" x14ac:dyDescent="0.25">
      <c r="T15857" s="28">
        <v>22264502</v>
      </c>
      <c r="U15857" s="29" t="s">
        <v>3203</v>
      </c>
      <c r="V15857" s="30">
        <v>1200000</v>
      </c>
    </row>
    <row r="15858" spans="20:22" ht="24.75" thickBot="1" x14ac:dyDescent="0.25">
      <c r="T15858" s="28">
        <v>22264503</v>
      </c>
      <c r="U15858" s="29" t="s">
        <v>3204</v>
      </c>
      <c r="V15858" s="30">
        <v>1200000</v>
      </c>
    </row>
    <row r="15859" spans="20:22" ht="36.75" thickBot="1" x14ac:dyDescent="0.25">
      <c r="T15859" s="28">
        <v>22264504</v>
      </c>
      <c r="U15859" s="29" t="s">
        <v>3205</v>
      </c>
      <c r="V15859" s="30">
        <v>1200000</v>
      </c>
    </row>
    <row r="15860" spans="20:22" ht="24.75" thickBot="1" x14ac:dyDescent="0.25">
      <c r="T15860" s="28">
        <v>22264505</v>
      </c>
      <c r="U15860" s="29" t="s">
        <v>3206</v>
      </c>
      <c r="V15860" s="30">
        <v>1200000</v>
      </c>
    </row>
    <row r="15861" spans="20:22" ht="24.75" thickBot="1" x14ac:dyDescent="0.25">
      <c r="T15861" s="28">
        <v>22264506</v>
      </c>
      <c r="U15861" s="29" t="s">
        <v>3207</v>
      </c>
      <c r="V15861" s="30">
        <v>1200000</v>
      </c>
    </row>
    <row r="15862" spans="20:22" ht="24.75" thickBot="1" x14ac:dyDescent="0.25">
      <c r="T15862" s="28">
        <v>22264508</v>
      </c>
      <c r="U15862" s="29" t="s">
        <v>3208</v>
      </c>
      <c r="V15862" s="30">
        <v>1200000</v>
      </c>
    </row>
    <row r="15863" spans="20:22" ht="24.75" thickBot="1" x14ac:dyDescent="0.25">
      <c r="T15863" s="28">
        <v>22264509</v>
      </c>
      <c r="U15863" s="29" t="s">
        <v>3209</v>
      </c>
      <c r="V15863" s="30">
        <v>1200000</v>
      </c>
    </row>
    <row r="15864" spans="20:22" ht="24.75" thickBot="1" x14ac:dyDescent="0.25">
      <c r="T15864" s="28">
        <v>22264510</v>
      </c>
      <c r="U15864" s="29" t="s">
        <v>3210</v>
      </c>
      <c r="V15864" s="30">
        <v>1200000</v>
      </c>
    </row>
    <row r="15865" spans="20:22" ht="24.75" thickBot="1" x14ac:dyDescent="0.25">
      <c r="T15865" s="28">
        <v>22264511</v>
      </c>
      <c r="U15865" s="29" t="s">
        <v>3211</v>
      </c>
      <c r="V15865" s="30">
        <v>1200000</v>
      </c>
    </row>
    <row r="15866" spans="20:22" ht="24.75" thickBot="1" x14ac:dyDescent="0.25">
      <c r="T15866" s="28">
        <v>22264512</v>
      </c>
      <c r="U15866" s="29" t="s">
        <v>3212</v>
      </c>
      <c r="V15866" s="30">
        <v>1200000</v>
      </c>
    </row>
    <row r="15867" spans="20:22" ht="24.75" thickBot="1" x14ac:dyDescent="0.25">
      <c r="T15867" s="28">
        <v>22264513</v>
      </c>
      <c r="U15867" s="29" t="s">
        <v>3213</v>
      </c>
      <c r="V15867" s="30">
        <v>1200000</v>
      </c>
    </row>
    <row r="15868" spans="20:22" ht="24.75" thickBot="1" x14ac:dyDescent="0.25">
      <c r="T15868" s="28">
        <v>22264514</v>
      </c>
      <c r="U15868" s="29" t="s">
        <v>3214</v>
      </c>
      <c r="V15868" s="30">
        <v>1200000</v>
      </c>
    </row>
    <row r="15869" spans="20:22" ht="24.75" thickBot="1" x14ac:dyDescent="0.25">
      <c r="T15869" s="28">
        <v>22264515</v>
      </c>
      <c r="U15869" s="29" t="s">
        <v>3215</v>
      </c>
      <c r="V15869" s="30">
        <v>1200000</v>
      </c>
    </row>
    <row r="15870" spans="20:22" ht="24.75" thickBot="1" x14ac:dyDescent="0.25">
      <c r="T15870" s="28">
        <v>22264516</v>
      </c>
      <c r="U15870" s="29" t="s">
        <v>3216</v>
      </c>
      <c r="V15870" s="30">
        <v>1200000</v>
      </c>
    </row>
    <row r="15871" spans="20:22" ht="24.75" thickBot="1" x14ac:dyDescent="0.25">
      <c r="T15871" s="28">
        <v>22264517</v>
      </c>
      <c r="U15871" s="29" t="s">
        <v>3217</v>
      </c>
      <c r="V15871" s="30">
        <v>1200000</v>
      </c>
    </row>
    <row r="15872" spans="20:22" ht="24.75" thickBot="1" x14ac:dyDescent="0.25">
      <c r="T15872" s="28">
        <v>22264518</v>
      </c>
      <c r="U15872" s="29" t="s">
        <v>3218</v>
      </c>
      <c r="V15872" s="30">
        <v>1200000</v>
      </c>
    </row>
    <row r="15873" spans="20:22" ht="24.75" thickBot="1" x14ac:dyDescent="0.25">
      <c r="T15873" s="28">
        <v>22264519</v>
      </c>
      <c r="U15873" s="29" t="s">
        <v>3219</v>
      </c>
      <c r="V15873" s="30">
        <v>1200000</v>
      </c>
    </row>
    <row r="15874" spans="20:22" ht="24.75" thickBot="1" x14ac:dyDescent="0.25">
      <c r="T15874" s="28">
        <v>22264520</v>
      </c>
      <c r="U15874" s="29" t="s">
        <v>3220</v>
      </c>
      <c r="V15874" s="30">
        <v>1200000</v>
      </c>
    </row>
    <row r="15875" spans="20:22" ht="24.75" thickBot="1" x14ac:dyDescent="0.25">
      <c r="T15875" s="28">
        <v>22264521</v>
      </c>
      <c r="U15875" s="29" t="s">
        <v>3221</v>
      </c>
      <c r="V15875" s="30">
        <v>1200000</v>
      </c>
    </row>
    <row r="15876" spans="20:22" ht="24.75" thickBot="1" x14ac:dyDescent="0.25">
      <c r="T15876" s="28">
        <v>22264522</v>
      </c>
      <c r="U15876" s="29" t="s">
        <v>3222</v>
      </c>
      <c r="V15876" s="30">
        <v>1200000</v>
      </c>
    </row>
    <row r="15877" spans="20:22" ht="24.75" thickBot="1" x14ac:dyDescent="0.25">
      <c r="T15877" s="28">
        <v>22264523</v>
      </c>
      <c r="U15877" s="29" t="s">
        <v>3223</v>
      </c>
      <c r="V15877" s="30">
        <v>1200000</v>
      </c>
    </row>
    <row r="15878" spans="20:22" ht="24.75" thickBot="1" x14ac:dyDescent="0.25">
      <c r="T15878" s="28">
        <v>22264524</v>
      </c>
      <c r="U15878" s="29" t="s">
        <v>3224</v>
      </c>
      <c r="V15878" s="30">
        <v>1200000</v>
      </c>
    </row>
    <row r="15879" spans="20:22" ht="24.75" thickBot="1" x14ac:dyDescent="0.25">
      <c r="T15879" s="28">
        <v>22264525</v>
      </c>
      <c r="U15879" s="29" t="s">
        <v>3225</v>
      </c>
      <c r="V15879" s="30">
        <v>1200000</v>
      </c>
    </row>
    <row r="15880" spans="20:22" ht="24.75" thickBot="1" x14ac:dyDescent="0.25">
      <c r="T15880" s="28">
        <v>22264526</v>
      </c>
      <c r="U15880" s="29" t="s">
        <v>3226</v>
      </c>
      <c r="V15880" s="30">
        <v>1200000</v>
      </c>
    </row>
    <row r="15881" spans="20:22" ht="24.75" thickBot="1" x14ac:dyDescent="0.25">
      <c r="T15881" s="28">
        <v>22265001</v>
      </c>
      <c r="U15881" s="29" t="s">
        <v>3227</v>
      </c>
      <c r="V15881" s="30">
        <v>11700000</v>
      </c>
    </row>
    <row r="15882" spans="20:22" ht="24.75" thickBot="1" x14ac:dyDescent="0.25">
      <c r="T15882" s="28">
        <v>22265002</v>
      </c>
      <c r="U15882" s="29" t="s">
        <v>3228</v>
      </c>
      <c r="V15882" s="30">
        <v>11700000</v>
      </c>
    </row>
    <row r="15883" spans="20:22" ht="24.75" thickBot="1" x14ac:dyDescent="0.25">
      <c r="T15883" s="28">
        <v>22265003</v>
      </c>
      <c r="U15883" s="29" t="s">
        <v>912</v>
      </c>
      <c r="V15883" s="30">
        <v>11900000</v>
      </c>
    </row>
    <row r="15884" spans="20:22" ht="24.75" thickBot="1" x14ac:dyDescent="0.25">
      <c r="T15884" s="28">
        <v>22265004</v>
      </c>
      <c r="U15884" s="29" t="s">
        <v>888</v>
      </c>
      <c r="V15884" s="30">
        <v>11700000</v>
      </c>
    </row>
    <row r="15885" spans="20:22" ht="24.75" thickBot="1" x14ac:dyDescent="0.25">
      <c r="T15885" s="28">
        <v>22265007</v>
      </c>
      <c r="U15885" s="29" t="s">
        <v>885</v>
      </c>
      <c r="V15885" s="30">
        <v>11900000</v>
      </c>
    </row>
    <row r="15886" spans="20:22" ht="24.75" thickBot="1" x14ac:dyDescent="0.25">
      <c r="T15886" s="28">
        <v>22265008</v>
      </c>
      <c r="U15886" s="29" t="s">
        <v>3229</v>
      </c>
      <c r="V15886" s="30">
        <v>11700000</v>
      </c>
    </row>
    <row r="15887" spans="20:22" ht="24.75" thickBot="1" x14ac:dyDescent="0.25">
      <c r="T15887" s="28">
        <v>22265010</v>
      </c>
      <c r="U15887" s="29" t="s">
        <v>3230</v>
      </c>
      <c r="V15887" s="30">
        <v>11700000</v>
      </c>
    </row>
    <row r="15888" spans="20:22" ht="24.75" thickBot="1" x14ac:dyDescent="0.25">
      <c r="T15888" s="28">
        <v>22265011</v>
      </c>
      <c r="U15888" s="29" t="s">
        <v>3231</v>
      </c>
      <c r="V15888" s="30">
        <v>11700000</v>
      </c>
    </row>
    <row r="15889" spans="20:22" ht="24.75" thickBot="1" x14ac:dyDescent="0.25">
      <c r="T15889" s="28">
        <v>22265012</v>
      </c>
      <c r="U15889" s="29" t="s">
        <v>3232</v>
      </c>
      <c r="V15889" s="30">
        <v>11700000</v>
      </c>
    </row>
    <row r="15890" spans="20:22" ht="24.75" thickBot="1" x14ac:dyDescent="0.25">
      <c r="T15890" s="28">
        <v>22265013</v>
      </c>
      <c r="U15890" s="29" t="s">
        <v>3233</v>
      </c>
      <c r="V15890" s="30">
        <v>11700000</v>
      </c>
    </row>
    <row r="15891" spans="20:22" ht="24.75" thickBot="1" x14ac:dyDescent="0.25">
      <c r="T15891" s="28">
        <v>22265014</v>
      </c>
      <c r="U15891" s="29" t="s">
        <v>3234</v>
      </c>
      <c r="V15891" s="30">
        <v>11700000</v>
      </c>
    </row>
    <row r="15892" spans="20:22" ht="24.75" thickBot="1" x14ac:dyDescent="0.25">
      <c r="T15892" s="28">
        <v>22265015</v>
      </c>
      <c r="U15892" s="29" t="s">
        <v>3235</v>
      </c>
      <c r="V15892" s="30">
        <v>11700000</v>
      </c>
    </row>
    <row r="15893" spans="20:22" ht="24.75" thickBot="1" x14ac:dyDescent="0.25">
      <c r="T15893" s="28">
        <v>22265016</v>
      </c>
      <c r="U15893" s="29" t="s">
        <v>3236</v>
      </c>
      <c r="V15893" s="30">
        <v>11700000</v>
      </c>
    </row>
    <row r="15894" spans="20:22" ht="24.75" thickBot="1" x14ac:dyDescent="0.25">
      <c r="T15894" s="28">
        <v>22265017</v>
      </c>
      <c r="U15894" s="29" t="s">
        <v>3237</v>
      </c>
      <c r="V15894" s="30">
        <v>11700000</v>
      </c>
    </row>
    <row r="15895" spans="20:22" ht="24.75" thickBot="1" x14ac:dyDescent="0.25">
      <c r="T15895" s="28">
        <v>22265018</v>
      </c>
      <c r="U15895" s="29" t="s">
        <v>3238</v>
      </c>
      <c r="V15895" s="30">
        <v>11700000</v>
      </c>
    </row>
    <row r="15896" spans="20:22" ht="24.75" thickBot="1" x14ac:dyDescent="0.25">
      <c r="T15896" s="28">
        <v>22265019</v>
      </c>
      <c r="U15896" s="29" t="s">
        <v>3239</v>
      </c>
      <c r="V15896" s="30">
        <v>11700000</v>
      </c>
    </row>
    <row r="15897" spans="20:22" ht="24.75" thickBot="1" x14ac:dyDescent="0.25">
      <c r="T15897" s="28">
        <v>22265020</v>
      </c>
      <c r="U15897" s="29" t="s">
        <v>3240</v>
      </c>
      <c r="V15897" s="30">
        <v>11700000</v>
      </c>
    </row>
    <row r="15898" spans="20:22" ht="24.75" thickBot="1" x14ac:dyDescent="0.25">
      <c r="T15898" s="28">
        <v>22265021</v>
      </c>
      <c r="U15898" s="29" t="s">
        <v>3241</v>
      </c>
      <c r="V15898" s="30">
        <v>11700000</v>
      </c>
    </row>
    <row r="15899" spans="20:22" ht="24.75" thickBot="1" x14ac:dyDescent="0.25">
      <c r="T15899" s="28">
        <v>22265022</v>
      </c>
      <c r="U15899" s="29" t="s">
        <v>3242</v>
      </c>
      <c r="V15899" s="30">
        <v>11700000</v>
      </c>
    </row>
    <row r="15900" spans="20:22" ht="24.75" thickBot="1" x14ac:dyDescent="0.25">
      <c r="T15900" s="28">
        <v>22265023</v>
      </c>
      <c r="U15900" s="29" t="s">
        <v>3243</v>
      </c>
      <c r="V15900" s="30">
        <v>11700000</v>
      </c>
    </row>
    <row r="15901" spans="20:22" ht="24.75" thickBot="1" x14ac:dyDescent="0.25">
      <c r="T15901" s="28">
        <v>22265024</v>
      </c>
      <c r="U15901" s="29" t="s">
        <v>3244</v>
      </c>
      <c r="V15901" s="30">
        <v>11700000</v>
      </c>
    </row>
    <row r="15902" spans="20:22" ht="24.75" thickBot="1" x14ac:dyDescent="0.25">
      <c r="T15902" s="28">
        <v>22265025</v>
      </c>
      <c r="U15902" s="29" t="s">
        <v>3245</v>
      </c>
      <c r="V15902" s="30">
        <v>11700000</v>
      </c>
    </row>
    <row r="15903" spans="20:22" ht="24.75" thickBot="1" x14ac:dyDescent="0.25">
      <c r="T15903" s="28">
        <v>22265026</v>
      </c>
      <c r="U15903" s="29" t="s">
        <v>3246</v>
      </c>
      <c r="V15903" s="30">
        <v>11700000</v>
      </c>
    </row>
    <row r="15904" spans="20:22" ht="24.75" thickBot="1" x14ac:dyDescent="0.25">
      <c r="T15904" s="28">
        <v>22265027</v>
      </c>
      <c r="U15904" s="29" t="s">
        <v>3247</v>
      </c>
      <c r="V15904" s="30">
        <v>11700000</v>
      </c>
    </row>
    <row r="15905" spans="20:22" ht="24.75" thickBot="1" x14ac:dyDescent="0.25">
      <c r="T15905" s="28">
        <v>22265028</v>
      </c>
      <c r="U15905" s="29" t="s">
        <v>3248</v>
      </c>
      <c r="V15905" s="30">
        <v>11700000</v>
      </c>
    </row>
    <row r="15906" spans="20:22" ht="24.75" thickBot="1" x14ac:dyDescent="0.25">
      <c r="T15906" s="28">
        <v>22265029</v>
      </c>
      <c r="U15906" s="29" t="s">
        <v>3249</v>
      </c>
      <c r="V15906" s="30">
        <v>11700000</v>
      </c>
    </row>
    <row r="15907" spans="20:22" ht="24.75" thickBot="1" x14ac:dyDescent="0.25">
      <c r="T15907" s="28">
        <v>22265030</v>
      </c>
      <c r="U15907" s="29" t="s">
        <v>3250</v>
      </c>
      <c r="V15907" s="30">
        <v>11700000</v>
      </c>
    </row>
    <row r="15908" spans="20:22" ht="24.75" thickBot="1" x14ac:dyDescent="0.25">
      <c r="T15908" s="28">
        <v>22265031</v>
      </c>
      <c r="U15908" s="29" t="s">
        <v>3251</v>
      </c>
      <c r="V15908" s="30">
        <v>11700000</v>
      </c>
    </row>
    <row r="15909" spans="20:22" ht="24.75" thickBot="1" x14ac:dyDescent="0.25">
      <c r="T15909" s="28">
        <v>22265033</v>
      </c>
      <c r="U15909" s="29" t="s">
        <v>3252</v>
      </c>
      <c r="V15909" s="30">
        <v>11900000</v>
      </c>
    </row>
    <row r="15910" spans="20:22" ht="24.75" thickBot="1" x14ac:dyDescent="0.25">
      <c r="T15910" s="28">
        <v>22265034</v>
      </c>
      <c r="U15910" s="29" t="s">
        <v>3253</v>
      </c>
      <c r="V15910" s="30">
        <v>11700000</v>
      </c>
    </row>
    <row r="15911" spans="20:22" ht="24.75" thickBot="1" x14ac:dyDescent="0.25">
      <c r="T15911" s="28">
        <v>22265035</v>
      </c>
      <c r="U15911" s="29" t="s">
        <v>3254</v>
      </c>
      <c r="V15911" s="30">
        <v>11700000</v>
      </c>
    </row>
    <row r="15912" spans="20:22" ht="24.75" thickBot="1" x14ac:dyDescent="0.25">
      <c r="T15912" s="28">
        <v>22265036</v>
      </c>
      <c r="U15912" s="29" t="s">
        <v>3255</v>
      </c>
      <c r="V15912" s="30">
        <v>11700000</v>
      </c>
    </row>
    <row r="15913" spans="20:22" ht="24.75" thickBot="1" x14ac:dyDescent="0.25">
      <c r="T15913" s="28">
        <v>22265037</v>
      </c>
      <c r="U15913" s="29" t="s">
        <v>3256</v>
      </c>
      <c r="V15913" s="30">
        <v>11700000</v>
      </c>
    </row>
    <row r="15914" spans="20:22" ht="24.75" thickBot="1" x14ac:dyDescent="0.25">
      <c r="T15914" s="28">
        <v>22265038</v>
      </c>
      <c r="U15914" s="29" t="s">
        <v>3257</v>
      </c>
      <c r="V15914" s="30">
        <v>11700000</v>
      </c>
    </row>
    <row r="15915" spans="20:22" ht="24.75" thickBot="1" x14ac:dyDescent="0.25">
      <c r="T15915" s="28">
        <v>22265039</v>
      </c>
      <c r="U15915" s="29" t="s">
        <v>3258</v>
      </c>
      <c r="V15915" s="30">
        <v>11700000</v>
      </c>
    </row>
    <row r="15916" spans="20:22" ht="24.75" thickBot="1" x14ac:dyDescent="0.25">
      <c r="T15916" s="28">
        <v>22265040</v>
      </c>
      <c r="U15916" s="29" t="s">
        <v>3259</v>
      </c>
      <c r="V15916" s="30">
        <v>11700000</v>
      </c>
    </row>
    <row r="15917" spans="20:22" ht="24.75" thickBot="1" x14ac:dyDescent="0.25">
      <c r="T15917" s="28">
        <v>22265041</v>
      </c>
      <c r="U15917" s="29" t="s">
        <v>3260</v>
      </c>
      <c r="V15917" s="30">
        <v>11700000</v>
      </c>
    </row>
    <row r="15918" spans="20:22" ht="24.75" thickBot="1" x14ac:dyDescent="0.25">
      <c r="T15918" s="28">
        <v>22265042</v>
      </c>
      <c r="U15918" s="29" t="s">
        <v>3261</v>
      </c>
      <c r="V15918" s="30">
        <v>11700000</v>
      </c>
    </row>
    <row r="15919" spans="20:22" ht="24.75" thickBot="1" x14ac:dyDescent="0.25">
      <c r="T15919" s="28">
        <v>22265043</v>
      </c>
      <c r="U15919" s="29" t="s">
        <v>887</v>
      </c>
      <c r="V15919" s="30">
        <v>11700000</v>
      </c>
    </row>
    <row r="15920" spans="20:22" ht="24.75" thickBot="1" x14ac:dyDescent="0.25">
      <c r="T15920" s="28">
        <v>22265044</v>
      </c>
      <c r="U15920" s="29" t="s">
        <v>3262</v>
      </c>
      <c r="V15920" s="30">
        <v>11700000</v>
      </c>
    </row>
    <row r="15921" spans="20:22" ht="24.75" thickBot="1" x14ac:dyDescent="0.25">
      <c r="T15921" s="28">
        <v>22265046</v>
      </c>
      <c r="U15921" s="29" t="s">
        <v>3263</v>
      </c>
      <c r="V15921" s="30">
        <v>11900000</v>
      </c>
    </row>
    <row r="15922" spans="20:22" ht="24.75" thickBot="1" x14ac:dyDescent="0.25">
      <c r="T15922" s="28">
        <v>22265047</v>
      </c>
      <c r="U15922" s="29" t="s">
        <v>3264</v>
      </c>
      <c r="V15922" s="30">
        <v>11700000</v>
      </c>
    </row>
    <row r="15923" spans="20:22" ht="24.75" thickBot="1" x14ac:dyDescent="0.25">
      <c r="T15923" s="28">
        <v>22265048</v>
      </c>
      <c r="U15923" s="29" t="s">
        <v>3265</v>
      </c>
      <c r="V15923" s="30">
        <v>11700000</v>
      </c>
    </row>
    <row r="15924" spans="20:22" ht="24.75" thickBot="1" x14ac:dyDescent="0.25">
      <c r="T15924" s="28">
        <v>22265049</v>
      </c>
      <c r="U15924" s="29" t="s">
        <v>3266</v>
      </c>
      <c r="V15924" s="30">
        <v>11700000</v>
      </c>
    </row>
    <row r="15925" spans="20:22" ht="24.75" thickBot="1" x14ac:dyDescent="0.25">
      <c r="T15925" s="28">
        <v>22265050</v>
      </c>
      <c r="U15925" s="29" t="s">
        <v>3267</v>
      </c>
      <c r="V15925" s="30">
        <v>11700000</v>
      </c>
    </row>
    <row r="15926" spans="20:22" ht="24.75" thickBot="1" x14ac:dyDescent="0.25">
      <c r="T15926" s="28">
        <v>22265051</v>
      </c>
      <c r="U15926" s="29" t="s">
        <v>3268</v>
      </c>
      <c r="V15926" s="30">
        <v>11700000</v>
      </c>
    </row>
    <row r="15927" spans="20:22" ht="24.75" thickBot="1" x14ac:dyDescent="0.25">
      <c r="T15927" s="28">
        <v>22265052</v>
      </c>
      <c r="U15927" s="29" t="s">
        <v>3269</v>
      </c>
      <c r="V15927" s="30">
        <v>11700000</v>
      </c>
    </row>
    <row r="15928" spans="20:22" ht="24.75" thickBot="1" x14ac:dyDescent="0.25">
      <c r="T15928" s="28">
        <v>22265053</v>
      </c>
      <c r="U15928" s="29" t="s">
        <v>3270</v>
      </c>
      <c r="V15928" s="30">
        <v>11700000</v>
      </c>
    </row>
    <row r="15929" spans="20:22" ht="24.75" thickBot="1" x14ac:dyDescent="0.25">
      <c r="T15929" s="28">
        <v>22265054</v>
      </c>
      <c r="U15929" s="29" t="s">
        <v>3271</v>
      </c>
      <c r="V15929" s="30">
        <v>11700000</v>
      </c>
    </row>
    <row r="15930" spans="20:22" ht="24.75" thickBot="1" x14ac:dyDescent="0.25">
      <c r="T15930" s="28">
        <v>22265055</v>
      </c>
      <c r="U15930" s="29" t="s">
        <v>3272</v>
      </c>
      <c r="V15930" s="30">
        <v>11700000</v>
      </c>
    </row>
    <row r="15931" spans="20:22" ht="24.75" thickBot="1" x14ac:dyDescent="0.25">
      <c r="T15931" s="28">
        <v>22265056</v>
      </c>
      <c r="U15931" s="29" t="s">
        <v>3273</v>
      </c>
      <c r="V15931" s="30">
        <v>11700000</v>
      </c>
    </row>
    <row r="15932" spans="20:22" ht="24.75" thickBot="1" x14ac:dyDescent="0.25">
      <c r="T15932" s="28">
        <v>22265057</v>
      </c>
      <c r="U15932" s="29" t="s">
        <v>3274</v>
      </c>
      <c r="V15932" s="30">
        <v>11700000</v>
      </c>
    </row>
    <row r="15933" spans="20:22" ht="24.75" thickBot="1" x14ac:dyDescent="0.25">
      <c r="T15933" s="28">
        <v>22265058</v>
      </c>
      <c r="U15933" s="29" t="s">
        <v>3275</v>
      </c>
      <c r="V15933" s="30">
        <v>11700000</v>
      </c>
    </row>
    <row r="15934" spans="20:22" ht="24.75" thickBot="1" x14ac:dyDescent="0.25">
      <c r="T15934" s="28">
        <v>22265059</v>
      </c>
      <c r="U15934" s="29" t="s">
        <v>3276</v>
      </c>
      <c r="V15934" s="30">
        <v>11700000</v>
      </c>
    </row>
    <row r="15935" spans="20:22" ht="24.75" thickBot="1" x14ac:dyDescent="0.25">
      <c r="T15935" s="28">
        <v>22265060</v>
      </c>
      <c r="U15935" s="29" t="s">
        <v>3277</v>
      </c>
      <c r="V15935" s="30">
        <v>11700000</v>
      </c>
    </row>
    <row r="15936" spans="20:22" ht="24.75" thickBot="1" x14ac:dyDescent="0.25">
      <c r="T15936" s="28">
        <v>22265061</v>
      </c>
      <c r="U15936" s="29" t="s">
        <v>3278</v>
      </c>
      <c r="V15936" s="30">
        <v>11700000</v>
      </c>
    </row>
    <row r="15937" spans="20:22" ht="24.75" thickBot="1" x14ac:dyDescent="0.25">
      <c r="T15937" s="28">
        <v>22265062</v>
      </c>
      <c r="U15937" s="29" t="s">
        <v>3279</v>
      </c>
      <c r="V15937" s="30">
        <v>11700000</v>
      </c>
    </row>
    <row r="15938" spans="20:22" ht="24.75" thickBot="1" x14ac:dyDescent="0.25">
      <c r="T15938" s="28">
        <v>22265063</v>
      </c>
      <c r="U15938" s="29" t="s">
        <v>3280</v>
      </c>
      <c r="V15938" s="30">
        <v>11700000</v>
      </c>
    </row>
    <row r="15939" spans="20:22" ht="24.75" thickBot="1" x14ac:dyDescent="0.25">
      <c r="T15939" s="28">
        <v>22265064</v>
      </c>
      <c r="U15939" s="29" t="s">
        <v>3281</v>
      </c>
      <c r="V15939" s="30">
        <v>11700000</v>
      </c>
    </row>
    <row r="15940" spans="20:22" ht="24.75" thickBot="1" x14ac:dyDescent="0.25">
      <c r="T15940" s="28">
        <v>22265065</v>
      </c>
      <c r="U15940" s="29" t="s">
        <v>3282</v>
      </c>
      <c r="V15940" s="30">
        <v>11700000</v>
      </c>
    </row>
    <row r="15941" spans="20:22" ht="24.75" thickBot="1" x14ac:dyDescent="0.25">
      <c r="T15941" s="28">
        <v>22265066</v>
      </c>
      <c r="U15941" s="29" t="s">
        <v>3283</v>
      </c>
      <c r="V15941" s="30">
        <v>11700000</v>
      </c>
    </row>
    <row r="15942" spans="20:22" ht="24.75" thickBot="1" x14ac:dyDescent="0.25">
      <c r="T15942" s="28">
        <v>22265067</v>
      </c>
      <c r="U15942" s="29" t="s">
        <v>3284</v>
      </c>
      <c r="V15942" s="30">
        <v>11700000</v>
      </c>
    </row>
    <row r="15943" spans="20:22" ht="24.75" thickBot="1" x14ac:dyDescent="0.25">
      <c r="T15943" s="28">
        <v>22265068</v>
      </c>
      <c r="U15943" s="29" t="s">
        <v>3285</v>
      </c>
      <c r="V15943" s="30">
        <v>11700000</v>
      </c>
    </row>
    <row r="15944" spans="20:22" ht="24.75" thickBot="1" x14ac:dyDescent="0.25">
      <c r="T15944" s="28">
        <v>22265069</v>
      </c>
      <c r="U15944" s="29" t="s">
        <v>3286</v>
      </c>
      <c r="V15944" s="30">
        <v>11700000</v>
      </c>
    </row>
    <row r="15945" spans="20:22" ht="24.75" thickBot="1" x14ac:dyDescent="0.25">
      <c r="T15945" s="28">
        <v>22265070</v>
      </c>
      <c r="U15945" s="29" t="s">
        <v>3287</v>
      </c>
      <c r="V15945" s="30">
        <v>11700000</v>
      </c>
    </row>
    <row r="15946" spans="20:22" ht="24.75" thickBot="1" x14ac:dyDescent="0.25">
      <c r="T15946" s="28">
        <v>22265071</v>
      </c>
      <c r="U15946" s="29" t="s">
        <v>3288</v>
      </c>
      <c r="V15946" s="30">
        <v>11700000</v>
      </c>
    </row>
    <row r="15947" spans="20:22" ht="24.75" thickBot="1" x14ac:dyDescent="0.25">
      <c r="T15947" s="28">
        <v>22265072</v>
      </c>
      <c r="U15947" s="29" t="s">
        <v>3289</v>
      </c>
      <c r="V15947" s="30">
        <v>11700000</v>
      </c>
    </row>
    <row r="15948" spans="20:22" ht="24.75" thickBot="1" x14ac:dyDescent="0.25">
      <c r="T15948" s="28">
        <v>22265073</v>
      </c>
      <c r="U15948" s="29" t="s">
        <v>3290</v>
      </c>
      <c r="V15948" s="30">
        <v>11700000</v>
      </c>
    </row>
    <row r="15949" spans="20:22" ht="24.75" thickBot="1" x14ac:dyDescent="0.25">
      <c r="T15949" s="28">
        <v>22265074</v>
      </c>
      <c r="U15949" s="29" t="s">
        <v>3291</v>
      </c>
      <c r="V15949" s="30">
        <v>11700000</v>
      </c>
    </row>
    <row r="15950" spans="20:22" ht="24.75" thickBot="1" x14ac:dyDescent="0.25">
      <c r="T15950" s="28">
        <v>22265075</v>
      </c>
      <c r="U15950" s="29" t="s">
        <v>3292</v>
      </c>
      <c r="V15950" s="30">
        <v>11700000</v>
      </c>
    </row>
    <row r="15951" spans="20:22" ht="24.75" thickBot="1" x14ac:dyDescent="0.25">
      <c r="T15951" s="28">
        <v>22265076</v>
      </c>
      <c r="U15951" s="29" t="s">
        <v>3293</v>
      </c>
      <c r="V15951" s="30">
        <v>11700000</v>
      </c>
    </row>
    <row r="15952" spans="20:22" ht="24.75" thickBot="1" x14ac:dyDescent="0.25">
      <c r="T15952" s="28">
        <v>22265077</v>
      </c>
      <c r="U15952" s="29" t="s">
        <v>3294</v>
      </c>
      <c r="V15952" s="30">
        <v>11700000</v>
      </c>
    </row>
    <row r="15953" spans="20:22" ht="24.75" thickBot="1" x14ac:dyDescent="0.25">
      <c r="T15953" s="28">
        <v>22265078</v>
      </c>
      <c r="U15953" s="29" t="s">
        <v>3295</v>
      </c>
      <c r="V15953" s="30">
        <v>11700000</v>
      </c>
    </row>
    <row r="15954" spans="20:22" ht="24.75" thickBot="1" x14ac:dyDescent="0.25">
      <c r="T15954" s="28">
        <v>22265079</v>
      </c>
      <c r="U15954" s="29" t="s">
        <v>3296</v>
      </c>
      <c r="V15954" s="30">
        <v>11700000</v>
      </c>
    </row>
    <row r="15955" spans="20:22" ht="24.75" thickBot="1" x14ac:dyDescent="0.25">
      <c r="T15955" s="28">
        <v>22265080</v>
      </c>
      <c r="U15955" s="29" t="s">
        <v>3297</v>
      </c>
      <c r="V15955" s="30">
        <v>11700000</v>
      </c>
    </row>
    <row r="15956" spans="20:22" ht="24.75" thickBot="1" x14ac:dyDescent="0.25">
      <c r="T15956" s="28">
        <v>22265081</v>
      </c>
      <c r="U15956" s="29" t="s">
        <v>3298</v>
      </c>
      <c r="V15956" s="30">
        <v>11700000</v>
      </c>
    </row>
    <row r="15957" spans="20:22" ht="24.75" thickBot="1" x14ac:dyDescent="0.25">
      <c r="T15957" s="28">
        <v>22265083</v>
      </c>
      <c r="U15957" s="29" t="s">
        <v>3299</v>
      </c>
      <c r="V15957" s="30">
        <v>11700000</v>
      </c>
    </row>
    <row r="15958" spans="20:22" ht="24.75" thickBot="1" x14ac:dyDescent="0.25">
      <c r="T15958" s="28">
        <v>22265084</v>
      </c>
      <c r="U15958" s="29" t="s">
        <v>3300</v>
      </c>
      <c r="V15958" s="30">
        <v>11700000</v>
      </c>
    </row>
    <row r="15959" spans="20:22" ht="24.75" thickBot="1" x14ac:dyDescent="0.25">
      <c r="T15959" s="28">
        <v>22265085</v>
      </c>
      <c r="U15959" s="29" t="s">
        <v>3301</v>
      </c>
      <c r="V15959" s="30">
        <v>11700000</v>
      </c>
    </row>
    <row r="15960" spans="20:22" ht="24.75" thickBot="1" x14ac:dyDescent="0.25">
      <c r="T15960" s="28">
        <v>22265086</v>
      </c>
      <c r="U15960" s="29" t="s">
        <v>3302</v>
      </c>
      <c r="V15960" s="30">
        <v>11700000</v>
      </c>
    </row>
    <row r="15961" spans="20:22" ht="24.75" thickBot="1" x14ac:dyDescent="0.25">
      <c r="T15961" s="28">
        <v>22265087</v>
      </c>
      <c r="U15961" s="29" t="s">
        <v>3303</v>
      </c>
      <c r="V15961" s="30">
        <v>11700000</v>
      </c>
    </row>
    <row r="15962" spans="20:22" ht="24.75" thickBot="1" x14ac:dyDescent="0.25">
      <c r="T15962" s="28">
        <v>22265089</v>
      </c>
      <c r="U15962" s="29" t="s">
        <v>3304</v>
      </c>
      <c r="V15962" s="30">
        <v>11700000</v>
      </c>
    </row>
    <row r="15963" spans="20:22" ht="24.75" thickBot="1" x14ac:dyDescent="0.25">
      <c r="T15963" s="28">
        <v>22265091</v>
      </c>
      <c r="U15963" s="29" t="s">
        <v>3305</v>
      </c>
      <c r="V15963" s="30">
        <v>11700000</v>
      </c>
    </row>
    <row r="15964" spans="20:22" ht="24.75" thickBot="1" x14ac:dyDescent="0.25">
      <c r="T15964" s="28">
        <v>22265092</v>
      </c>
      <c r="U15964" s="29" t="s">
        <v>3306</v>
      </c>
      <c r="V15964" s="30">
        <v>11700000</v>
      </c>
    </row>
    <row r="15965" spans="20:22" ht="13.5" thickBot="1" x14ac:dyDescent="0.25">
      <c r="T15965" s="28">
        <v>22271001</v>
      </c>
      <c r="U15965" s="29" t="s">
        <v>3307</v>
      </c>
      <c r="V15965" s="30">
        <v>2700</v>
      </c>
    </row>
    <row r="15966" spans="20:22" ht="24.75" thickBot="1" x14ac:dyDescent="0.25">
      <c r="T15966" s="28">
        <v>22271004</v>
      </c>
      <c r="U15966" s="29" t="s">
        <v>3308</v>
      </c>
      <c r="V15966" s="30">
        <v>2700</v>
      </c>
    </row>
    <row r="15967" spans="20:22" ht="24.75" thickBot="1" x14ac:dyDescent="0.25">
      <c r="T15967" s="28">
        <v>22271005</v>
      </c>
      <c r="U15967" s="29" t="s">
        <v>3309</v>
      </c>
      <c r="V15967" s="30">
        <v>2700</v>
      </c>
    </row>
    <row r="15968" spans="20:22" ht="13.5" thickBot="1" x14ac:dyDescent="0.25">
      <c r="T15968" s="28">
        <v>22272001</v>
      </c>
      <c r="U15968" s="29" t="s">
        <v>3310</v>
      </c>
      <c r="V15968" s="30">
        <v>43200</v>
      </c>
    </row>
    <row r="15969" spans="20:22" ht="24.75" thickBot="1" x14ac:dyDescent="0.25">
      <c r="T15969" s="28">
        <v>22272003</v>
      </c>
      <c r="U15969" s="29" t="s">
        <v>3311</v>
      </c>
      <c r="V15969" s="30">
        <v>43200</v>
      </c>
    </row>
    <row r="15970" spans="20:22" ht="13.5" thickBot="1" x14ac:dyDescent="0.25">
      <c r="T15970" s="28">
        <v>22273001</v>
      </c>
      <c r="U15970" s="29" t="s">
        <v>3312</v>
      </c>
      <c r="V15970" s="30">
        <v>1200000</v>
      </c>
    </row>
    <row r="15971" spans="20:22" ht="24.75" thickBot="1" x14ac:dyDescent="0.25">
      <c r="T15971" s="28">
        <v>22273004</v>
      </c>
      <c r="U15971" s="29" t="s">
        <v>3313</v>
      </c>
      <c r="V15971" s="30">
        <v>1200000</v>
      </c>
    </row>
    <row r="15972" spans="20:22" ht="13.5" thickBot="1" x14ac:dyDescent="0.25">
      <c r="T15972" s="28">
        <v>22274001</v>
      </c>
      <c r="U15972" s="29" t="s">
        <v>3314</v>
      </c>
      <c r="V15972" s="30">
        <v>11700000</v>
      </c>
    </row>
    <row r="15973" spans="20:22" ht="13.5" thickBot="1" x14ac:dyDescent="0.25">
      <c r="T15973" s="28">
        <v>22274005</v>
      </c>
      <c r="U15973" s="29" t="s">
        <v>3315</v>
      </c>
      <c r="V15973" s="30">
        <v>11700000</v>
      </c>
    </row>
    <row r="15974" spans="20:22" ht="24.75" thickBot="1" x14ac:dyDescent="0.25">
      <c r="T15974" s="28">
        <v>22274009</v>
      </c>
      <c r="U15974" s="29" t="s">
        <v>3316</v>
      </c>
      <c r="V15974" s="30">
        <v>11700000</v>
      </c>
    </row>
    <row r="15975" spans="20:22" ht="24.75" thickBot="1" x14ac:dyDescent="0.25">
      <c r="T15975" s="28">
        <v>22274013</v>
      </c>
      <c r="U15975" s="29" t="s">
        <v>3317</v>
      </c>
      <c r="V15975" s="30">
        <v>11700000</v>
      </c>
    </row>
    <row r="15976" spans="20:22" ht="24.75" thickBot="1" x14ac:dyDescent="0.25">
      <c r="T15976" s="28">
        <v>22274015</v>
      </c>
      <c r="U15976" s="29" t="s">
        <v>3318</v>
      </c>
      <c r="V15976" s="30">
        <v>11700000</v>
      </c>
    </row>
    <row r="15977" spans="20:22" ht="13.5" thickBot="1" x14ac:dyDescent="0.25">
      <c r="T15977" s="28">
        <v>22311001</v>
      </c>
      <c r="U15977" s="29" t="s">
        <v>3319</v>
      </c>
      <c r="V15977" s="30">
        <v>2400</v>
      </c>
    </row>
    <row r="15978" spans="20:22" ht="13.5" thickBot="1" x14ac:dyDescent="0.25">
      <c r="T15978" s="28">
        <v>22311003</v>
      </c>
      <c r="U15978" s="29" t="s">
        <v>480</v>
      </c>
      <c r="V15978" s="30">
        <v>2600</v>
      </c>
    </row>
    <row r="15979" spans="20:22" ht="13.5" thickBot="1" x14ac:dyDescent="0.25">
      <c r="T15979" s="28">
        <v>22311005</v>
      </c>
      <c r="U15979" s="29" t="s">
        <v>478</v>
      </c>
      <c r="V15979" s="30">
        <v>2400</v>
      </c>
    </row>
    <row r="15980" spans="20:22" ht="13.5" thickBot="1" x14ac:dyDescent="0.25">
      <c r="T15980" s="28">
        <v>22311007</v>
      </c>
      <c r="U15980" s="29" t="s">
        <v>479</v>
      </c>
      <c r="V15980" s="30">
        <v>2400</v>
      </c>
    </row>
    <row r="15981" spans="20:22" ht="13.5" thickBot="1" x14ac:dyDescent="0.25">
      <c r="T15981" s="28">
        <v>22311009</v>
      </c>
      <c r="U15981" s="29" t="s">
        <v>3320</v>
      </c>
      <c r="V15981" s="30">
        <v>2400</v>
      </c>
    </row>
    <row r="15982" spans="20:22" ht="13.5" thickBot="1" x14ac:dyDescent="0.25">
      <c r="T15982" s="28">
        <v>22311011</v>
      </c>
      <c r="U15982" s="29" t="s">
        <v>477</v>
      </c>
      <c r="V15982" s="30">
        <v>2400</v>
      </c>
    </row>
    <row r="15983" spans="20:22" ht="13.5" thickBot="1" x14ac:dyDescent="0.25">
      <c r="T15983" s="28">
        <v>22311013</v>
      </c>
      <c r="U15983" s="29" t="s">
        <v>3321</v>
      </c>
      <c r="V15983" s="30">
        <v>2600</v>
      </c>
    </row>
    <row r="15984" spans="20:22" ht="13.5" thickBot="1" x14ac:dyDescent="0.25">
      <c r="T15984" s="28">
        <v>22311015</v>
      </c>
      <c r="U15984" s="29" t="s">
        <v>3322</v>
      </c>
      <c r="V15984" s="30">
        <v>2500</v>
      </c>
    </row>
    <row r="15985" spans="20:22" ht="13.5" thickBot="1" x14ac:dyDescent="0.25">
      <c r="T15985" s="28">
        <v>22311017</v>
      </c>
      <c r="U15985" s="29" t="s">
        <v>3323</v>
      </c>
      <c r="V15985" s="30">
        <v>2400</v>
      </c>
    </row>
    <row r="15986" spans="20:22" ht="13.5" thickBot="1" x14ac:dyDescent="0.25">
      <c r="T15986" s="28">
        <v>22311019</v>
      </c>
      <c r="U15986" s="29" t="s">
        <v>3324</v>
      </c>
      <c r="V15986" s="30">
        <v>2500</v>
      </c>
    </row>
    <row r="15987" spans="20:22" ht="24.75" thickBot="1" x14ac:dyDescent="0.25">
      <c r="T15987" s="28">
        <v>22311021</v>
      </c>
      <c r="U15987" s="29" t="s">
        <v>3325</v>
      </c>
      <c r="V15987" s="30">
        <v>2400</v>
      </c>
    </row>
    <row r="15988" spans="20:22" ht="24.75" thickBot="1" x14ac:dyDescent="0.25">
      <c r="T15988" s="28">
        <v>22311023</v>
      </c>
      <c r="U15988" s="29" t="s">
        <v>3326</v>
      </c>
      <c r="V15988" s="30">
        <v>2400</v>
      </c>
    </row>
    <row r="15989" spans="20:22" ht="13.5" thickBot="1" x14ac:dyDescent="0.25">
      <c r="T15989" s="28">
        <v>22311025</v>
      </c>
      <c r="U15989" s="29" t="s">
        <v>3327</v>
      </c>
      <c r="V15989" s="30">
        <v>2400</v>
      </c>
    </row>
    <row r="15990" spans="20:22" ht="13.5" thickBot="1" x14ac:dyDescent="0.25">
      <c r="T15990" s="28">
        <v>22311027</v>
      </c>
      <c r="U15990" s="29" t="s">
        <v>3328</v>
      </c>
      <c r="V15990" s="30">
        <v>2400</v>
      </c>
    </row>
    <row r="15991" spans="20:22" ht="13.5" thickBot="1" x14ac:dyDescent="0.25">
      <c r="T15991" s="28">
        <v>22312001</v>
      </c>
      <c r="U15991" s="29" t="s">
        <v>537</v>
      </c>
      <c r="V15991" s="30">
        <v>40100</v>
      </c>
    </row>
    <row r="15992" spans="20:22" ht="13.5" thickBot="1" x14ac:dyDescent="0.25">
      <c r="T15992" s="28">
        <v>22312003</v>
      </c>
      <c r="U15992" s="29" t="s">
        <v>538</v>
      </c>
      <c r="V15992" s="30">
        <v>38400</v>
      </c>
    </row>
    <row r="15993" spans="20:22" ht="13.5" thickBot="1" x14ac:dyDescent="0.25">
      <c r="T15993" s="28">
        <v>22312005</v>
      </c>
      <c r="U15993" s="29" t="s">
        <v>3329</v>
      </c>
      <c r="V15993" s="30">
        <v>38400</v>
      </c>
    </row>
    <row r="15994" spans="20:22" ht="13.5" thickBot="1" x14ac:dyDescent="0.25">
      <c r="T15994" s="28">
        <v>22312007</v>
      </c>
      <c r="U15994" s="29" t="s">
        <v>536</v>
      </c>
      <c r="V15994" s="30">
        <v>38400</v>
      </c>
    </row>
    <row r="15995" spans="20:22" ht="13.5" thickBot="1" x14ac:dyDescent="0.25">
      <c r="T15995" s="28">
        <v>22312009</v>
      </c>
      <c r="U15995" s="29" t="s">
        <v>531</v>
      </c>
      <c r="V15995" s="30">
        <v>40100</v>
      </c>
    </row>
    <row r="15996" spans="20:22" ht="24.75" thickBot="1" x14ac:dyDescent="0.25">
      <c r="T15996" s="28">
        <v>22312010</v>
      </c>
      <c r="U15996" s="29" t="s">
        <v>532</v>
      </c>
      <c r="V15996" s="30">
        <v>40100</v>
      </c>
    </row>
    <row r="15997" spans="20:22" ht="13.5" thickBot="1" x14ac:dyDescent="0.25">
      <c r="T15997" s="28">
        <v>22312011</v>
      </c>
      <c r="U15997" s="29" t="s">
        <v>533</v>
      </c>
      <c r="V15997" s="30">
        <v>39200</v>
      </c>
    </row>
    <row r="15998" spans="20:22" ht="24.75" thickBot="1" x14ac:dyDescent="0.25">
      <c r="T15998" s="28">
        <v>22312012</v>
      </c>
      <c r="U15998" s="29" t="s">
        <v>534</v>
      </c>
      <c r="V15998" s="30">
        <v>38400</v>
      </c>
    </row>
    <row r="15999" spans="20:22" ht="13.5" thickBot="1" x14ac:dyDescent="0.25">
      <c r="T15999" s="28">
        <v>22312013</v>
      </c>
      <c r="U15999" s="29" t="s">
        <v>3330</v>
      </c>
      <c r="V15999" s="30">
        <v>40100</v>
      </c>
    </row>
    <row r="16000" spans="20:22" ht="24.75" thickBot="1" x14ac:dyDescent="0.25">
      <c r="T16000" s="28">
        <v>22312014</v>
      </c>
      <c r="U16000" s="29" t="s">
        <v>535</v>
      </c>
      <c r="V16000" s="30">
        <v>38400</v>
      </c>
    </row>
    <row r="16001" spans="20:22" ht="13.5" thickBot="1" x14ac:dyDescent="0.25">
      <c r="T16001" s="28">
        <v>22312015</v>
      </c>
      <c r="U16001" s="29" t="s">
        <v>3331</v>
      </c>
      <c r="V16001" s="30">
        <v>38400</v>
      </c>
    </row>
    <row r="16002" spans="20:22" ht="24.75" thickBot="1" x14ac:dyDescent="0.25">
      <c r="T16002" s="28">
        <v>22312016</v>
      </c>
      <c r="U16002" s="29" t="s">
        <v>3332</v>
      </c>
      <c r="V16002" s="30">
        <v>60500000</v>
      </c>
    </row>
    <row r="16003" spans="20:22" ht="24.75" thickBot="1" x14ac:dyDescent="0.25">
      <c r="T16003" s="28">
        <v>22312017</v>
      </c>
      <c r="U16003" s="29" t="s">
        <v>3333</v>
      </c>
      <c r="V16003" s="30">
        <v>2400</v>
      </c>
    </row>
    <row r="16004" spans="20:22" ht="24.75" thickBot="1" x14ac:dyDescent="0.25">
      <c r="T16004" s="28">
        <v>22312019</v>
      </c>
      <c r="U16004" s="29" t="s">
        <v>3334</v>
      </c>
      <c r="V16004" s="30">
        <v>2400</v>
      </c>
    </row>
    <row r="16005" spans="20:22" ht="24.75" thickBot="1" x14ac:dyDescent="0.25">
      <c r="T16005" s="28">
        <v>22312021</v>
      </c>
      <c r="U16005" s="29" t="s">
        <v>3335</v>
      </c>
      <c r="V16005" s="30">
        <v>2400</v>
      </c>
    </row>
    <row r="16006" spans="20:22" ht="24.75" thickBot="1" x14ac:dyDescent="0.25">
      <c r="T16006" s="28">
        <v>22312023</v>
      </c>
      <c r="U16006" s="29" t="s">
        <v>3336</v>
      </c>
      <c r="V16006" s="30">
        <v>2500</v>
      </c>
    </row>
    <row r="16007" spans="20:22" ht="24.75" thickBot="1" x14ac:dyDescent="0.25">
      <c r="T16007" s="28">
        <v>22312025</v>
      </c>
      <c r="U16007" s="29" t="s">
        <v>3337</v>
      </c>
      <c r="V16007" s="30">
        <v>2400</v>
      </c>
    </row>
    <row r="16008" spans="20:22" ht="24.75" thickBot="1" x14ac:dyDescent="0.25">
      <c r="T16008" s="28">
        <v>22312027</v>
      </c>
      <c r="U16008" s="29" t="s">
        <v>3338</v>
      </c>
      <c r="V16008" s="30">
        <v>2400</v>
      </c>
    </row>
    <row r="16009" spans="20:22" ht="13.5" thickBot="1" x14ac:dyDescent="0.25">
      <c r="T16009" s="28">
        <v>22323001</v>
      </c>
      <c r="U16009" s="29" t="s">
        <v>3339</v>
      </c>
      <c r="V16009" s="30">
        <v>1100000</v>
      </c>
    </row>
    <row r="16010" spans="20:22" ht="24.75" thickBot="1" x14ac:dyDescent="0.25">
      <c r="T16010" s="28">
        <v>22323003</v>
      </c>
      <c r="U16010" s="29" t="s">
        <v>602</v>
      </c>
      <c r="V16010" s="30">
        <v>1100000</v>
      </c>
    </row>
    <row r="16011" spans="20:22" ht="24.75" thickBot="1" x14ac:dyDescent="0.25">
      <c r="T16011" s="28">
        <v>22323005</v>
      </c>
      <c r="U16011" s="29" t="s">
        <v>618</v>
      </c>
      <c r="V16011" s="30">
        <v>1100000</v>
      </c>
    </row>
    <row r="16012" spans="20:22" ht="24.75" thickBot="1" x14ac:dyDescent="0.25">
      <c r="T16012" s="28">
        <v>22323007</v>
      </c>
      <c r="U16012" s="29" t="s">
        <v>619</v>
      </c>
      <c r="V16012" s="30">
        <v>1100000</v>
      </c>
    </row>
    <row r="16013" spans="20:22" ht="24.75" thickBot="1" x14ac:dyDescent="0.25">
      <c r="T16013" s="28">
        <v>22323009</v>
      </c>
      <c r="U16013" s="29" t="s">
        <v>603</v>
      </c>
      <c r="V16013" s="30">
        <v>1100000</v>
      </c>
    </row>
    <row r="16014" spans="20:22" ht="24.75" thickBot="1" x14ac:dyDescent="0.25">
      <c r="T16014" s="28">
        <v>22323011</v>
      </c>
      <c r="U16014" s="29" t="s">
        <v>3340</v>
      </c>
      <c r="V16014" s="30">
        <v>1100000</v>
      </c>
    </row>
    <row r="16015" spans="20:22" ht="13.5" thickBot="1" x14ac:dyDescent="0.25">
      <c r="T16015" s="28">
        <v>22323013</v>
      </c>
      <c r="U16015" s="29" t="s">
        <v>604</v>
      </c>
      <c r="V16015" s="30">
        <v>1100000</v>
      </c>
    </row>
    <row r="16016" spans="20:22" ht="13.5" thickBot="1" x14ac:dyDescent="0.25">
      <c r="T16016" s="28">
        <v>22323014</v>
      </c>
      <c r="U16016" s="29" t="s">
        <v>606</v>
      </c>
      <c r="V16016" s="30">
        <v>1100000</v>
      </c>
    </row>
    <row r="16017" spans="20:22" ht="24.75" thickBot="1" x14ac:dyDescent="0.25">
      <c r="T16017" s="28">
        <v>22323015</v>
      </c>
      <c r="U16017" s="29" t="s">
        <v>3341</v>
      </c>
      <c r="V16017" s="30">
        <v>1100000</v>
      </c>
    </row>
    <row r="16018" spans="20:22" ht="13.5" thickBot="1" x14ac:dyDescent="0.25">
      <c r="T16018" s="28">
        <v>22323017</v>
      </c>
      <c r="U16018" s="29" t="s">
        <v>605</v>
      </c>
      <c r="V16018" s="30">
        <v>1100000</v>
      </c>
    </row>
    <row r="16019" spans="20:22" ht="13.5" thickBot="1" x14ac:dyDescent="0.25">
      <c r="T16019" s="28">
        <v>22323019</v>
      </c>
      <c r="U16019" s="29" t="s">
        <v>620</v>
      </c>
      <c r="V16019" s="30">
        <v>1100000</v>
      </c>
    </row>
    <row r="16020" spans="20:22" ht="24.75" thickBot="1" x14ac:dyDescent="0.25">
      <c r="T16020" s="28">
        <v>22324001</v>
      </c>
      <c r="U16020" s="29" t="s">
        <v>3342</v>
      </c>
      <c r="V16020" s="30">
        <v>11200000</v>
      </c>
    </row>
    <row r="16021" spans="20:22" ht="24.75" thickBot="1" x14ac:dyDescent="0.25">
      <c r="T16021" s="28">
        <v>22324002</v>
      </c>
      <c r="U16021" s="29" t="s">
        <v>3343</v>
      </c>
      <c r="V16021" s="30">
        <v>11200000</v>
      </c>
    </row>
    <row r="16022" spans="20:22" ht="24.75" thickBot="1" x14ac:dyDescent="0.25">
      <c r="T16022" s="28">
        <v>22324003</v>
      </c>
      <c r="U16022" s="29" t="s">
        <v>825</v>
      </c>
      <c r="V16022" s="30">
        <v>10600000</v>
      </c>
    </row>
    <row r="16023" spans="20:22" ht="24.75" thickBot="1" x14ac:dyDescent="0.25">
      <c r="T16023" s="28">
        <v>22324004</v>
      </c>
      <c r="U16023" s="29" t="s">
        <v>826</v>
      </c>
      <c r="V16023" s="30">
        <v>11200000</v>
      </c>
    </row>
    <row r="16024" spans="20:22" ht="24.75" thickBot="1" x14ac:dyDescent="0.25">
      <c r="T16024" s="28">
        <v>22324005</v>
      </c>
      <c r="U16024" s="29" t="s">
        <v>846</v>
      </c>
      <c r="V16024" s="30">
        <v>10600000</v>
      </c>
    </row>
    <row r="16025" spans="20:22" ht="24.75" thickBot="1" x14ac:dyDescent="0.25">
      <c r="T16025" s="28">
        <v>22324007</v>
      </c>
      <c r="U16025" s="29" t="s">
        <v>847</v>
      </c>
      <c r="V16025" s="30">
        <v>11500000</v>
      </c>
    </row>
    <row r="16026" spans="20:22" ht="13.5" thickBot="1" x14ac:dyDescent="0.25">
      <c r="T16026" s="28">
        <v>22324009</v>
      </c>
      <c r="U16026" s="29" t="s">
        <v>848</v>
      </c>
      <c r="V16026" s="30">
        <v>10400000</v>
      </c>
    </row>
    <row r="16027" spans="20:22" ht="24.75" thickBot="1" x14ac:dyDescent="0.25">
      <c r="T16027" s="28">
        <v>22324011</v>
      </c>
      <c r="U16027" s="29" t="s">
        <v>827</v>
      </c>
      <c r="V16027" s="30">
        <v>10400000</v>
      </c>
    </row>
    <row r="16028" spans="20:22" ht="13.5" thickBot="1" x14ac:dyDescent="0.25">
      <c r="T16028" s="28">
        <v>22324013</v>
      </c>
      <c r="U16028" s="29" t="s">
        <v>3344</v>
      </c>
      <c r="V16028" s="30">
        <v>11500000</v>
      </c>
    </row>
    <row r="16029" spans="20:22" ht="24.75" thickBot="1" x14ac:dyDescent="0.25">
      <c r="T16029" s="28">
        <v>22324015</v>
      </c>
      <c r="U16029" s="29" t="s">
        <v>805</v>
      </c>
      <c r="V16029" s="30">
        <v>10600000</v>
      </c>
    </row>
    <row r="16030" spans="20:22" ht="13.5" thickBot="1" x14ac:dyDescent="0.25">
      <c r="T16030" s="28">
        <v>22324017</v>
      </c>
      <c r="U16030" s="29" t="s">
        <v>3345</v>
      </c>
      <c r="V16030" s="30">
        <v>12000000</v>
      </c>
    </row>
    <row r="16031" spans="20:22" ht="24.75" thickBot="1" x14ac:dyDescent="0.25">
      <c r="T16031" s="28">
        <v>22324019</v>
      </c>
      <c r="U16031" s="29" t="s">
        <v>828</v>
      </c>
      <c r="V16031" s="30">
        <v>10400000</v>
      </c>
    </row>
    <row r="16032" spans="20:22" ht="24.75" thickBot="1" x14ac:dyDescent="0.25">
      <c r="T16032" s="28">
        <v>22324020</v>
      </c>
      <c r="U16032" s="29" t="s">
        <v>829</v>
      </c>
      <c r="V16032" s="30">
        <v>10400000</v>
      </c>
    </row>
    <row r="16033" spans="20:22" ht="24.75" thickBot="1" x14ac:dyDescent="0.25">
      <c r="T16033" s="28">
        <v>22324021</v>
      </c>
      <c r="U16033" s="29" t="s">
        <v>806</v>
      </c>
      <c r="V16033" s="30">
        <v>10900000</v>
      </c>
    </row>
    <row r="16034" spans="20:22" ht="24.75" thickBot="1" x14ac:dyDescent="0.25">
      <c r="T16034" s="28">
        <v>22324023</v>
      </c>
      <c r="U16034" s="29" t="s">
        <v>830</v>
      </c>
      <c r="V16034" s="30">
        <v>10600000</v>
      </c>
    </row>
    <row r="16035" spans="20:22" ht="13.5" thickBot="1" x14ac:dyDescent="0.25">
      <c r="T16035" s="28">
        <v>22324025</v>
      </c>
      <c r="U16035" s="29" t="s">
        <v>849</v>
      </c>
      <c r="V16035" s="30">
        <v>10600000</v>
      </c>
    </row>
    <row r="16036" spans="20:22" ht="24.75" thickBot="1" x14ac:dyDescent="0.25">
      <c r="T16036" s="28">
        <v>22324027</v>
      </c>
      <c r="U16036" s="29" t="s">
        <v>807</v>
      </c>
      <c r="V16036" s="30">
        <v>10400000</v>
      </c>
    </row>
    <row r="16037" spans="20:22" ht="24.75" thickBot="1" x14ac:dyDescent="0.25">
      <c r="T16037" s="28">
        <v>22324029</v>
      </c>
      <c r="U16037" s="29" t="s">
        <v>831</v>
      </c>
      <c r="V16037" s="30">
        <v>10400000</v>
      </c>
    </row>
    <row r="16038" spans="20:22" ht="13.5" thickBot="1" x14ac:dyDescent="0.25">
      <c r="T16038" s="28">
        <v>22324031</v>
      </c>
      <c r="U16038" s="29" t="s">
        <v>832</v>
      </c>
      <c r="V16038" s="30">
        <v>10600000</v>
      </c>
    </row>
    <row r="16039" spans="20:22" ht="24.75" thickBot="1" x14ac:dyDescent="0.25">
      <c r="T16039" s="28">
        <v>22324033</v>
      </c>
      <c r="U16039" s="29" t="s">
        <v>850</v>
      </c>
      <c r="V16039" s="30">
        <v>10400000</v>
      </c>
    </row>
    <row r="16040" spans="20:22" ht="24.75" thickBot="1" x14ac:dyDescent="0.25">
      <c r="T16040" s="28">
        <v>22324035</v>
      </c>
      <c r="U16040" s="29" t="s">
        <v>851</v>
      </c>
      <c r="V16040" s="30">
        <v>10600000</v>
      </c>
    </row>
    <row r="16041" spans="20:22" ht="24.75" thickBot="1" x14ac:dyDescent="0.25">
      <c r="T16041" s="28">
        <v>22324036</v>
      </c>
      <c r="U16041" s="29" t="s">
        <v>852</v>
      </c>
      <c r="V16041" s="30">
        <v>10400000</v>
      </c>
    </row>
    <row r="16042" spans="20:22" ht="24.75" thickBot="1" x14ac:dyDescent="0.25">
      <c r="T16042" s="28">
        <v>22325001</v>
      </c>
      <c r="U16042" s="29" t="s">
        <v>3346</v>
      </c>
      <c r="V16042" s="30">
        <v>61700000</v>
      </c>
    </row>
    <row r="16043" spans="20:22" ht="24.75" thickBot="1" x14ac:dyDescent="0.25">
      <c r="T16043" s="28">
        <v>22325003</v>
      </c>
      <c r="U16043" s="29" t="s">
        <v>3347</v>
      </c>
      <c r="V16043" s="30">
        <v>69700000</v>
      </c>
    </row>
    <row r="16044" spans="20:22" ht="36.75" thickBot="1" x14ac:dyDescent="0.25">
      <c r="T16044" s="28">
        <v>22325005</v>
      </c>
      <c r="U16044" s="29" t="s">
        <v>3348</v>
      </c>
      <c r="V16044" s="30">
        <v>65000000</v>
      </c>
    </row>
    <row r="16045" spans="20:22" ht="36.75" thickBot="1" x14ac:dyDescent="0.25">
      <c r="T16045" s="28">
        <v>22325006</v>
      </c>
      <c r="U16045" s="29" t="s">
        <v>3349</v>
      </c>
      <c r="V16045" s="30">
        <v>65000000</v>
      </c>
    </row>
    <row r="16046" spans="20:22" ht="24.75" thickBot="1" x14ac:dyDescent="0.25">
      <c r="T16046" s="28">
        <v>22325007</v>
      </c>
      <c r="U16046" s="29" t="s">
        <v>3350</v>
      </c>
      <c r="V16046" s="30">
        <v>65000000</v>
      </c>
    </row>
    <row r="16047" spans="20:22" ht="24.75" thickBot="1" x14ac:dyDescent="0.25">
      <c r="T16047" s="28">
        <v>22325009</v>
      </c>
      <c r="U16047" s="29" t="s">
        <v>3351</v>
      </c>
      <c r="V16047" s="30">
        <v>69700000</v>
      </c>
    </row>
    <row r="16048" spans="20:22" ht="13.5" thickBot="1" x14ac:dyDescent="0.25">
      <c r="T16048" s="28">
        <v>22325010</v>
      </c>
      <c r="U16048" s="29" t="s">
        <v>3352</v>
      </c>
      <c r="V16048" s="30">
        <v>69700000</v>
      </c>
    </row>
    <row r="16049" spans="20:22" ht="13.5" thickBot="1" x14ac:dyDescent="0.25">
      <c r="T16049" s="28">
        <v>22325011</v>
      </c>
      <c r="U16049" s="29" t="s">
        <v>3353</v>
      </c>
      <c r="V16049" s="30">
        <v>61700000</v>
      </c>
    </row>
    <row r="16050" spans="20:22" ht="13.5" thickBot="1" x14ac:dyDescent="0.25">
      <c r="T16050" s="28">
        <v>22325013</v>
      </c>
      <c r="U16050" s="29" t="s">
        <v>3354</v>
      </c>
      <c r="V16050" s="30">
        <v>60500000</v>
      </c>
    </row>
    <row r="16051" spans="20:22" ht="24.75" thickBot="1" x14ac:dyDescent="0.25">
      <c r="T16051" s="28">
        <v>22325015</v>
      </c>
      <c r="U16051" s="29" t="s">
        <v>3355</v>
      </c>
      <c r="V16051" s="30">
        <v>65000000</v>
      </c>
    </row>
    <row r="16052" spans="20:22" ht="24.75" thickBot="1" x14ac:dyDescent="0.25">
      <c r="T16052" s="28">
        <v>22325017</v>
      </c>
      <c r="U16052" s="29" t="s">
        <v>3356</v>
      </c>
      <c r="V16052" s="30">
        <v>61700000</v>
      </c>
    </row>
    <row r="16053" spans="20:22" ht="24.75" thickBot="1" x14ac:dyDescent="0.25">
      <c r="T16053" s="28">
        <v>22325019</v>
      </c>
      <c r="U16053" s="29" t="s">
        <v>3357</v>
      </c>
      <c r="V16053" s="30">
        <v>63200000</v>
      </c>
    </row>
    <row r="16054" spans="20:22" ht="24.75" thickBot="1" x14ac:dyDescent="0.25">
      <c r="T16054" s="28">
        <v>22325021</v>
      </c>
      <c r="U16054" s="29" t="s">
        <v>3358</v>
      </c>
      <c r="V16054" s="30">
        <v>69700000</v>
      </c>
    </row>
    <row r="16055" spans="20:22" ht="36.75" thickBot="1" x14ac:dyDescent="0.25">
      <c r="T16055" s="28">
        <v>22325023</v>
      </c>
      <c r="U16055" s="29" t="s">
        <v>3359</v>
      </c>
      <c r="V16055" s="30">
        <v>61700000</v>
      </c>
    </row>
    <row r="16056" spans="20:22" ht="24.75" thickBot="1" x14ac:dyDescent="0.25">
      <c r="T16056" s="28">
        <v>22325025</v>
      </c>
      <c r="U16056" s="29" t="s">
        <v>3360</v>
      </c>
      <c r="V16056" s="30">
        <v>60500000</v>
      </c>
    </row>
    <row r="16057" spans="20:22" ht="24.75" thickBot="1" x14ac:dyDescent="0.25">
      <c r="T16057" s="28">
        <v>22325027</v>
      </c>
      <c r="U16057" s="29" t="s">
        <v>3361</v>
      </c>
      <c r="V16057" s="30">
        <v>65000000</v>
      </c>
    </row>
    <row r="16058" spans="20:22" ht="24.75" thickBot="1" x14ac:dyDescent="0.25">
      <c r="T16058" s="28">
        <v>22325029</v>
      </c>
      <c r="U16058" s="29" t="s">
        <v>3362</v>
      </c>
      <c r="V16058" s="30">
        <v>60500000</v>
      </c>
    </row>
    <row r="16059" spans="20:22" ht="24.75" thickBot="1" x14ac:dyDescent="0.25">
      <c r="T16059" s="28">
        <v>22325031</v>
      </c>
      <c r="U16059" s="29" t="s">
        <v>3363</v>
      </c>
      <c r="V16059" s="30">
        <v>61700000</v>
      </c>
    </row>
    <row r="16060" spans="20:22" ht="13.5" thickBot="1" x14ac:dyDescent="0.25">
      <c r="T16060" s="28">
        <v>22325033</v>
      </c>
      <c r="U16060" s="29" t="s">
        <v>3364</v>
      </c>
      <c r="V16060" s="30">
        <v>61700000</v>
      </c>
    </row>
    <row r="16061" spans="20:22" ht="13.5" thickBot="1" x14ac:dyDescent="0.25">
      <c r="T16061" s="28">
        <v>22325035</v>
      </c>
      <c r="U16061" s="29" t="s">
        <v>3365</v>
      </c>
      <c r="V16061" s="30">
        <v>61700000</v>
      </c>
    </row>
    <row r="16062" spans="20:22" ht="24.75" thickBot="1" x14ac:dyDescent="0.25">
      <c r="T16062" s="28">
        <v>22326001</v>
      </c>
      <c r="U16062" s="29" t="s">
        <v>3366</v>
      </c>
      <c r="V16062" s="30">
        <v>140300000</v>
      </c>
    </row>
    <row r="16063" spans="20:22" ht="36.75" thickBot="1" x14ac:dyDescent="0.25">
      <c r="T16063" s="28">
        <v>22326003</v>
      </c>
      <c r="U16063" s="29" t="s">
        <v>3367</v>
      </c>
      <c r="V16063" s="30">
        <v>140300000</v>
      </c>
    </row>
    <row r="16064" spans="20:22" ht="36.75" thickBot="1" x14ac:dyDescent="0.25">
      <c r="T16064" s="28">
        <v>22326005</v>
      </c>
      <c r="U16064" s="29" t="s">
        <v>3368</v>
      </c>
      <c r="V16064" s="30">
        <v>136300000</v>
      </c>
    </row>
    <row r="16065" spans="20:22" ht="24.75" thickBot="1" x14ac:dyDescent="0.25">
      <c r="T16065" s="28">
        <v>22326007</v>
      </c>
      <c r="U16065" s="29" t="s">
        <v>3369</v>
      </c>
      <c r="V16065" s="30">
        <v>133100000</v>
      </c>
    </row>
    <row r="16066" spans="20:22" ht="24.75" thickBot="1" x14ac:dyDescent="0.25">
      <c r="T16066" s="28">
        <v>22326009</v>
      </c>
      <c r="U16066" s="29" t="s">
        <v>3370</v>
      </c>
      <c r="V16066" s="30">
        <v>150500000</v>
      </c>
    </row>
    <row r="16067" spans="20:22" ht="24.75" thickBot="1" x14ac:dyDescent="0.25">
      <c r="T16067" s="28">
        <v>22326011</v>
      </c>
      <c r="U16067" s="29" t="s">
        <v>3371</v>
      </c>
      <c r="V16067" s="30">
        <v>145000000</v>
      </c>
    </row>
    <row r="16068" spans="20:22" ht="24.75" thickBot="1" x14ac:dyDescent="0.25">
      <c r="T16068" s="28">
        <v>22326013</v>
      </c>
      <c r="U16068" s="29" t="s">
        <v>3372</v>
      </c>
      <c r="V16068" s="30">
        <v>133100000</v>
      </c>
    </row>
    <row r="16069" spans="20:22" ht="24.75" thickBot="1" x14ac:dyDescent="0.25">
      <c r="T16069" s="28">
        <v>22326015</v>
      </c>
      <c r="U16069" s="29" t="s">
        <v>3373</v>
      </c>
      <c r="V16069" s="30">
        <v>140300000</v>
      </c>
    </row>
    <row r="16070" spans="20:22" ht="24.75" thickBot="1" x14ac:dyDescent="0.25">
      <c r="T16070" s="28">
        <v>22326017</v>
      </c>
      <c r="U16070" s="29" t="s">
        <v>3374</v>
      </c>
      <c r="V16070" s="30">
        <v>130600000</v>
      </c>
    </row>
    <row r="16071" spans="20:22" ht="24.75" thickBot="1" x14ac:dyDescent="0.25">
      <c r="T16071" s="28">
        <v>22326019</v>
      </c>
      <c r="U16071" s="29" t="s">
        <v>3375</v>
      </c>
      <c r="V16071" s="30">
        <v>133100000</v>
      </c>
    </row>
    <row r="16072" spans="20:22" ht="24.75" thickBot="1" x14ac:dyDescent="0.25">
      <c r="T16072" s="28">
        <v>22326021</v>
      </c>
      <c r="U16072" s="29" t="s">
        <v>3376</v>
      </c>
      <c r="V16072" s="30">
        <v>150500000</v>
      </c>
    </row>
    <row r="16073" spans="20:22" ht="24.75" thickBot="1" x14ac:dyDescent="0.25">
      <c r="T16073" s="28">
        <v>22326022</v>
      </c>
      <c r="U16073" s="29" t="s">
        <v>3377</v>
      </c>
      <c r="V16073" s="30">
        <v>150500000</v>
      </c>
    </row>
    <row r="16074" spans="20:22" ht="24.75" thickBot="1" x14ac:dyDescent="0.25">
      <c r="T16074" s="28">
        <v>22326023</v>
      </c>
      <c r="U16074" s="29" t="s">
        <v>3378</v>
      </c>
      <c r="V16074" s="30">
        <v>133100000</v>
      </c>
    </row>
    <row r="16075" spans="20:22" ht="24.75" thickBot="1" x14ac:dyDescent="0.25">
      <c r="T16075" s="28">
        <v>22326025</v>
      </c>
      <c r="U16075" s="29" t="s">
        <v>3379</v>
      </c>
      <c r="V16075" s="30">
        <v>133100000</v>
      </c>
    </row>
    <row r="16076" spans="20:22" ht="24.75" thickBot="1" x14ac:dyDescent="0.25">
      <c r="T16076" s="28">
        <v>22326027</v>
      </c>
      <c r="U16076" s="29" t="s">
        <v>3380</v>
      </c>
      <c r="V16076" s="30">
        <v>145000000</v>
      </c>
    </row>
    <row r="16077" spans="20:22" ht="24.75" thickBot="1" x14ac:dyDescent="0.25">
      <c r="T16077" s="28">
        <v>22326029</v>
      </c>
      <c r="U16077" s="29" t="s">
        <v>3381</v>
      </c>
      <c r="V16077" s="30">
        <v>133100000</v>
      </c>
    </row>
    <row r="16078" spans="20:22" ht="24.75" thickBot="1" x14ac:dyDescent="0.25">
      <c r="T16078" s="28">
        <v>22326031</v>
      </c>
      <c r="U16078" s="29" t="s">
        <v>3382</v>
      </c>
      <c r="V16078" s="30">
        <v>130600000</v>
      </c>
    </row>
    <row r="16079" spans="20:22" ht="24.75" thickBot="1" x14ac:dyDescent="0.25">
      <c r="T16079" s="28">
        <v>22326033</v>
      </c>
      <c r="U16079" s="29" t="s">
        <v>3383</v>
      </c>
      <c r="V16079" s="30">
        <v>130600000</v>
      </c>
    </row>
    <row r="16080" spans="20:22" ht="24.75" thickBot="1" x14ac:dyDescent="0.25">
      <c r="T16080" s="28">
        <v>22326035</v>
      </c>
      <c r="U16080" s="29" t="s">
        <v>3384</v>
      </c>
      <c r="V16080" s="30">
        <v>133100000</v>
      </c>
    </row>
    <row r="16081" spans="20:22" ht="24.75" thickBot="1" x14ac:dyDescent="0.25">
      <c r="T16081" s="28">
        <v>22333001</v>
      </c>
      <c r="U16081" s="29" t="s">
        <v>607</v>
      </c>
      <c r="V16081" s="30">
        <v>1100000</v>
      </c>
    </row>
    <row r="16082" spans="20:22" ht="13.5" thickBot="1" x14ac:dyDescent="0.25">
      <c r="T16082" s="28">
        <v>22333003</v>
      </c>
      <c r="U16082" s="29" t="s">
        <v>3385</v>
      </c>
      <c r="V16082" s="30">
        <v>1100000</v>
      </c>
    </row>
    <row r="16083" spans="20:22" ht="13.5" thickBot="1" x14ac:dyDescent="0.25">
      <c r="T16083" s="28">
        <v>22333005</v>
      </c>
      <c r="U16083" s="29" t="s">
        <v>621</v>
      </c>
      <c r="V16083" s="30">
        <v>1100000</v>
      </c>
    </row>
    <row r="16084" spans="20:22" ht="13.5" thickBot="1" x14ac:dyDescent="0.25">
      <c r="T16084" s="28">
        <v>22333007</v>
      </c>
      <c r="U16084" s="29" t="s">
        <v>3386</v>
      </c>
      <c r="V16084" s="30">
        <v>1100000</v>
      </c>
    </row>
    <row r="16085" spans="20:22" ht="13.5" thickBot="1" x14ac:dyDescent="0.25">
      <c r="T16085" s="28">
        <v>22333009</v>
      </c>
      <c r="U16085" s="29" t="s">
        <v>622</v>
      </c>
      <c r="V16085" s="30">
        <v>1100000</v>
      </c>
    </row>
    <row r="16086" spans="20:22" ht="13.5" thickBot="1" x14ac:dyDescent="0.25">
      <c r="T16086" s="28">
        <v>22333011</v>
      </c>
      <c r="U16086" s="29" t="s">
        <v>608</v>
      </c>
      <c r="V16086" s="30">
        <v>1100000</v>
      </c>
    </row>
    <row r="16087" spans="20:22" ht="24.75" thickBot="1" x14ac:dyDescent="0.25">
      <c r="T16087" s="28">
        <v>22333013</v>
      </c>
      <c r="U16087" s="29" t="s">
        <v>609</v>
      </c>
      <c r="V16087" s="30">
        <v>1100000</v>
      </c>
    </row>
    <row r="16088" spans="20:22" ht="13.5" thickBot="1" x14ac:dyDescent="0.25">
      <c r="T16088" s="28">
        <v>22333015</v>
      </c>
      <c r="U16088" s="29" t="s">
        <v>3387</v>
      </c>
      <c r="V16088" s="30">
        <v>1100000</v>
      </c>
    </row>
    <row r="16089" spans="20:22" ht="13.5" thickBot="1" x14ac:dyDescent="0.25">
      <c r="T16089" s="28">
        <v>22333017</v>
      </c>
      <c r="U16089" s="29" t="s">
        <v>610</v>
      </c>
      <c r="V16089" s="30">
        <v>1100000</v>
      </c>
    </row>
    <row r="16090" spans="20:22" ht="13.5" thickBot="1" x14ac:dyDescent="0.25">
      <c r="T16090" s="28">
        <v>22333019</v>
      </c>
      <c r="U16090" s="29" t="s">
        <v>623</v>
      </c>
      <c r="V16090" s="30">
        <v>1100000</v>
      </c>
    </row>
    <row r="16091" spans="20:22" ht="24.75" thickBot="1" x14ac:dyDescent="0.25">
      <c r="T16091" s="28">
        <v>22333021</v>
      </c>
      <c r="U16091" s="29" t="s">
        <v>3388</v>
      </c>
      <c r="V16091" s="30">
        <v>1100000</v>
      </c>
    </row>
    <row r="16092" spans="20:22" ht="13.5" thickBot="1" x14ac:dyDescent="0.25">
      <c r="T16092" s="28">
        <v>22333023</v>
      </c>
      <c r="U16092" s="29" t="s">
        <v>624</v>
      </c>
      <c r="V16092" s="30">
        <v>1100000</v>
      </c>
    </row>
    <row r="16093" spans="20:22" ht="13.5" thickBot="1" x14ac:dyDescent="0.25">
      <c r="T16093" s="28">
        <v>22333025</v>
      </c>
      <c r="U16093" s="29" t="s">
        <v>586</v>
      </c>
      <c r="V16093" s="30">
        <v>1100000</v>
      </c>
    </row>
    <row r="16094" spans="20:22" ht="13.5" thickBot="1" x14ac:dyDescent="0.25">
      <c r="T16094" s="28">
        <v>22333026</v>
      </c>
      <c r="U16094" s="29" t="s">
        <v>587</v>
      </c>
      <c r="V16094" s="30">
        <v>1100000</v>
      </c>
    </row>
    <row r="16095" spans="20:22" ht="13.5" thickBot="1" x14ac:dyDescent="0.25">
      <c r="T16095" s="28">
        <v>22333027</v>
      </c>
      <c r="U16095" s="29" t="s">
        <v>625</v>
      </c>
      <c r="V16095" s="30">
        <v>1100000</v>
      </c>
    </row>
    <row r="16096" spans="20:22" ht="13.5" thickBot="1" x14ac:dyDescent="0.25">
      <c r="T16096" s="28">
        <v>22333029</v>
      </c>
      <c r="U16096" s="29" t="s">
        <v>611</v>
      </c>
      <c r="V16096" s="30">
        <v>1100000</v>
      </c>
    </row>
    <row r="16097" spans="20:22" ht="24.75" thickBot="1" x14ac:dyDescent="0.25">
      <c r="T16097" s="28">
        <v>22333031</v>
      </c>
      <c r="U16097" s="29" t="s">
        <v>588</v>
      </c>
      <c r="V16097" s="30">
        <v>1100000</v>
      </c>
    </row>
    <row r="16098" spans="20:22" ht="24.75" thickBot="1" x14ac:dyDescent="0.25">
      <c r="T16098" s="28">
        <v>22333032</v>
      </c>
      <c r="U16098" s="29" t="s">
        <v>589</v>
      </c>
      <c r="V16098" s="30">
        <v>1100000</v>
      </c>
    </row>
    <row r="16099" spans="20:22" ht="13.5" thickBot="1" x14ac:dyDescent="0.25">
      <c r="T16099" s="28">
        <v>22333033</v>
      </c>
      <c r="U16099" s="29" t="s">
        <v>626</v>
      </c>
      <c r="V16099" s="30">
        <v>1100000</v>
      </c>
    </row>
    <row r="16100" spans="20:22" ht="13.5" thickBot="1" x14ac:dyDescent="0.25">
      <c r="T16100" s="28">
        <v>22333035</v>
      </c>
      <c r="U16100" s="29" t="s">
        <v>590</v>
      </c>
      <c r="V16100" s="30">
        <v>1100000</v>
      </c>
    </row>
    <row r="16101" spans="20:22" ht="13.5" thickBot="1" x14ac:dyDescent="0.25">
      <c r="T16101" s="28">
        <v>22333036</v>
      </c>
      <c r="U16101" s="29" t="s">
        <v>591</v>
      </c>
      <c r="V16101" s="30">
        <v>1100000</v>
      </c>
    </row>
    <row r="16102" spans="20:22" ht="13.5" thickBot="1" x14ac:dyDescent="0.25">
      <c r="T16102" s="28">
        <v>22333037</v>
      </c>
      <c r="U16102" s="29" t="s">
        <v>612</v>
      </c>
      <c r="V16102" s="30">
        <v>1100000</v>
      </c>
    </row>
    <row r="16103" spans="20:22" ht="24.75" thickBot="1" x14ac:dyDescent="0.25">
      <c r="T16103" s="28">
        <v>22333039</v>
      </c>
      <c r="U16103" s="29" t="s">
        <v>592</v>
      </c>
      <c r="V16103" s="30">
        <v>1100000</v>
      </c>
    </row>
    <row r="16104" spans="20:22" ht="13.5" thickBot="1" x14ac:dyDescent="0.25">
      <c r="T16104" s="28">
        <v>22334001</v>
      </c>
      <c r="U16104" s="29" t="s">
        <v>833</v>
      </c>
      <c r="V16104" s="30">
        <v>10600000</v>
      </c>
    </row>
    <row r="16105" spans="20:22" ht="24.75" thickBot="1" x14ac:dyDescent="0.25">
      <c r="T16105" s="28">
        <v>22334003</v>
      </c>
      <c r="U16105" s="29" t="s">
        <v>3389</v>
      </c>
      <c r="V16105" s="30">
        <v>10400000</v>
      </c>
    </row>
    <row r="16106" spans="20:22" ht="13.5" thickBot="1" x14ac:dyDescent="0.25">
      <c r="T16106" s="28">
        <v>22334005</v>
      </c>
      <c r="U16106" s="29" t="s">
        <v>853</v>
      </c>
      <c r="V16106" s="30">
        <v>12000000</v>
      </c>
    </row>
    <row r="16107" spans="20:22" ht="13.5" thickBot="1" x14ac:dyDescent="0.25">
      <c r="T16107" s="28">
        <v>22334007</v>
      </c>
      <c r="U16107" s="29" t="s">
        <v>3390</v>
      </c>
      <c r="V16107" s="30">
        <v>10600000</v>
      </c>
    </row>
    <row r="16108" spans="20:22" ht="13.5" thickBot="1" x14ac:dyDescent="0.25">
      <c r="T16108" s="28">
        <v>22334009</v>
      </c>
      <c r="U16108" s="29" t="s">
        <v>854</v>
      </c>
      <c r="V16108" s="30">
        <v>12000000</v>
      </c>
    </row>
    <row r="16109" spans="20:22" ht="24.75" thickBot="1" x14ac:dyDescent="0.25">
      <c r="T16109" s="28">
        <v>22334011</v>
      </c>
      <c r="U16109" s="29" t="s">
        <v>834</v>
      </c>
      <c r="V16109" s="30">
        <v>10400000</v>
      </c>
    </row>
    <row r="16110" spans="20:22" ht="24.75" thickBot="1" x14ac:dyDescent="0.25">
      <c r="T16110" s="28">
        <v>22334013</v>
      </c>
      <c r="U16110" s="29" t="s">
        <v>835</v>
      </c>
      <c r="V16110" s="30">
        <v>10600000</v>
      </c>
    </row>
    <row r="16111" spans="20:22" ht="24.75" thickBot="1" x14ac:dyDescent="0.25">
      <c r="T16111" s="28">
        <v>22334014</v>
      </c>
      <c r="U16111" s="29" t="s">
        <v>836</v>
      </c>
      <c r="V16111" s="30">
        <v>11500000</v>
      </c>
    </row>
    <row r="16112" spans="20:22" ht="13.5" thickBot="1" x14ac:dyDescent="0.25">
      <c r="T16112" s="28">
        <v>22334015</v>
      </c>
      <c r="U16112" s="29" t="s">
        <v>3391</v>
      </c>
      <c r="V16112" s="30">
        <v>10600000</v>
      </c>
    </row>
    <row r="16113" spans="20:22" ht="24.75" thickBot="1" x14ac:dyDescent="0.25">
      <c r="T16113" s="28">
        <v>22334017</v>
      </c>
      <c r="U16113" s="29" t="s">
        <v>837</v>
      </c>
      <c r="V16113" s="30">
        <v>10600000</v>
      </c>
    </row>
    <row r="16114" spans="20:22" ht="13.5" thickBot="1" x14ac:dyDescent="0.25">
      <c r="T16114" s="28">
        <v>22334019</v>
      </c>
      <c r="U16114" s="29" t="s">
        <v>855</v>
      </c>
      <c r="V16114" s="30">
        <v>12000000</v>
      </c>
    </row>
    <row r="16115" spans="20:22" ht="13.5" thickBot="1" x14ac:dyDescent="0.25">
      <c r="T16115" s="28">
        <v>22334021</v>
      </c>
      <c r="U16115" s="29" t="s">
        <v>3392</v>
      </c>
      <c r="V16115" s="30">
        <v>12000000</v>
      </c>
    </row>
    <row r="16116" spans="20:22" ht="13.5" thickBot="1" x14ac:dyDescent="0.25">
      <c r="T16116" s="28">
        <v>22334023</v>
      </c>
      <c r="U16116" s="29" t="s">
        <v>856</v>
      </c>
      <c r="V16116" s="30">
        <v>12000000</v>
      </c>
    </row>
    <row r="16117" spans="20:22" ht="13.5" thickBot="1" x14ac:dyDescent="0.25">
      <c r="T16117" s="28">
        <v>22334025</v>
      </c>
      <c r="U16117" s="29" t="s">
        <v>808</v>
      </c>
      <c r="V16117" s="30">
        <v>10400000</v>
      </c>
    </row>
    <row r="16118" spans="20:22" ht="24.75" thickBot="1" x14ac:dyDescent="0.25">
      <c r="T16118" s="28">
        <v>22334027</v>
      </c>
      <c r="U16118" s="29" t="s">
        <v>857</v>
      </c>
      <c r="V16118" s="30">
        <v>10400000</v>
      </c>
    </row>
    <row r="16119" spans="20:22" ht="13.5" thickBot="1" x14ac:dyDescent="0.25">
      <c r="T16119" s="28">
        <v>22334029</v>
      </c>
      <c r="U16119" s="29" t="s">
        <v>838</v>
      </c>
      <c r="V16119" s="30">
        <v>12000000</v>
      </c>
    </row>
    <row r="16120" spans="20:22" ht="24.75" thickBot="1" x14ac:dyDescent="0.25">
      <c r="T16120" s="28">
        <v>22334031</v>
      </c>
      <c r="U16120" s="29" t="s">
        <v>809</v>
      </c>
      <c r="V16120" s="30">
        <v>10400000</v>
      </c>
    </row>
    <row r="16121" spans="20:22" ht="13.5" thickBot="1" x14ac:dyDescent="0.25">
      <c r="T16121" s="28">
        <v>22334033</v>
      </c>
      <c r="U16121" s="29" t="s">
        <v>858</v>
      </c>
      <c r="V16121" s="30">
        <v>10400000</v>
      </c>
    </row>
    <row r="16122" spans="20:22" ht="24.75" thickBot="1" x14ac:dyDescent="0.25">
      <c r="T16122" s="28">
        <v>22334035</v>
      </c>
      <c r="U16122" s="29" t="s">
        <v>810</v>
      </c>
      <c r="V16122" s="30">
        <v>10600000</v>
      </c>
    </row>
    <row r="16123" spans="20:22" ht="24.75" thickBot="1" x14ac:dyDescent="0.25">
      <c r="T16123" s="28">
        <v>22334036</v>
      </c>
      <c r="U16123" s="29" t="s">
        <v>811</v>
      </c>
      <c r="V16123" s="30">
        <v>10600000</v>
      </c>
    </row>
    <row r="16124" spans="20:22" ht="24.75" thickBot="1" x14ac:dyDescent="0.25">
      <c r="T16124" s="28">
        <v>22334037</v>
      </c>
      <c r="U16124" s="29" t="s">
        <v>839</v>
      </c>
      <c r="V16124" s="30">
        <v>11200000</v>
      </c>
    </row>
    <row r="16125" spans="20:22" ht="24.75" thickBot="1" x14ac:dyDescent="0.25">
      <c r="T16125" s="28">
        <v>22334039</v>
      </c>
      <c r="U16125" s="29" t="s">
        <v>812</v>
      </c>
      <c r="V16125" s="30">
        <v>12000000</v>
      </c>
    </row>
    <row r="16126" spans="20:22" ht="24.75" thickBot="1" x14ac:dyDescent="0.25">
      <c r="T16126" s="28">
        <v>22334040</v>
      </c>
      <c r="U16126" s="29" t="s">
        <v>813</v>
      </c>
      <c r="V16126" s="30">
        <v>12000000</v>
      </c>
    </row>
    <row r="16127" spans="20:22" ht="13.5" thickBot="1" x14ac:dyDescent="0.25">
      <c r="T16127" s="28">
        <v>22335001</v>
      </c>
      <c r="U16127" s="29" t="s">
        <v>3393</v>
      </c>
      <c r="V16127" s="30">
        <v>69700000</v>
      </c>
    </row>
    <row r="16128" spans="20:22" ht="13.5" thickBot="1" x14ac:dyDescent="0.25">
      <c r="T16128" s="28">
        <v>22335003</v>
      </c>
      <c r="U16128" s="29" t="s">
        <v>3394</v>
      </c>
      <c r="V16128" s="30">
        <v>69700000</v>
      </c>
    </row>
    <row r="16129" spans="20:22" ht="24.75" thickBot="1" x14ac:dyDescent="0.25">
      <c r="T16129" s="28">
        <v>22335005</v>
      </c>
      <c r="U16129" s="29" t="s">
        <v>3395</v>
      </c>
      <c r="V16129" s="30">
        <v>60500000</v>
      </c>
    </row>
    <row r="16130" spans="20:22" ht="24.75" thickBot="1" x14ac:dyDescent="0.25">
      <c r="T16130" s="28">
        <v>22335007</v>
      </c>
      <c r="U16130" s="29" t="s">
        <v>3396</v>
      </c>
      <c r="V16130" s="30">
        <v>61700000</v>
      </c>
    </row>
    <row r="16131" spans="20:22" ht="24.75" thickBot="1" x14ac:dyDescent="0.25">
      <c r="T16131" s="28">
        <v>22335009</v>
      </c>
      <c r="U16131" s="29" t="s">
        <v>3397</v>
      </c>
      <c r="V16131" s="30">
        <v>67200000</v>
      </c>
    </row>
    <row r="16132" spans="20:22" ht="24.75" thickBot="1" x14ac:dyDescent="0.25">
      <c r="T16132" s="28">
        <v>22335010</v>
      </c>
      <c r="U16132" s="29" t="s">
        <v>3398</v>
      </c>
      <c r="V16132" s="30">
        <v>60500000</v>
      </c>
    </row>
    <row r="16133" spans="20:22" ht="24.75" thickBot="1" x14ac:dyDescent="0.25">
      <c r="T16133" s="28">
        <v>22335011</v>
      </c>
      <c r="U16133" s="29" t="s">
        <v>3399</v>
      </c>
      <c r="V16133" s="30">
        <v>61700000</v>
      </c>
    </row>
    <row r="16134" spans="20:22" ht="13.5" thickBot="1" x14ac:dyDescent="0.25">
      <c r="T16134" s="28">
        <v>22335013</v>
      </c>
      <c r="U16134" s="29" t="s">
        <v>3400</v>
      </c>
      <c r="V16134" s="30">
        <v>60500000</v>
      </c>
    </row>
    <row r="16135" spans="20:22" ht="13.5" thickBot="1" x14ac:dyDescent="0.25">
      <c r="T16135" s="28">
        <v>22335015</v>
      </c>
      <c r="U16135" s="29" t="s">
        <v>3401</v>
      </c>
      <c r="V16135" s="30">
        <v>61700000</v>
      </c>
    </row>
    <row r="16136" spans="20:22" ht="24.75" thickBot="1" x14ac:dyDescent="0.25">
      <c r="T16136" s="28">
        <v>22335017</v>
      </c>
      <c r="U16136" s="29" t="s">
        <v>3402</v>
      </c>
      <c r="V16136" s="30">
        <v>69700000</v>
      </c>
    </row>
    <row r="16137" spans="20:22" ht="24.75" thickBot="1" x14ac:dyDescent="0.25">
      <c r="T16137" s="28">
        <v>22335019</v>
      </c>
      <c r="U16137" s="29" t="s">
        <v>3403</v>
      </c>
      <c r="V16137" s="30">
        <v>60500000</v>
      </c>
    </row>
    <row r="16138" spans="20:22" ht="13.5" thickBot="1" x14ac:dyDescent="0.25">
      <c r="T16138" s="28">
        <v>22335021</v>
      </c>
      <c r="U16138" s="29" t="s">
        <v>3404</v>
      </c>
      <c r="V16138" s="30">
        <v>69700000</v>
      </c>
    </row>
    <row r="16139" spans="20:22" ht="24.75" thickBot="1" x14ac:dyDescent="0.25">
      <c r="T16139" s="28">
        <v>22335023</v>
      </c>
      <c r="U16139" s="29" t="s">
        <v>3405</v>
      </c>
      <c r="V16139" s="30">
        <v>65000000</v>
      </c>
    </row>
    <row r="16140" spans="20:22" ht="13.5" thickBot="1" x14ac:dyDescent="0.25">
      <c r="T16140" s="28">
        <v>22335025</v>
      </c>
      <c r="U16140" s="29" t="s">
        <v>3406</v>
      </c>
      <c r="V16140" s="30">
        <v>69700000</v>
      </c>
    </row>
    <row r="16141" spans="20:22" ht="24.75" thickBot="1" x14ac:dyDescent="0.25">
      <c r="T16141" s="28">
        <v>22335027</v>
      </c>
      <c r="U16141" s="29" t="s">
        <v>3407</v>
      </c>
      <c r="V16141" s="30">
        <v>61700000</v>
      </c>
    </row>
    <row r="16142" spans="20:22" ht="24.75" thickBot="1" x14ac:dyDescent="0.25">
      <c r="T16142" s="28">
        <v>22335029</v>
      </c>
      <c r="U16142" s="29" t="s">
        <v>3408</v>
      </c>
      <c r="V16142" s="30">
        <v>67200000</v>
      </c>
    </row>
    <row r="16143" spans="20:22" ht="24.75" thickBot="1" x14ac:dyDescent="0.25">
      <c r="T16143" s="28">
        <v>22335031</v>
      </c>
      <c r="U16143" s="29" t="s">
        <v>3409</v>
      </c>
      <c r="V16143" s="30">
        <v>61700000</v>
      </c>
    </row>
    <row r="16144" spans="20:22" ht="24.75" thickBot="1" x14ac:dyDescent="0.25">
      <c r="T16144" s="28">
        <v>22335032</v>
      </c>
      <c r="U16144" s="29" t="s">
        <v>3410</v>
      </c>
      <c r="V16144" s="30">
        <v>61700000</v>
      </c>
    </row>
    <row r="16145" spans="20:22" ht="24.75" thickBot="1" x14ac:dyDescent="0.25">
      <c r="T16145" s="28">
        <v>22335033</v>
      </c>
      <c r="U16145" s="29" t="s">
        <v>3411</v>
      </c>
      <c r="V16145" s="30">
        <v>69700000</v>
      </c>
    </row>
    <row r="16146" spans="20:22" ht="24.75" thickBot="1" x14ac:dyDescent="0.25">
      <c r="T16146" s="28">
        <v>22335035</v>
      </c>
      <c r="U16146" s="29" t="s">
        <v>3412</v>
      </c>
      <c r="V16146" s="30">
        <v>65000000</v>
      </c>
    </row>
    <row r="16147" spans="20:22" ht="36.75" thickBot="1" x14ac:dyDescent="0.25">
      <c r="T16147" s="28">
        <v>22335037</v>
      </c>
      <c r="U16147" s="29" t="s">
        <v>3413</v>
      </c>
      <c r="V16147" s="30">
        <v>65000000</v>
      </c>
    </row>
    <row r="16148" spans="20:22" ht="36.75" thickBot="1" x14ac:dyDescent="0.25">
      <c r="T16148" s="28">
        <v>22335038</v>
      </c>
      <c r="U16148" s="29" t="s">
        <v>3414</v>
      </c>
      <c r="V16148" s="30">
        <v>65000000</v>
      </c>
    </row>
    <row r="16149" spans="20:22" ht="24.75" thickBot="1" x14ac:dyDescent="0.25">
      <c r="T16149" s="28">
        <v>22335039</v>
      </c>
      <c r="U16149" s="29" t="s">
        <v>3415</v>
      </c>
      <c r="V16149" s="30">
        <v>69700000</v>
      </c>
    </row>
    <row r="16150" spans="20:22" ht="24.75" thickBot="1" x14ac:dyDescent="0.25">
      <c r="T16150" s="28">
        <v>22336001</v>
      </c>
      <c r="U16150" s="29" t="s">
        <v>3416</v>
      </c>
      <c r="V16150" s="30">
        <v>140300000</v>
      </c>
    </row>
    <row r="16151" spans="20:22" ht="24.75" thickBot="1" x14ac:dyDescent="0.25">
      <c r="T16151" s="28">
        <v>22336003</v>
      </c>
      <c r="U16151" s="29" t="s">
        <v>3417</v>
      </c>
      <c r="V16151" s="30">
        <v>133100000</v>
      </c>
    </row>
    <row r="16152" spans="20:22" ht="24.75" thickBot="1" x14ac:dyDescent="0.25">
      <c r="T16152" s="28">
        <v>22336005</v>
      </c>
      <c r="U16152" s="29" t="s">
        <v>3418</v>
      </c>
      <c r="V16152" s="30">
        <v>130600000</v>
      </c>
    </row>
    <row r="16153" spans="20:22" ht="24.75" thickBot="1" x14ac:dyDescent="0.25">
      <c r="T16153" s="28">
        <v>22336007</v>
      </c>
      <c r="U16153" s="29" t="s">
        <v>3419</v>
      </c>
      <c r="V16153" s="30">
        <v>133100000</v>
      </c>
    </row>
    <row r="16154" spans="20:22" ht="24.75" thickBot="1" x14ac:dyDescent="0.25">
      <c r="T16154" s="28">
        <v>22336009</v>
      </c>
      <c r="U16154" s="29" t="s">
        <v>3420</v>
      </c>
      <c r="V16154" s="30">
        <v>150500000</v>
      </c>
    </row>
    <row r="16155" spans="20:22" ht="24.75" thickBot="1" x14ac:dyDescent="0.25">
      <c r="T16155" s="28">
        <v>22336011</v>
      </c>
      <c r="U16155" s="29" t="s">
        <v>3421</v>
      </c>
      <c r="V16155" s="30">
        <v>130600000</v>
      </c>
    </row>
    <row r="16156" spans="20:22" ht="24.75" thickBot="1" x14ac:dyDescent="0.25">
      <c r="T16156" s="28">
        <v>22336013</v>
      </c>
      <c r="U16156" s="29" t="s">
        <v>3422</v>
      </c>
      <c r="V16156" s="30">
        <v>140300000</v>
      </c>
    </row>
    <row r="16157" spans="20:22" ht="24.75" thickBot="1" x14ac:dyDescent="0.25">
      <c r="T16157" s="28">
        <v>22336015</v>
      </c>
      <c r="U16157" s="29" t="s">
        <v>3423</v>
      </c>
      <c r="V16157" s="30">
        <v>145000000</v>
      </c>
    </row>
    <row r="16158" spans="20:22" ht="24.75" thickBot="1" x14ac:dyDescent="0.25">
      <c r="T16158" s="28">
        <v>22336017</v>
      </c>
      <c r="U16158" s="29" t="s">
        <v>3424</v>
      </c>
      <c r="V16158" s="30">
        <v>150500000</v>
      </c>
    </row>
    <row r="16159" spans="20:22" ht="24.75" thickBot="1" x14ac:dyDescent="0.25">
      <c r="T16159" s="28">
        <v>22336018</v>
      </c>
      <c r="U16159" s="29" t="s">
        <v>3425</v>
      </c>
      <c r="V16159" s="30">
        <v>150500000</v>
      </c>
    </row>
    <row r="16160" spans="20:22" ht="36.75" thickBot="1" x14ac:dyDescent="0.25">
      <c r="T16160" s="28">
        <v>22336019</v>
      </c>
      <c r="U16160" s="29" t="s">
        <v>3426</v>
      </c>
      <c r="V16160" s="30">
        <v>140300000</v>
      </c>
    </row>
    <row r="16161" spans="20:22" ht="24.75" thickBot="1" x14ac:dyDescent="0.25">
      <c r="T16161" s="28">
        <v>22336021</v>
      </c>
      <c r="U16161" s="29" t="s">
        <v>3427</v>
      </c>
      <c r="V16161" s="30">
        <v>133100000</v>
      </c>
    </row>
    <row r="16162" spans="20:22" ht="24.75" thickBot="1" x14ac:dyDescent="0.25">
      <c r="T16162" s="28">
        <v>22336023</v>
      </c>
      <c r="U16162" s="29" t="s">
        <v>3428</v>
      </c>
      <c r="V16162" s="30">
        <v>145000000</v>
      </c>
    </row>
    <row r="16163" spans="20:22" ht="24.75" thickBot="1" x14ac:dyDescent="0.25">
      <c r="T16163" s="28">
        <v>22336025</v>
      </c>
      <c r="U16163" s="29" t="s">
        <v>3429</v>
      </c>
      <c r="V16163" s="30">
        <v>140300000</v>
      </c>
    </row>
    <row r="16164" spans="20:22" ht="24.75" thickBot="1" x14ac:dyDescent="0.25">
      <c r="T16164" s="28">
        <v>22336027</v>
      </c>
      <c r="U16164" s="29" t="s">
        <v>3430</v>
      </c>
      <c r="V16164" s="30">
        <v>140300000</v>
      </c>
    </row>
    <row r="16165" spans="20:22" ht="24.75" thickBot="1" x14ac:dyDescent="0.25">
      <c r="T16165" s="28">
        <v>22336029</v>
      </c>
      <c r="U16165" s="29" t="s">
        <v>3431</v>
      </c>
      <c r="V16165" s="30">
        <v>133100000</v>
      </c>
    </row>
    <row r="16166" spans="20:22" ht="36.75" thickBot="1" x14ac:dyDescent="0.25">
      <c r="T16166" s="28">
        <v>22336031</v>
      </c>
      <c r="U16166" s="29" t="s">
        <v>3432</v>
      </c>
      <c r="V16166" s="30">
        <v>136300000</v>
      </c>
    </row>
    <row r="16167" spans="20:22" ht="24.75" thickBot="1" x14ac:dyDescent="0.25">
      <c r="T16167" s="28">
        <v>22336033</v>
      </c>
      <c r="U16167" s="29" t="s">
        <v>3433</v>
      </c>
      <c r="V16167" s="30">
        <v>150500000</v>
      </c>
    </row>
    <row r="16168" spans="20:22" ht="24.75" thickBot="1" x14ac:dyDescent="0.25">
      <c r="T16168" s="28">
        <v>22336035</v>
      </c>
      <c r="U16168" s="29" t="s">
        <v>3434</v>
      </c>
      <c r="V16168" s="30">
        <v>150500000</v>
      </c>
    </row>
    <row r="16169" spans="20:22" ht="24.75" thickBot="1" x14ac:dyDescent="0.25">
      <c r="T16169" s="28">
        <v>22336037</v>
      </c>
      <c r="U16169" s="29" t="s">
        <v>3435</v>
      </c>
      <c r="V16169" s="30">
        <v>133100000</v>
      </c>
    </row>
    <row r="16170" spans="20:22" ht="24.75" thickBot="1" x14ac:dyDescent="0.25">
      <c r="T16170" s="28">
        <v>22336038</v>
      </c>
      <c r="U16170" s="29" t="s">
        <v>3436</v>
      </c>
      <c r="V16170" s="30">
        <v>133100000</v>
      </c>
    </row>
    <row r="16171" spans="20:22" ht="24.75" thickBot="1" x14ac:dyDescent="0.25">
      <c r="T16171" s="28">
        <v>22336039</v>
      </c>
      <c r="U16171" s="29" t="s">
        <v>3437</v>
      </c>
      <c r="V16171" s="30">
        <v>140300000</v>
      </c>
    </row>
    <row r="16172" spans="20:22" ht="24.75" thickBot="1" x14ac:dyDescent="0.25">
      <c r="T16172" s="28">
        <v>22336041</v>
      </c>
      <c r="U16172" s="29" t="s">
        <v>3438</v>
      </c>
      <c r="V16172" s="30">
        <v>133100000</v>
      </c>
    </row>
    <row r="16173" spans="20:22" ht="24.75" thickBot="1" x14ac:dyDescent="0.25">
      <c r="T16173" s="28">
        <v>22336042</v>
      </c>
      <c r="U16173" s="29" t="s">
        <v>3439</v>
      </c>
      <c r="V16173" s="30">
        <v>133100000</v>
      </c>
    </row>
    <row r="16174" spans="20:22" ht="24.75" thickBot="1" x14ac:dyDescent="0.25">
      <c r="T16174" s="28">
        <v>22336043</v>
      </c>
      <c r="U16174" s="29" t="s">
        <v>3440</v>
      </c>
      <c r="V16174" s="30">
        <v>133100000</v>
      </c>
    </row>
    <row r="16175" spans="20:22" ht="24.75" thickBot="1" x14ac:dyDescent="0.25">
      <c r="T16175" s="28">
        <v>22343001</v>
      </c>
      <c r="U16175" s="29" t="s">
        <v>613</v>
      </c>
      <c r="V16175" s="30">
        <v>1100000</v>
      </c>
    </row>
    <row r="16176" spans="20:22" ht="24.75" thickBot="1" x14ac:dyDescent="0.25">
      <c r="T16176" s="28">
        <v>22343003</v>
      </c>
      <c r="U16176" s="29" t="s">
        <v>3441</v>
      </c>
      <c r="V16176" s="30">
        <v>1100000</v>
      </c>
    </row>
    <row r="16177" spans="20:22" ht="24.75" thickBot="1" x14ac:dyDescent="0.25">
      <c r="T16177" s="28">
        <v>22343004</v>
      </c>
      <c r="U16177" s="29" t="s">
        <v>3442</v>
      </c>
      <c r="V16177" s="30">
        <v>1100000</v>
      </c>
    </row>
    <row r="16178" spans="20:22" ht="13.5" thickBot="1" x14ac:dyDescent="0.25">
      <c r="T16178" s="28">
        <v>22343005</v>
      </c>
      <c r="U16178" s="29" t="s">
        <v>1237</v>
      </c>
      <c r="V16178" s="30">
        <v>1100000</v>
      </c>
    </row>
    <row r="16179" spans="20:22" ht="24.75" thickBot="1" x14ac:dyDescent="0.25">
      <c r="T16179" s="28">
        <v>22343007</v>
      </c>
      <c r="U16179" s="29" t="s">
        <v>627</v>
      </c>
      <c r="V16179" s="30">
        <v>1100000</v>
      </c>
    </row>
    <row r="16180" spans="20:22" ht="24.75" thickBot="1" x14ac:dyDescent="0.25">
      <c r="T16180" s="28">
        <v>22343009</v>
      </c>
      <c r="U16180" s="29" t="s">
        <v>628</v>
      </c>
      <c r="V16180" s="30">
        <v>1100000</v>
      </c>
    </row>
    <row r="16181" spans="20:22" ht="13.5" thickBot="1" x14ac:dyDescent="0.25">
      <c r="T16181" s="28">
        <v>22343011</v>
      </c>
      <c r="U16181" s="29" t="s">
        <v>3443</v>
      </c>
      <c r="V16181" s="30">
        <v>1100000</v>
      </c>
    </row>
    <row r="16182" spans="20:22" ht="13.5" thickBot="1" x14ac:dyDescent="0.25">
      <c r="T16182" s="28">
        <v>22343013</v>
      </c>
      <c r="U16182" s="29" t="s">
        <v>593</v>
      </c>
      <c r="V16182" s="30">
        <v>1100000</v>
      </c>
    </row>
    <row r="16183" spans="20:22" ht="24.75" thickBot="1" x14ac:dyDescent="0.25">
      <c r="T16183" s="28">
        <v>22343014</v>
      </c>
      <c r="U16183" s="29" t="s">
        <v>594</v>
      </c>
      <c r="V16183" s="30">
        <v>1100000</v>
      </c>
    </row>
    <row r="16184" spans="20:22" ht="13.5" thickBot="1" x14ac:dyDescent="0.25">
      <c r="T16184" s="28">
        <v>22343015</v>
      </c>
      <c r="U16184" s="29" t="s">
        <v>614</v>
      </c>
      <c r="V16184" s="30">
        <v>1100000</v>
      </c>
    </row>
    <row r="16185" spans="20:22" ht="13.5" thickBot="1" x14ac:dyDescent="0.25">
      <c r="T16185" s="28">
        <v>22343017</v>
      </c>
      <c r="U16185" s="29" t="s">
        <v>629</v>
      </c>
      <c r="V16185" s="30">
        <v>1100000</v>
      </c>
    </row>
    <row r="16186" spans="20:22" ht="13.5" thickBot="1" x14ac:dyDescent="0.25">
      <c r="T16186" s="28">
        <v>22343019</v>
      </c>
      <c r="U16186" s="29" t="s">
        <v>595</v>
      </c>
      <c r="V16186" s="30">
        <v>1100000</v>
      </c>
    </row>
    <row r="16187" spans="20:22" ht="13.5" thickBot="1" x14ac:dyDescent="0.25">
      <c r="T16187" s="28">
        <v>22343021</v>
      </c>
      <c r="U16187" s="29" t="s">
        <v>596</v>
      </c>
      <c r="V16187" s="30">
        <v>1100000</v>
      </c>
    </row>
    <row r="16188" spans="20:22" ht="13.5" thickBot="1" x14ac:dyDescent="0.25">
      <c r="T16188" s="28">
        <v>22343023</v>
      </c>
      <c r="U16188" s="29" t="s">
        <v>630</v>
      </c>
      <c r="V16188" s="30">
        <v>1100000</v>
      </c>
    </row>
    <row r="16189" spans="20:22" ht="13.5" thickBot="1" x14ac:dyDescent="0.25">
      <c r="T16189" s="28">
        <v>22343025</v>
      </c>
      <c r="U16189" s="29" t="s">
        <v>615</v>
      </c>
      <c r="V16189" s="30">
        <v>1100000</v>
      </c>
    </row>
    <row r="16190" spans="20:22" ht="13.5" thickBot="1" x14ac:dyDescent="0.25">
      <c r="T16190" s="28">
        <v>22343027</v>
      </c>
      <c r="U16190" s="29" t="s">
        <v>616</v>
      </c>
      <c r="V16190" s="30">
        <v>1100000</v>
      </c>
    </row>
    <row r="16191" spans="20:22" ht="13.5" thickBot="1" x14ac:dyDescent="0.25">
      <c r="T16191" s="28">
        <v>22343029</v>
      </c>
      <c r="U16191" s="29" t="s">
        <v>631</v>
      </c>
      <c r="V16191" s="30">
        <v>1100000</v>
      </c>
    </row>
    <row r="16192" spans="20:22" ht="13.5" thickBot="1" x14ac:dyDescent="0.25">
      <c r="T16192" s="28">
        <v>22343031</v>
      </c>
      <c r="U16192" s="29" t="s">
        <v>597</v>
      </c>
      <c r="V16192" s="30">
        <v>1100000</v>
      </c>
    </row>
    <row r="16193" spans="20:22" ht="24.75" thickBot="1" x14ac:dyDescent="0.25">
      <c r="T16193" s="28">
        <v>22343033</v>
      </c>
      <c r="U16193" s="29" t="s">
        <v>617</v>
      </c>
      <c r="V16193" s="30">
        <v>1100000</v>
      </c>
    </row>
    <row r="16194" spans="20:22" ht="24.75" thickBot="1" x14ac:dyDescent="0.25">
      <c r="T16194" s="28">
        <v>22343035</v>
      </c>
      <c r="U16194" s="29" t="s">
        <v>598</v>
      </c>
      <c r="V16194" s="30">
        <v>1100000</v>
      </c>
    </row>
    <row r="16195" spans="20:22" ht="24.75" thickBot="1" x14ac:dyDescent="0.25">
      <c r="T16195" s="28">
        <v>22343036</v>
      </c>
      <c r="U16195" s="29" t="s">
        <v>599</v>
      </c>
      <c r="V16195" s="30">
        <v>1100000</v>
      </c>
    </row>
    <row r="16196" spans="20:22" ht="13.5" thickBot="1" x14ac:dyDescent="0.25">
      <c r="T16196" s="28">
        <v>22343037</v>
      </c>
      <c r="U16196" s="29" t="s">
        <v>632</v>
      </c>
      <c r="V16196" s="30">
        <v>1100000</v>
      </c>
    </row>
    <row r="16197" spans="20:22" ht="13.5" thickBot="1" x14ac:dyDescent="0.25">
      <c r="T16197" s="28">
        <v>22343039</v>
      </c>
      <c r="U16197" s="29" t="s">
        <v>600</v>
      </c>
      <c r="V16197" s="30">
        <v>1100000</v>
      </c>
    </row>
    <row r="16198" spans="20:22" ht="24.75" thickBot="1" x14ac:dyDescent="0.25">
      <c r="T16198" s="28">
        <v>22343040</v>
      </c>
      <c r="U16198" s="29" t="s">
        <v>601</v>
      </c>
      <c r="V16198" s="30">
        <v>1100000</v>
      </c>
    </row>
    <row r="16199" spans="20:22" ht="13.5" thickBot="1" x14ac:dyDescent="0.25">
      <c r="T16199" s="28">
        <v>22344001</v>
      </c>
      <c r="U16199" s="29" t="s">
        <v>840</v>
      </c>
      <c r="V16199" s="30">
        <v>10400000</v>
      </c>
    </row>
    <row r="16200" spans="20:22" ht="24.75" thickBot="1" x14ac:dyDescent="0.25">
      <c r="T16200" s="28">
        <v>22344003</v>
      </c>
      <c r="U16200" s="29" t="s">
        <v>3444</v>
      </c>
      <c r="V16200" s="30">
        <v>10600000</v>
      </c>
    </row>
    <row r="16201" spans="20:22" ht="24.75" thickBot="1" x14ac:dyDescent="0.25">
      <c r="T16201" s="28">
        <v>22344004</v>
      </c>
      <c r="U16201" s="29" t="s">
        <v>3445</v>
      </c>
      <c r="V16201" s="30">
        <v>12000000</v>
      </c>
    </row>
    <row r="16202" spans="20:22" ht="13.5" thickBot="1" x14ac:dyDescent="0.25">
      <c r="T16202" s="28">
        <v>22344005</v>
      </c>
      <c r="U16202" s="29" t="s">
        <v>3446</v>
      </c>
      <c r="V16202" s="30">
        <v>10400000</v>
      </c>
    </row>
    <row r="16203" spans="20:22" ht="13.5" thickBot="1" x14ac:dyDescent="0.25">
      <c r="T16203" s="28">
        <v>22344007</v>
      </c>
      <c r="U16203" s="29" t="s">
        <v>859</v>
      </c>
      <c r="V16203" s="30">
        <v>10600000</v>
      </c>
    </row>
    <row r="16204" spans="20:22" ht="24.75" thickBot="1" x14ac:dyDescent="0.25">
      <c r="T16204" s="28">
        <v>22344009</v>
      </c>
      <c r="U16204" s="29" t="s">
        <v>860</v>
      </c>
      <c r="V16204" s="30">
        <v>10600000</v>
      </c>
    </row>
    <row r="16205" spans="20:22" ht="13.5" thickBot="1" x14ac:dyDescent="0.25">
      <c r="T16205" s="28">
        <v>22344011</v>
      </c>
      <c r="U16205" s="29" t="s">
        <v>841</v>
      </c>
      <c r="V16205" s="30">
        <v>10400000</v>
      </c>
    </row>
    <row r="16206" spans="20:22" ht="24.75" thickBot="1" x14ac:dyDescent="0.25">
      <c r="T16206" s="28">
        <v>22344012</v>
      </c>
      <c r="U16206" s="29" t="s">
        <v>842</v>
      </c>
      <c r="V16206" s="30">
        <v>10400000</v>
      </c>
    </row>
    <row r="16207" spans="20:22" ht="13.5" thickBot="1" x14ac:dyDescent="0.25">
      <c r="T16207" s="28">
        <v>22344013</v>
      </c>
      <c r="U16207" s="29" t="s">
        <v>814</v>
      </c>
      <c r="V16207" s="30">
        <v>11200000</v>
      </c>
    </row>
    <row r="16208" spans="20:22" ht="24.75" thickBot="1" x14ac:dyDescent="0.25">
      <c r="T16208" s="28">
        <v>22344014</v>
      </c>
      <c r="U16208" s="29" t="s">
        <v>815</v>
      </c>
      <c r="V16208" s="30">
        <v>10600000</v>
      </c>
    </row>
    <row r="16209" spans="20:22" ht="13.5" thickBot="1" x14ac:dyDescent="0.25">
      <c r="T16209" s="28">
        <v>22344015</v>
      </c>
      <c r="U16209" s="29" t="s">
        <v>843</v>
      </c>
      <c r="V16209" s="30">
        <v>10600000</v>
      </c>
    </row>
    <row r="16210" spans="20:22" ht="13.5" thickBot="1" x14ac:dyDescent="0.25">
      <c r="T16210" s="28">
        <v>22344017</v>
      </c>
      <c r="U16210" s="29" t="s">
        <v>861</v>
      </c>
      <c r="V16210" s="30">
        <v>10400000</v>
      </c>
    </row>
    <row r="16211" spans="20:22" ht="24.75" thickBot="1" x14ac:dyDescent="0.25">
      <c r="T16211" s="28">
        <v>22344019</v>
      </c>
      <c r="U16211" s="29" t="s">
        <v>816</v>
      </c>
      <c r="V16211" s="30">
        <v>10400000</v>
      </c>
    </row>
    <row r="16212" spans="20:22" ht="13.5" thickBot="1" x14ac:dyDescent="0.25">
      <c r="T16212" s="28">
        <v>22344020</v>
      </c>
      <c r="U16212" s="29" t="s">
        <v>817</v>
      </c>
      <c r="V16212" s="30">
        <v>10400000</v>
      </c>
    </row>
    <row r="16213" spans="20:22" ht="24.75" thickBot="1" x14ac:dyDescent="0.25">
      <c r="T16213" s="28">
        <v>22344021</v>
      </c>
      <c r="U16213" s="29" t="s">
        <v>818</v>
      </c>
      <c r="V16213" s="30">
        <v>10600000</v>
      </c>
    </row>
    <row r="16214" spans="20:22" ht="24.75" thickBot="1" x14ac:dyDescent="0.25">
      <c r="T16214" s="28">
        <v>22344022</v>
      </c>
      <c r="U16214" s="29" t="s">
        <v>819</v>
      </c>
      <c r="V16214" s="30">
        <v>10600000</v>
      </c>
    </row>
    <row r="16215" spans="20:22" ht="13.5" thickBot="1" x14ac:dyDescent="0.25">
      <c r="T16215" s="28">
        <v>22344023</v>
      </c>
      <c r="U16215" s="29" t="s">
        <v>862</v>
      </c>
      <c r="V16215" s="30">
        <v>10600000</v>
      </c>
    </row>
    <row r="16216" spans="20:22" ht="24.75" thickBot="1" x14ac:dyDescent="0.25">
      <c r="T16216" s="28">
        <v>22344025</v>
      </c>
      <c r="U16216" s="29" t="s">
        <v>3447</v>
      </c>
      <c r="V16216" s="30">
        <v>12000000</v>
      </c>
    </row>
    <row r="16217" spans="20:22" ht="13.5" thickBot="1" x14ac:dyDescent="0.25">
      <c r="T16217" s="28">
        <v>22344027</v>
      </c>
      <c r="U16217" s="29" t="s">
        <v>844</v>
      </c>
      <c r="V16217" s="30">
        <v>10900000</v>
      </c>
    </row>
    <row r="16218" spans="20:22" ht="24.75" thickBot="1" x14ac:dyDescent="0.25">
      <c r="T16218" s="28">
        <v>22344029</v>
      </c>
      <c r="U16218" s="29" t="s">
        <v>863</v>
      </c>
      <c r="V16218" s="30">
        <v>10400000</v>
      </c>
    </row>
    <row r="16219" spans="20:22" ht="13.5" thickBot="1" x14ac:dyDescent="0.25">
      <c r="T16219" s="28">
        <v>22344031</v>
      </c>
      <c r="U16219" s="29" t="s">
        <v>820</v>
      </c>
      <c r="V16219" s="30">
        <v>10400000</v>
      </c>
    </row>
    <row r="16220" spans="20:22" ht="13.5" thickBot="1" x14ac:dyDescent="0.25">
      <c r="T16220" s="28">
        <v>22344033</v>
      </c>
      <c r="U16220" s="29" t="s">
        <v>845</v>
      </c>
      <c r="V16220" s="30">
        <v>10400000</v>
      </c>
    </row>
    <row r="16221" spans="20:22" ht="13.5" thickBot="1" x14ac:dyDescent="0.25">
      <c r="T16221" s="28">
        <v>22344035</v>
      </c>
      <c r="U16221" s="29" t="s">
        <v>821</v>
      </c>
      <c r="V16221" s="30">
        <v>11200000</v>
      </c>
    </row>
    <row r="16222" spans="20:22" ht="24.75" thickBot="1" x14ac:dyDescent="0.25">
      <c r="T16222" s="28">
        <v>22344036</v>
      </c>
      <c r="U16222" s="29" t="s">
        <v>822</v>
      </c>
      <c r="V16222" s="30">
        <v>11200000</v>
      </c>
    </row>
    <row r="16223" spans="20:22" ht="13.5" thickBot="1" x14ac:dyDescent="0.25">
      <c r="T16223" s="28">
        <v>22344037</v>
      </c>
      <c r="U16223" s="29" t="s">
        <v>864</v>
      </c>
      <c r="V16223" s="30">
        <v>10600000</v>
      </c>
    </row>
    <row r="16224" spans="20:22" ht="24.75" thickBot="1" x14ac:dyDescent="0.25">
      <c r="T16224" s="28">
        <v>22344039</v>
      </c>
      <c r="U16224" s="29" t="s">
        <v>823</v>
      </c>
      <c r="V16224" s="30">
        <v>12000000</v>
      </c>
    </row>
    <row r="16225" spans="20:22" ht="24.75" thickBot="1" x14ac:dyDescent="0.25">
      <c r="T16225" s="28">
        <v>22344040</v>
      </c>
      <c r="U16225" s="29" t="s">
        <v>824</v>
      </c>
      <c r="V16225" s="30">
        <v>12000000</v>
      </c>
    </row>
    <row r="16226" spans="20:22" ht="24.75" thickBot="1" x14ac:dyDescent="0.25">
      <c r="T16226" s="28">
        <v>22344041</v>
      </c>
      <c r="U16226" s="29" t="s">
        <v>3448</v>
      </c>
      <c r="V16226" s="30">
        <v>60500000</v>
      </c>
    </row>
    <row r="16227" spans="20:22" ht="24.75" thickBot="1" x14ac:dyDescent="0.25">
      <c r="T16227" s="28">
        <v>22344042</v>
      </c>
      <c r="U16227" s="29" t="s">
        <v>3449</v>
      </c>
      <c r="V16227" s="30">
        <v>60500000</v>
      </c>
    </row>
    <row r="16228" spans="20:22" ht="24.75" thickBot="1" x14ac:dyDescent="0.25">
      <c r="T16228" s="28">
        <v>22344043</v>
      </c>
      <c r="U16228" s="29" t="s">
        <v>3450</v>
      </c>
      <c r="V16228" s="30">
        <v>61700000</v>
      </c>
    </row>
    <row r="16229" spans="20:22" ht="24.75" thickBot="1" x14ac:dyDescent="0.25">
      <c r="T16229" s="28">
        <v>22345001</v>
      </c>
      <c r="U16229" s="29" t="s">
        <v>3451</v>
      </c>
      <c r="V16229" s="30">
        <v>61700000</v>
      </c>
    </row>
    <row r="16230" spans="20:22" ht="13.5" thickBot="1" x14ac:dyDescent="0.25">
      <c r="T16230" s="28">
        <v>22345003</v>
      </c>
      <c r="U16230" s="29" t="s">
        <v>3452</v>
      </c>
      <c r="V16230" s="30">
        <v>60500000</v>
      </c>
    </row>
    <row r="16231" spans="20:22" ht="13.5" thickBot="1" x14ac:dyDescent="0.25">
      <c r="T16231" s="28">
        <v>22345005</v>
      </c>
      <c r="U16231" s="29" t="s">
        <v>3453</v>
      </c>
      <c r="V16231" s="30">
        <v>69700000</v>
      </c>
    </row>
    <row r="16232" spans="20:22" ht="24.75" thickBot="1" x14ac:dyDescent="0.25">
      <c r="T16232" s="28">
        <v>22345007</v>
      </c>
      <c r="U16232" s="29" t="s">
        <v>3454</v>
      </c>
      <c r="V16232" s="30">
        <v>60500000</v>
      </c>
    </row>
    <row r="16233" spans="20:22" ht="24.75" thickBot="1" x14ac:dyDescent="0.25">
      <c r="T16233" s="28">
        <v>22345009</v>
      </c>
      <c r="U16233" s="29" t="s">
        <v>3455</v>
      </c>
      <c r="V16233" s="30">
        <v>65000000</v>
      </c>
    </row>
    <row r="16234" spans="20:22" ht="24.75" thickBot="1" x14ac:dyDescent="0.25">
      <c r="T16234" s="28">
        <v>22345010</v>
      </c>
      <c r="U16234" s="29" t="s">
        <v>3456</v>
      </c>
      <c r="V16234" s="30">
        <v>65000000</v>
      </c>
    </row>
    <row r="16235" spans="20:22" ht="24.75" thickBot="1" x14ac:dyDescent="0.25">
      <c r="T16235" s="28">
        <v>22345011</v>
      </c>
      <c r="U16235" s="29" t="s">
        <v>3457</v>
      </c>
      <c r="V16235" s="30">
        <v>69700000</v>
      </c>
    </row>
    <row r="16236" spans="20:22" ht="24.75" thickBot="1" x14ac:dyDescent="0.25">
      <c r="T16236" s="28">
        <v>22345013</v>
      </c>
      <c r="U16236" s="29" t="s">
        <v>3458</v>
      </c>
      <c r="V16236" s="30">
        <v>61700000</v>
      </c>
    </row>
    <row r="16237" spans="20:22" ht="24.75" thickBot="1" x14ac:dyDescent="0.25">
      <c r="T16237" s="28">
        <v>22345014</v>
      </c>
      <c r="U16237" s="29" t="s">
        <v>3459</v>
      </c>
      <c r="V16237" s="30">
        <v>61700000</v>
      </c>
    </row>
    <row r="16238" spans="20:22" ht="24.75" thickBot="1" x14ac:dyDescent="0.25">
      <c r="T16238" s="28">
        <v>22345015</v>
      </c>
      <c r="U16238" s="29" t="s">
        <v>3460</v>
      </c>
      <c r="V16238" s="30">
        <v>61700000</v>
      </c>
    </row>
    <row r="16239" spans="20:22" ht="24.75" thickBot="1" x14ac:dyDescent="0.25">
      <c r="T16239" s="28">
        <v>22345017</v>
      </c>
      <c r="U16239" s="29" t="s">
        <v>3461</v>
      </c>
      <c r="V16239" s="30">
        <v>61700000</v>
      </c>
    </row>
    <row r="16240" spans="20:22" ht="13.5" thickBot="1" x14ac:dyDescent="0.25">
      <c r="T16240" s="28">
        <v>22345019</v>
      </c>
      <c r="U16240" s="29" t="s">
        <v>3462</v>
      </c>
      <c r="V16240" s="30">
        <v>60500000</v>
      </c>
    </row>
    <row r="16241" spans="20:22" ht="13.5" thickBot="1" x14ac:dyDescent="0.25">
      <c r="T16241" s="28">
        <v>22345021</v>
      </c>
      <c r="U16241" s="29" t="s">
        <v>3463</v>
      </c>
      <c r="V16241" s="30">
        <v>65000000</v>
      </c>
    </row>
    <row r="16242" spans="20:22" ht="24.75" thickBot="1" x14ac:dyDescent="0.25">
      <c r="T16242" s="28">
        <v>22345023</v>
      </c>
      <c r="U16242" s="29" t="s">
        <v>3464</v>
      </c>
      <c r="V16242" s="30">
        <v>60500000</v>
      </c>
    </row>
    <row r="16243" spans="20:22" ht="24.75" thickBot="1" x14ac:dyDescent="0.25">
      <c r="T16243" s="28">
        <v>22345025</v>
      </c>
      <c r="U16243" s="29" t="s">
        <v>3465</v>
      </c>
      <c r="V16243" s="30">
        <v>67200000</v>
      </c>
    </row>
    <row r="16244" spans="20:22" ht="24.75" thickBot="1" x14ac:dyDescent="0.25">
      <c r="T16244" s="28">
        <v>22345027</v>
      </c>
      <c r="U16244" s="29" t="s">
        <v>3466</v>
      </c>
      <c r="V16244" s="30">
        <v>63200000</v>
      </c>
    </row>
    <row r="16245" spans="20:22" ht="13.5" thickBot="1" x14ac:dyDescent="0.25">
      <c r="T16245" s="28">
        <v>22345029</v>
      </c>
      <c r="U16245" s="29" t="s">
        <v>3467</v>
      </c>
      <c r="V16245" s="30">
        <v>65000000</v>
      </c>
    </row>
    <row r="16246" spans="20:22" ht="24.75" thickBot="1" x14ac:dyDescent="0.25">
      <c r="T16246" s="28">
        <v>22345031</v>
      </c>
      <c r="U16246" s="29" t="s">
        <v>3468</v>
      </c>
      <c r="V16246" s="30">
        <v>67200000</v>
      </c>
    </row>
    <row r="16247" spans="20:22" ht="24.75" thickBot="1" x14ac:dyDescent="0.25">
      <c r="T16247" s="28">
        <v>22345032</v>
      </c>
      <c r="U16247" s="29" t="s">
        <v>3469</v>
      </c>
      <c r="V16247" s="30">
        <v>67200000</v>
      </c>
    </row>
    <row r="16248" spans="20:22" ht="24.75" thickBot="1" x14ac:dyDescent="0.25">
      <c r="T16248" s="28">
        <v>22345033</v>
      </c>
      <c r="U16248" s="29" t="s">
        <v>3470</v>
      </c>
      <c r="V16248" s="30">
        <v>65000000</v>
      </c>
    </row>
    <row r="16249" spans="20:22" ht="13.5" thickBot="1" x14ac:dyDescent="0.25">
      <c r="T16249" s="28">
        <v>22345035</v>
      </c>
      <c r="U16249" s="29" t="s">
        <v>3471</v>
      </c>
      <c r="V16249" s="30">
        <v>65000000</v>
      </c>
    </row>
    <row r="16250" spans="20:22" ht="24.75" thickBot="1" x14ac:dyDescent="0.25">
      <c r="T16250" s="28">
        <v>22346001</v>
      </c>
      <c r="U16250" s="29" t="s">
        <v>3472</v>
      </c>
      <c r="V16250" s="30">
        <v>145000000</v>
      </c>
    </row>
    <row r="16251" spans="20:22" ht="24.75" thickBot="1" x14ac:dyDescent="0.25">
      <c r="T16251" s="28">
        <v>22346003</v>
      </c>
      <c r="U16251" s="29" t="s">
        <v>3473</v>
      </c>
      <c r="V16251" s="30">
        <v>150500000</v>
      </c>
    </row>
    <row r="16252" spans="20:22" ht="24.75" thickBot="1" x14ac:dyDescent="0.25">
      <c r="T16252" s="28">
        <v>22346005</v>
      </c>
      <c r="U16252" s="29" t="s">
        <v>3474</v>
      </c>
      <c r="V16252" s="30">
        <v>150500000</v>
      </c>
    </row>
    <row r="16253" spans="20:22" ht="24.75" thickBot="1" x14ac:dyDescent="0.25">
      <c r="T16253" s="28">
        <v>22346007</v>
      </c>
      <c r="U16253" s="29" t="s">
        <v>3475</v>
      </c>
      <c r="V16253" s="30">
        <v>130600000</v>
      </c>
    </row>
    <row r="16254" spans="20:22" ht="24.75" thickBot="1" x14ac:dyDescent="0.25">
      <c r="T16254" s="28">
        <v>22346009</v>
      </c>
      <c r="U16254" s="29" t="s">
        <v>3476</v>
      </c>
      <c r="V16254" s="30">
        <v>145000000</v>
      </c>
    </row>
    <row r="16255" spans="20:22" ht="24.75" thickBot="1" x14ac:dyDescent="0.25">
      <c r="T16255" s="28">
        <v>22346011</v>
      </c>
      <c r="U16255" s="29" t="s">
        <v>3477</v>
      </c>
      <c r="V16255" s="30">
        <v>133100000</v>
      </c>
    </row>
    <row r="16256" spans="20:22" ht="24.75" thickBot="1" x14ac:dyDescent="0.25">
      <c r="T16256" s="28">
        <v>22346013</v>
      </c>
      <c r="U16256" s="29" t="s">
        <v>3478</v>
      </c>
      <c r="V16256" s="30">
        <v>133100000</v>
      </c>
    </row>
    <row r="16257" spans="20:22" ht="24.75" thickBot="1" x14ac:dyDescent="0.25">
      <c r="T16257" s="28">
        <v>22346015</v>
      </c>
      <c r="U16257" s="29" t="s">
        <v>3479</v>
      </c>
      <c r="V16257" s="30">
        <v>140300000</v>
      </c>
    </row>
    <row r="16258" spans="20:22" ht="24.75" thickBot="1" x14ac:dyDescent="0.25">
      <c r="T16258" s="28">
        <v>22346017</v>
      </c>
      <c r="U16258" s="29" t="s">
        <v>3480</v>
      </c>
      <c r="V16258" s="30">
        <v>130600000</v>
      </c>
    </row>
    <row r="16259" spans="20:22" ht="13.5" thickBot="1" x14ac:dyDescent="0.25">
      <c r="T16259" s="28">
        <v>22346019</v>
      </c>
      <c r="U16259" s="29" t="s">
        <v>3481</v>
      </c>
      <c r="V16259" s="30">
        <v>150500000</v>
      </c>
    </row>
    <row r="16260" spans="20:22" ht="24.75" thickBot="1" x14ac:dyDescent="0.25">
      <c r="T16260" s="28">
        <v>22346020</v>
      </c>
      <c r="U16260" s="29" t="s">
        <v>3482</v>
      </c>
      <c r="V16260" s="30">
        <v>150500000</v>
      </c>
    </row>
    <row r="16261" spans="20:22" ht="24.75" thickBot="1" x14ac:dyDescent="0.25">
      <c r="T16261" s="28">
        <v>22346021</v>
      </c>
      <c r="U16261" s="29" t="s">
        <v>3483</v>
      </c>
      <c r="V16261" s="30">
        <v>140300000</v>
      </c>
    </row>
    <row r="16262" spans="20:22" ht="24.75" thickBot="1" x14ac:dyDescent="0.25">
      <c r="T16262" s="28">
        <v>22346023</v>
      </c>
      <c r="U16262" s="29" t="s">
        <v>3484</v>
      </c>
      <c r="V16262" s="30">
        <v>130600000</v>
      </c>
    </row>
    <row r="16263" spans="20:22" ht="24.75" thickBot="1" x14ac:dyDescent="0.25">
      <c r="T16263" s="28">
        <v>22346025</v>
      </c>
      <c r="U16263" s="29" t="s">
        <v>3485</v>
      </c>
      <c r="V16263" s="30">
        <v>145000000</v>
      </c>
    </row>
    <row r="16264" spans="20:22" ht="24.75" thickBot="1" x14ac:dyDescent="0.25">
      <c r="T16264" s="28">
        <v>22346027</v>
      </c>
      <c r="U16264" s="29" t="s">
        <v>3486</v>
      </c>
      <c r="V16264" s="30">
        <v>130600000</v>
      </c>
    </row>
    <row r="16265" spans="20:22" ht="24.75" thickBot="1" x14ac:dyDescent="0.25">
      <c r="T16265" s="28">
        <v>22346029</v>
      </c>
      <c r="U16265" s="29" t="s">
        <v>3487</v>
      </c>
      <c r="V16265" s="30">
        <v>133100000</v>
      </c>
    </row>
    <row r="16266" spans="20:22" ht="24.75" thickBot="1" x14ac:dyDescent="0.25">
      <c r="T16266" s="28">
        <v>22346031</v>
      </c>
      <c r="U16266" s="29" t="s">
        <v>3488</v>
      </c>
      <c r="V16266" s="30">
        <v>145000000</v>
      </c>
    </row>
    <row r="16267" spans="20:22" ht="24.75" thickBot="1" x14ac:dyDescent="0.25">
      <c r="T16267" s="28">
        <v>22346033</v>
      </c>
      <c r="U16267" s="29" t="s">
        <v>3489</v>
      </c>
      <c r="V16267" s="30">
        <v>130600000</v>
      </c>
    </row>
    <row r="16268" spans="20:22" ht="24.75" thickBot="1" x14ac:dyDescent="0.25">
      <c r="T16268" s="28">
        <v>22346035</v>
      </c>
      <c r="U16268" s="29" t="s">
        <v>3490</v>
      </c>
      <c r="V16268" s="30">
        <v>130600000</v>
      </c>
    </row>
    <row r="16269" spans="20:22" ht="13.5" thickBot="1" x14ac:dyDescent="0.25">
      <c r="T16269" s="28">
        <v>22353001</v>
      </c>
      <c r="U16269" s="29" t="s">
        <v>3491</v>
      </c>
      <c r="V16269" s="30">
        <v>1100000</v>
      </c>
    </row>
    <row r="16270" spans="20:22" ht="24.75" thickBot="1" x14ac:dyDescent="0.25">
      <c r="T16270" s="28">
        <v>22353003</v>
      </c>
      <c r="U16270" s="29" t="s">
        <v>3492</v>
      </c>
      <c r="V16270" s="30">
        <v>65000000</v>
      </c>
    </row>
    <row r="16271" spans="20:22" ht="24.75" thickBot="1" x14ac:dyDescent="0.25">
      <c r="T16271" s="28">
        <v>22364006</v>
      </c>
      <c r="U16271" s="29" t="s">
        <v>3493</v>
      </c>
      <c r="V16271" s="30">
        <v>11500000</v>
      </c>
    </row>
    <row r="16272" spans="20:22" ht="13.5" thickBot="1" x14ac:dyDescent="0.25">
      <c r="T16272" s="28">
        <v>22364014</v>
      </c>
      <c r="U16272" s="29" t="s">
        <v>3494</v>
      </c>
      <c r="V16272" s="30">
        <v>11500000</v>
      </c>
    </row>
    <row r="16273" spans="20:22" ht="24.75" thickBot="1" x14ac:dyDescent="0.25">
      <c r="T16273" s="28">
        <v>22364023</v>
      </c>
      <c r="U16273" s="29" t="s">
        <v>3495</v>
      </c>
      <c r="V16273" s="30">
        <v>11500000</v>
      </c>
    </row>
    <row r="16274" spans="20:22" ht="24.75" thickBot="1" x14ac:dyDescent="0.25">
      <c r="T16274" s="28">
        <v>22364025</v>
      </c>
      <c r="U16274" s="29" t="s">
        <v>3496</v>
      </c>
      <c r="V16274" s="30">
        <v>11500000</v>
      </c>
    </row>
    <row r="16275" spans="20:22" ht="24.75" thickBot="1" x14ac:dyDescent="0.25">
      <c r="T16275" s="28">
        <v>22371001</v>
      </c>
      <c r="U16275" s="29" t="s">
        <v>3497</v>
      </c>
      <c r="V16275" s="30">
        <v>2400</v>
      </c>
    </row>
    <row r="16276" spans="20:22" ht="13.5" thickBot="1" x14ac:dyDescent="0.25">
      <c r="T16276" s="28">
        <v>22372001</v>
      </c>
      <c r="U16276" s="29" t="s">
        <v>3498</v>
      </c>
      <c r="V16276" s="30">
        <v>38400</v>
      </c>
    </row>
    <row r="16277" spans="20:22" ht="13.5" thickBot="1" x14ac:dyDescent="0.25">
      <c r="T16277" s="28">
        <v>22372003</v>
      </c>
      <c r="U16277" s="29" t="s">
        <v>3499</v>
      </c>
      <c r="V16277" s="30">
        <v>38400</v>
      </c>
    </row>
    <row r="16278" spans="20:22" ht="13.5" thickBot="1" x14ac:dyDescent="0.25">
      <c r="T16278" s="28">
        <v>22373001</v>
      </c>
      <c r="U16278" s="29" t="s">
        <v>3500</v>
      </c>
      <c r="V16278" s="30">
        <v>1100000</v>
      </c>
    </row>
    <row r="16279" spans="20:22" ht="24.75" thickBot="1" x14ac:dyDescent="0.25">
      <c r="T16279" s="28">
        <v>22373003</v>
      </c>
      <c r="U16279" s="29" t="s">
        <v>3501</v>
      </c>
      <c r="V16279" s="30">
        <v>1100000</v>
      </c>
    </row>
    <row r="16280" spans="20:22" ht="13.5" thickBot="1" x14ac:dyDescent="0.25">
      <c r="T16280" s="28">
        <v>22373005</v>
      </c>
      <c r="U16280" s="29" t="s">
        <v>3502</v>
      </c>
      <c r="V16280" s="30">
        <v>1100000</v>
      </c>
    </row>
    <row r="16281" spans="20:22" ht="24.75" thickBot="1" x14ac:dyDescent="0.25">
      <c r="T16281" s="28">
        <v>22373007</v>
      </c>
      <c r="U16281" s="29" t="s">
        <v>3503</v>
      </c>
      <c r="V16281" s="30">
        <v>1100000</v>
      </c>
    </row>
    <row r="16282" spans="20:22" ht="24.75" thickBot="1" x14ac:dyDescent="0.25">
      <c r="T16282" s="28">
        <v>22373009</v>
      </c>
      <c r="U16282" s="29" t="s">
        <v>3504</v>
      </c>
      <c r="V16282" s="30">
        <v>1100000</v>
      </c>
    </row>
    <row r="16283" spans="20:22" ht="24.75" thickBot="1" x14ac:dyDescent="0.25">
      <c r="T16283" s="28">
        <v>22373011</v>
      </c>
      <c r="U16283" s="29" t="s">
        <v>3505</v>
      </c>
      <c r="V16283" s="30">
        <v>1100000</v>
      </c>
    </row>
    <row r="16284" spans="20:22" ht="24.75" thickBot="1" x14ac:dyDescent="0.25">
      <c r="T16284" s="28">
        <v>22374001</v>
      </c>
      <c r="U16284" s="29" t="s">
        <v>3506</v>
      </c>
      <c r="V16284" s="30">
        <v>10400000</v>
      </c>
    </row>
    <row r="16285" spans="20:22" ht="24.75" thickBot="1" x14ac:dyDescent="0.25">
      <c r="T16285" s="28">
        <v>22375001</v>
      </c>
      <c r="U16285" s="29" t="s">
        <v>3507</v>
      </c>
      <c r="V16285" s="30">
        <v>60500000</v>
      </c>
    </row>
    <row r="16286" spans="20:22" ht="24.75" thickBot="1" x14ac:dyDescent="0.25">
      <c r="T16286" s="28">
        <v>22375003</v>
      </c>
      <c r="U16286" s="29" t="s">
        <v>3508</v>
      </c>
      <c r="V16286" s="30">
        <v>60500000</v>
      </c>
    </row>
    <row r="16287" spans="20:22" ht="13.5" thickBot="1" x14ac:dyDescent="0.25">
      <c r="T16287" s="28">
        <v>22421001</v>
      </c>
      <c r="U16287" s="29" t="s">
        <v>3509</v>
      </c>
      <c r="V16287" s="30">
        <v>3000</v>
      </c>
    </row>
    <row r="16288" spans="20:22" ht="13.5" thickBot="1" x14ac:dyDescent="0.25">
      <c r="T16288" s="28">
        <v>22421002</v>
      </c>
      <c r="U16288" s="29" t="s">
        <v>3510</v>
      </c>
      <c r="V16288" s="30">
        <v>3100</v>
      </c>
    </row>
    <row r="16289" spans="20:22" ht="13.5" thickBot="1" x14ac:dyDescent="0.25">
      <c r="T16289" s="28">
        <v>22421003</v>
      </c>
      <c r="U16289" s="29" t="s">
        <v>504</v>
      </c>
      <c r="V16289" s="30">
        <v>3000</v>
      </c>
    </row>
    <row r="16290" spans="20:22" ht="13.5" thickBot="1" x14ac:dyDescent="0.25">
      <c r="T16290" s="28">
        <v>22421004</v>
      </c>
      <c r="U16290" s="29" t="s">
        <v>505</v>
      </c>
      <c r="V16290" s="30">
        <v>3200</v>
      </c>
    </row>
    <row r="16291" spans="20:22" ht="13.5" thickBot="1" x14ac:dyDescent="0.25">
      <c r="T16291" s="28">
        <v>22421005</v>
      </c>
      <c r="U16291" s="29" t="s">
        <v>506</v>
      </c>
      <c r="V16291" s="30">
        <v>3000</v>
      </c>
    </row>
    <row r="16292" spans="20:22" ht="13.5" thickBot="1" x14ac:dyDescent="0.25">
      <c r="T16292" s="28">
        <v>22421006</v>
      </c>
      <c r="U16292" s="29" t="s">
        <v>507</v>
      </c>
      <c r="V16292" s="30">
        <v>3000</v>
      </c>
    </row>
    <row r="16293" spans="20:22" ht="13.5" thickBot="1" x14ac:dyDescent="0.25">
      <c r="T16293" s="28">
        <v>22421007</v>
      </c>
      <c r="U16293" s="29" t="s">
        <v>508</v>
      </c>
      <c r="V16293" s="30">
        <v>3000</v>
      </c>
    </row>
    <row r="16294" spans="20:22" ht="13.5" thickBot="1" x14ac:dyDescent="0.25">
      <c r="T16294" s="28">
        <v>22421008</v>
      </c>
      <c r="U16294" s="29" t="s">
        <v>509</v>
      </c>
      <c r="V16294" s="30">
        <v>3000</v>
      </c>
    </row>
    <row r="16295" spans="20:22" ht="13.5" thickBot="1" x14ac:dyDescent="0.25">
      <c r="T16295" s="28">
        <v>22421009</v>
      </c>
      <c r="U16295" s="29" t="s">
        <v>3511</v>
      </c>
      <c r="V16295" s="30">
        <v>3200</v>
      </c>
    </row>
    <row r="16296" spans="20:22" ht="13.5" thickBot="1" x14ac:dyDescent="0.25">
      <c r="T16296" s="28">
        <v>22421010</v>
      </c>
      <c r="U16296" s="29" t="s">
        <v>510</v>
      </c>
      <c r="V16296" s="30">
        <v>3000</v>
      </c>
    </row>
    <row r="16297" spans="20:22" ht="13.5" thickBot="1" x14ac:dyDescent="0.25">
      <c r="T16297" s="28">
        <v>22422001</v>
      </c>
      <c r="U16297" s="29" t="s">
        <v>3512</v>
      </c>
      <c r="V16297" s="30">
        <v>48900</v>
      </c>
    </row>
    <row r="16298" spans="20:22" ht="13.5" thickBot="1" x14ac:dyDescent="0.25">
      <c r="T16298" s="28">
        <v>22422002</v>
      </c>
      <c r="U16298" s="29" t="s">
        <v>572</v>
      </c>
      <c r="V16298" s="30">
        <v>48000</v>
      </c>
    </row>
    <row r="16299" spans="20:22" ht="13.5" thickBot="1" x14ac:dyDescent="0.25">
      <c r="T16299" s="28">
        <v>22422003</v>
      </c>
      <c r="U16299" s="29" t="s">
        <v>3513</v>
      </c>
      <c r="V16299" s="30">
        <v>48900</v>
      </c>
    </row>
    <row r="16300" spans="20:22" ht="13.5" thickBot="1" x14ac:dyDescent="0.25">
      <c r="T16300" s="28">
        <v>22422004</v>
      </c>
      <c r="U16300" s="29" t="s">
        <v>3514</v>
      </c>
      <c r="V16300" s="30">
        <v>48900</v>
      </c>
    </row>
    <row r="16301" spans="20:22" ht="13.5" thickBot="1" x14ac:dyDescent="0.25">
      <c r="T16301" s="28">
        <v>22422005</v>
      </c>
      <c r="U16301" s="29" t="s">
        <v>3515</v>
      </c>
      <c r="V16301" s="30">
        <v>48000</v>
      </c>
    </row>
    <row r="16302" spans="20:22" ht="13.5" thickBot="1" x14ac:dyDescent="0.25">
      <c r="T16302" s="28">
        <v>22422006</v>
      </c>
      <c r="U16302" s="29" t="s">
        <v>3516</v>
      </c>
      <c r="V16302" s="30">
        <v>48000</v>
      </c>
    </row>
    <row r="16303" spans="20:22" ht="13.5" thickBot="1" x14ac:dyDescent="0.25">
      <c r="T16303" s="28">
        <v>22422007</v>
      </c>
      <c r="U16303" s="29" t="s">
        <v>573</v>
      </c>
      <c r="V16303" s="30">
        <v>48000</v>
      </c>
    </row>
    <row r="16304" spans="20:22" ht="13.5" thickBot="1" x14ac:dyDescent="0.25">
      <c r="T16304" s="28">
        <v>22422008</v>
      </c>
      <c r="U16304" s="29" t="s">
        <v>574</v>
      </c>
      <c r="V16304" s="30">
        <v>48000</v>
      </c>
    </row>
    <row r="16305" spans="20:22" ht="13.5" thickBot="1" x14ac:dyDescent="0.25">
      <c r="T16305" s="28">
        <v>22422009</v>
      </c>
      <c r="U16305" s="29" t="s">
        <v>575</v>
      </c>
      <c r="V16305" s="30">
        <v>48900</v>
      </c>
    </row>
    <row r="16306" spans="20:22" ht="13.5" thickBot="1" x14ac:dyDescent="0.25">
      <c r="T16306" s="28">
        <v>22422010</v>
      </c>
      <c r="U16306" s="29" t="s">
        <v>3517</v>
      </c>
      <c r="V16306" s="30">
        <v>48900</v>
      </c>
    </row>
    <row r="16307" spans="20:22" ht="13.5" thickBot="1" x14ac:dyDescent="0.25">
      <c r="T16307" s="28">
        <v>22423001</v>
      </c>
      <c r="U16307" s="29" t="s">
        <v>3518</v>
      </c>
      <c r="V16307" s="30">
        <v>1400000</v>
      </c>
    </row>
    <row r="16308" spans="20:22" ht="13.5" thickBot="1" x14ac:dyDescent="0.25">
      <c r="T16308" s="28">
        <v>22423002</v>
      </c>
      <c r="U16308" s="29" t="s">
        <v>3519</v>
      </c>
      <c r="V16308" s="30">
        <v>1400000</v>
      </c>
    </row>
    <row r="16309" spans="20:22" ht="13.5" thickBot="1" x14ac:dyDescent="0.25">
      <c r="T16309" s="28">
        <v>22423003</v>
      </c>
      <c r="U16309" s="29" t="s">
        <v>3520</v>
      </c>
      <c r="V16309" s="30">
        <v>1400000</v>
      </c>
    </row>
    <row r="16310" spans="20:22" ht="13.5" thickBot="1" x14ac:dyDescent="0.25">
      <c r="T16310" s="28">
        <v>22423004</v>
      </c>
      <c r="U16310" s="29" t="s">
        <v>782</v>
      </c>
      <c r="V16310" s="30">
        <v>1400000</v>
      </c>
    </row>
    <row r="16311" spans="20:22" ht="13.5" thickBot="1" x14ac:dyDescent="0.25">
      <c r="T16311" s="28">
        <v>22423005</v>
      </c>
      <c r="U16311" s="29" t="s">
        <v>783</v>
      </c>
      <c r="V16311" s="30">
        <v>1400000</v>
      </c>
    </row>
    <row r="16312" spans="20:22" ht="13.5" thickBot="1" x14ac:dyDescent="0.25">
      <c r="T16312" s="28">
        <v>22423006</v>
      </c>
      <c r="U16312" s="29" t="s">
        <v>784</v>
      </c>
      <c r="V16312" s="30">
        <v>1400000</v>
      </c>
    </row>
    <row r="16313" spans="20:22" ht="13.5" thickBot="1" x14ac:dyDescent="0.25">
      <c r="T16313" s="28">
        <v>22423007</v>
      </c>
      <c r="U16313" s="29" t="s">
        <v>785</v>
      </c>
      <c r="V16313" s="30">
        <v>1300000</v>
      </c>
    </row>
    <row r="16314" spans="20:22" ht="13.5" thickBot="1" x14ac:dyDescent="0.25">
      <c r="T16314" s="28">
        <v>22423008</v>
      </c>
      <c r="U16314" s="29" t="s">
        <v>786</v>
      </c>
      <c r="V16314" s="30">
        <v>1300000</v>
      </c>
    </row>
    <row r="16315" spans="20:22" ht="13.5" thickBot="1" x14ac:dyDescent="0.25">
      <c r="T16315" s="28">
        <v>22423009</v>
      </c>
      <c r="U16315" s="29" t="s">
        <v>787</v>
      </c>
      <c r="V16315" s="30">
        <v>1400000</v>
      </c>
    </row>
    <row r="16316" spans="20:22" ht="13.5" thickBot="1" x14ac:dyDescent="0.25">
      <c r="T16316" s="28">
        <v>22423010</v>
      </c>
      <c r="U16316" s="29" t="s">
        <v>3521</v>
      </c>
      <c r="V16316" s="30">
        <v>1400000</v>
      </c>
    </row>
    <row r="16317" spans="20:22" ht="13.5" thickBot="1" x14ac:dyDescent="0.25">
      <c r="T16317" s="28">
        <v>22424001</v>
      </c>
      <c r="U16317" s="29" t="s">
        <v>3522</v>
      </c>
      <c r="V16317" s="30">
        <v>14400000</v>
      </c>
    </row>
    <row r="16318" spans="20:22" ht="13.5" thickBot="1" x14ac:dyDescent="0.25">
      <c r="T16318" s="28">
        <v>22424002</v>
      </c>
      <c r="U16318" s="29" t="s">
        <v>3523</v>
      </c>
      <c r="V16318" s="30">
        <v>15000000</v>
      </c>
    </row>
    <row r="16319" spans="20:22" ht="24.75" thickBot="1" x14ac:dyDescent="0.25">
      <c r="T16319" s="28">
        <v>22424003</v>
      </c>
      <c r="U16319" s="29" t="s">
        <v>3524</v>
      </c>
      <c r="V16319" s="30">
        <v>13200000</v>
      </c>
    </row>
    <row r="16320" spans="20:22" ht="13.5" thickBot="1" x14ac:dyDescent="0.25">
      <c r="T16320" s="28">
        <v>22424004</v>
      </c>
      <c r="U16320" s="29" t="s">
        <v>1021</v>
      </c>
      <c r="V16320" s="30">
        <v>13900000</v>
      </c>
    </row>
    <row r="16321" spans="20:22" ht="13.5" thickBot="1" x14ac:dyDescent="0.25">
      <c r="T16321" s="28">
        <v>22424005</v>
      </c>
      <c r="U16321" s="29" t="s">
        <v>1022</v>
      </c>
      <c r="V16321" s="30">
        <v>13000000</v>
      </c>
    </row>
    <row r="16322" spans="20:22" ht="13.5" thickBot="1" x14ac:dyDescent="0.25">
      <c r="T16322" s="28">
        <v>22424006</v>
      </c>
      <c r="U16322" s="29" t="s">
        <v>1023</v>
      </c>
      <c r="V16322" s="30">
        <v>15000000</v>
      </c>
    </row>
    <row r="16323" spans="20:22" ht="13.5" thickBot="1" x14ac:dyDescent="0.25">
      <c r="T16323" s="28">
        <v>22424007</v>
      </c>
      <c r="U16323" s="29" t="s">
        <v>1024</v>
      </c>
      <c r="V16323" s="30">
        <v>13200000</v>
      </c>
    </row>
    <row r="16324" spans="20:22" ht="24.75" thickBot="1" x14ac:dyDescent="0.25">
      <c r="T16324" s="28">
        <v>22424008</v>
      </c>
      <c r="U16324" s="29" t="s">
        <v>1025</v>
      </c>
      <c r="V16324" s="30">
        <v>13200000</v>
      </c>
    </row>
    <row r="16325" spans="20:22" ht="24.75" thickBot="1" x14ac:dyDescent="0.25">
      <c r="T16325" s="28">
        <v>22424009</v>
      </c>
      <c r="U16325" s="29" t="s">
        <v>3525</v>
      </c>
      <c r="V16325" s="30">
        <v>15000000</v>
      </c>
    </row>
    <row r="16326" spans="20:22" ht="13.5" thickBot="1" x14ac:dyDescent="0.25">
      <c r="T16326" s="28">
        <v>22424010</v>
      </c>
      <c r="U16326" s="29" t="s">
        <v>1026</v>
      </c>
      <c r="V16326" s="30">
        <v>13600000</v>
      </c>
    </row>
    <row r="16327" spans="20:22" ht="13.5" thickBot="1" x14ac:dyDescent="0.25">
      <c r="T16327" s="28">
        <v>22425001</v>
      </c>
      <c r="U16327" s="29" t="s">
        <v>3526</v>
      </c>
      <c r="V16327" s="30">
        <v>81200000</v>
      </c>
    </row>
    <row r="16328" spans="20:22" ht="24.75" thickBot="1" x14ac:dyDescent="0.25">
      <c r="T16328" s="28">
        <v>22425002</v>
      </c>
      <c r="U16328" s="29" t="s">
        <v>3527</v>
      </c>
      <c r="V16328" s="30">
        <v>75700000</v>
      </c>
    </row>
    <row r="16329" spans="20:22" ht="13.5" thickBot="1" x14ac:dyDescent="0.25">
      <c r="T16329" s="28">
        <v>22425003</v>
      </c>
      <c r="U16329" s="29" t="s">
        <v>3528</v>
      </c>
      <c r="V16329" s="30">
        <v>77100000</v>
      </c>
    </row>
    <row r="16330" spans="20:22" ht="13.5" thickBot="1" x14ac:dyDescent="0.25">
      <c r="T16330" s="28">
        <v>22425004</v>
      </c>
      <c r="U16330" s="29" t="s">
        <v>3529</v>
      </c>
      <c r="V16330" s="30">
        <v>87200000</v>
      </c>
    </row>
    <row r="16331" spans="20:22" ht="13.5" thickBot="1" x14ac:dyDescent="0.25">
      <c r="T16331" s="28">
        <v>22425005</v>
      </c>
      <c r="U16331" s="29" t="s">
        <v>3530</v>
      </c>
      <c r="V16331" s="30">
        <v>77100000</v>
      </c>
    </row>
    <row r="16332" spans="20:22" ht="24.75" thickBot="1" x14ac:dyDescent="0.25">
      <c r="T16332" s="28">
        <v>22425006</v>
      </c>
      <c r="U16332" s="29" t="s">
        <v>3531</v>
      </c>
      <c r="V16332" s="30">
        <v>77100000</v>
      </c>
    </row>
    <row r="16333" spans="20:22" ht="24.75" thickBot="1" x14ac:dyDescent="0.25">
      <c r="T16333" s="28">
        <v>22425007</v>
      </c>
      <c r="U16333" s="29" t="s">
        <v>3532</v>
      </c>
      <c r="V16333" s="30">
        <v>77100000</v>
      </c>
    </row>
    <row r="16334" spans="20:22" ht="24.75" thickBot="1" x14ac:dyDescent="0.25">
      <c r="T16334" s="28">
        <v>22425008</v>
      </c>
      <c r="U16334" s="29" t="s">
        <v>3533</v>
      </c>
      <c r="V16334" s="30">
        <v>75700000</v>
      </c>
    </row>
    <row r="16335" spans="20:22" ht="13.5" thickBot="1" x14ac:dyDescent="0.25">
      <c r="T16335" s="28">
        <v>22425009</v>
      </c>
      <c r="U16335" s="29" t="s">
        <v>3534</v>
      </c>
      <c r="V16335" s="30">
        <v>87200000</v>
      </c>
    </row>
    <row r="16336" spans="20:22" ht="13.5" thickBot="1" x14ac:dyDescent="0.25">
      <c r="T16336" s="28">
        <v>22425010</v>
      </c>
      <c r="U16336" s="29" t="s">
        <v>3535</v>
      </c>
      <c r="V16336" s="30">
        <v>87200000</v>
      </c>
    </row>
    <row r="16337" spans="20:22" ht="24.75" thickBot="1" x14ac:dyDescent="0.25">
      <c r="T16337" s="28">
        <v>22426001</v>
      </c>
      <c r="U16337" s="29" t="s">
        <v>3536</v>
      </c>
      <c r="V16337" s="30">
        <v>166300000</v>
      </c>
    </row>
    <row r="16338" spans="20:22" ht="13.5" thickBot="1" x14ac:dyDescent="0.25">
      <c r="T16338" s="28">
        <v>22426002</v>
      </c>
      <c r="U16338" s="29" t="s">
        <v>3537</v>
      </c>
      <c r="V16338" s="30">
        <v>163300000</v>
      </c>
    </row>
    <row r="16339" spans="20:22" ht="13.5" thickBot="1" x14ac:dyDescent="0.25">
      <c r="T16339" s="28">
        <v>22426003</v>
      </c>
      <c r="U16339" s="29" t="s">
        <v>3538</v>
      </c>
      <c r="V16339" s="30">
        <v>175300000</v>
      </c>
    </row>
    <row r="16340" spans="20:22" ht="24.75" thickBot="1" x14ac:dyDescent="0.25">
      <c r="T16340" s="28">
        <v>22426004</v>
      </c>
      <c r="U16340" s="29" t="s">
        <v>3539</v>
      </c>
      <c r="V16340" s="30">
        <v>163300000</v>
      </c>
    </row>
    <row r="16341" spans="20:22" ht="24.75" thickBot="1" x14ac:dyDescent="0.25">
      <c r="T16341" s="28">
        <v>22426005</v>
      </c>
      <c r="U16341" s="29" t="s">
        <v>3540</v>
      </c>
      <c r="V16341" s="30">
        <v>166300000</v>
      </c>
    </row>
    <row r="16342" spans="20:22" ht="13.5" thickBot="1" x14ac:dyDescent="0.25">
      <c r="T16342" s="28">
        <v>22426006</v>
      </c>
      <c r="U16342" s="29" t="s">
        <v>3541</v>
      </c>
      <c r="V16342" s="30">
        <v>166300000</v>
      </c>
    </row>
    <row r="16343" spans="20:22" ht="24.75" thickBot="1" x14ac:dyDescent="0.25">
      <c r="T16343" s="28">
        <v>22426007</v>
      </c>
      <c r="U16343" s="29" t="s">
        <v>3542</v>
      </c>
      <c r="V16343" s="30">
        <v>166300000</v>
      </c>
    </row>
    <row r="16344" spans="20:22" ht="13.5" thickBot="1" x14ac:dyDescent="0.25">
      <c r="T16344" s="28">
        <v>22426008</v>
      </c>
      <c r="U16344" s="29" t="s">
        <v>3543</v>
      </c>
      <c r="V16344" s="30">
        <v>181200000</v>
      </c>
    </row>
    <row r="16345" spans="20:22" ht="24.75" thickBot="1" x14ac:dyDescent="0.25">
      <c r="T16345" s="28">
        <v>22426009</v>
      </c>
      <c r="U16345" s="29" t="s">
        <v>3544</v>
      </c>
      <c r="V16345" s="30">
        <v>166300000</v>
      </c>
    </row>
    <row r="16346" spans="20:22" ht="13.5" thickBot="1" x14ac:dyDescent="0.25">
      <c r="T16346" s="28">
        <v>22426010</v>
      </c>
      <c r="U16346" s="29" t="s">
        <v>3545</v>
      </c>
      <c r="V16346" s="30">
        <v>175300000</v>
      </c>
    </row>
    <row r="16347" spans="20:22" ht="13.5" thickBot="1" x14ac:dyDescent="0.25">
      <c r="T16347" s="28">
        <v>22431001</v>
      </c>
      <c r="U16347" s="29" t="s">
        <v>511</v>
      </c>
      <c r="V16347" s="30">
        <v>3000</v>
      </c>
    </row>
    <row r="16348" spans="20:22" ht="13.5" thickBot="1" x14ac:dyDescent="0.25">
      <c r="T16348" s="28">
        <v>22431002</v>
      </c>
      <c r="U16348" s="29" t="s">
        <v>3546</v>
      </c>
      <c r="V16348" s="30">
        <v>3000</v>
      </c>
    </row>
    <row r="16349" spans="20:22" ht="13.5" thickBot="1" x14ac:dyDescent="0.25">
      <c r="T16349" s="28">
        <v>22431003</v>
      </c>
      <c r="U16349" s="29" t="s">
        <v>512</v>
      </c>
      <c r="V16349" s="30">
        <v>3000</v>
      </c>
    </row>
    <row r="16350" spans="20:22" ht="13.5" thickBot="1" x14ac:dyDescent="0.25">
      <c r="T16350" s="28">
        <v>22432001</v>
      </c>
      <c r="U16350" s="29" t="s">
        <v>3547</v>
      </c>
      <c r="V16350" s="30">
        <v>48000</v>
      </c>
    </row>
    <row r="16351" spans="20:22" ht="13.5" thickBot="1" x14ac:dyDescent="0.25">
      <c r="T16351" s="28">
        <v>22432002</v>
      </c>
      <c r="U16351" s="29" t="s">
        <v>3548</v>
      </c>
      <c r="V16351" s="30">
        <v>50100</v>
      </c>
    </row>
    <row r="16352" spans="20:22" ht="13.5" thickBot="1" x14ac:dyDescent="0.25">
      <c r="T16352" s="28">
        <v>22432003</v>
      </c>
      <c r="U16352" s="29" t="s">
        <v>3549</v>
      </c>
      <c r="V16352" s="30">
        <v>48000</v>
      </c>
    </row>
    <row r="16353" spans="20:22" ht="13.5" thickBot="1" x14ac:dyDescent="0.25">
      <c r="T16353" s="28">
        <v>22433001</v>
      </c>
      <c r="U16353" s="29" t="s">
        <v>3550</v>
      </c>
      <c r="V16353" s="30">
        <v>1300000</v>
      </c>
    </row>
    <row r="16354" spans="20:22" ht="13.5" thickBot="1" x14ac:dyDescent="0.25">
      <c r="T16354" s="28">
        <v>22433002</v>
      </c>
      <c r="U16354" s="29" t="s">
        <v>3551</v>
      </c>
      <c r="V16354" s="30">
        <v>1300000</v>
      </c>
    </row>
    <row r="16355" spans="20:22" ht="13.5" thickBot="1" x14ac:dyDescent="0.25">
      <c r="T16355" s="28">
        <v>22433003</v>
      </c>
      <c r="U16355" s="29" t="s">
        <v>3552</v>
      </c>
      <c r="V16355" s="30">
        <v>1400000</v>
      </c>
    </row>
    <row r="16356" spans="20:22" ht="13.5" thickBot="1" x14ac:dyDescent="0.25">
      <c r="T16356" s="28">
        <v>22434001</v>
      </c>
      <c r="U16356" s="29" t="s">
        <v>3553</v>
      </c>
      <c r="V16356" s="30">
        <v>13200000</v>
      </c>
    </row>
    <row r="16357" spans="20:22" ht="13.5" thickBot="1" x14ac:dyDescent="0.25">
      <c r="T16357" s="28">
        <v>22434002</v>
      </c>
      <c r="U16357" s="29" t="s">
        <v>3554</v>
      </c>
      <c r="V16357" s="30">
        <v>13200000</v>
      </c>
    </row>
    <row r="16358" spans="20:22" ht="13.5" thickBot="1" x14ac:dyDescent="0.25">
      <c r="T16358" s="28">
        <v>22434003</v>
      </c>
      <c r="U16358" s="29" t="s">
        <v>3555</v>
      </c>
      <c r="V16358" s="30">
        <v>13000000</v>
      </c>
    </row>
    <row r="16359" spans="20:22" ht="24.75" thickBot="1" x14ac:dyDescent="0.25">
      <c r="T16359" s="28">
        <v>22435001</v>
      </c>
      <c r="U16359" s="29" t="s">
        <v>3556</v>
      </c>
      <c r="V16359" s="30">
        <v>75700000</v>
      </c>
    </row>
    <row r="16360" spans="20:22" ht="13.5" thickBot="1" x14ac:dyDescent="0.25">
      <c r="T16360" s="28">
        <v>22435002</v>
      </c>
      <c r="U16360" s="29" t="s">
        <v>3557</v>
      </c>
      <c r="V16360" s="30">
        <v>87200000</v>
      </c>
    </row>
    <row r="16361" spans="20:22" ht="13.5" thickBot="1" x14ac:dyDescent="0.25">
      <c r="T16361" s="28">
        <v>22435003</v>
      </c>
      <c r="U16361" s="29" t="s">
        <v>3558</v>
      </c>
      <c r="V16361" s="30">
        <v>75700000</v>
      </c>
    </row>
    <row r="16362" spans="20:22" ht="13.5" thickBot="1" x14ac:dyDescent="0.25">
      <c r="T16362" s="28">
        <v>22436001</v>
      </c>
      <c r="U16362" s="29" t="s">
        <v>3559</v>
      </c>
      <c r="V16362" s="30">
        <v>163300000</v>
      </c>
    </row>
    <row r="16363" spans="20:22" ht="13.5" thickBot="1" x14ac:dyDescent="0.25">
      <c r="T16363" s="28">
        <v>22436002</v>
      </c>
      <c r="U16363" s="29" t="s">
        <v>3560</v>
      </c>
      <c r="V16363" s="30">
        <v>175300000</v>
      </c>
    </row>
    <row r="16364" spans="20:22" ht="13.5" thickBot="1" x14ac:dyDescent="0.25">
      <c r="T16364" s="28">
        <v>22436003</v>
      </c>
      <c r="U16364" s="29" t="s">
        <v>3561</v>
      </c>
      <c r="V16364" s="30">
        <v>166300000</v>
      </c>
    </row>
    <row r="16365" spans="20:22" ht="13.5" thickBot="1" x14ac:dyDescent="0.25">
      <c r="T16365" s="28">
        <v>22441001</v>
      </c>
      <c r="U16365" s="29" t="s">
        <v>3562</v>
      </c>
      <c r="V16365" s="30">
        <v>48000</v>
      </c>
    </row>
    <row r="16366" spans="20:22" ht="13.5" thickBot="1" x14ac:dyDescent="0.25">
      <c r="T16366" s="28">
        <v>22441002</v>
      </c>
      <c r="U16366" s="29" t="s">
        <v>3563</v>
      </c>
      <c r="V16366" s="30">
        <v>50100</v>
      </c>
    </row>
    <row r="16367" spans="20:22" ht="24.75" thickBot="1" x14ac:dyDescent="0.25">
      <c r="T16367" s="28">
        <v>22441003</v>
      </c>
      <c r="U16367" s="29" t="s">
        <v>3564</v>
      </c>
      <c r="V16367" s="30">
        <v>48000</v>
      </c>
    </row>
    <row r="16368" spans="20:22" ht="13.5" thickBot="1" x14ac:dyDescent="0.25">
      <c r="T16368" s="28">
        <v>22441004</v>
      </c>
      <c r="U16368" s="29" t="s">
        <v>576</v>
      </c>
      <c r="V16368" s="30">
        <v>48000</v>
      </c>
    </row>
    <row r="16369" spans="20:22" ht="13.5" thickBot="1" x14ac:dyDescent="0.25">
      <c r="T16369" s="28">
        <v>22441005</v>
      </c>
      <c r="U16369" s="29" t="s">
        <v>577</v>
      </c>
      <c r="V16369" s="30">
        <v>48000</v>
      </c>
    </row>
    <row r="16370" spans="20:22" ht="13.5" thickBot="1" x14ac:dyDescent="0.25">
      <c r="T16370" s="28">
        <v>22441006</v>
      </c>
      <c r="U16370" s="29" t="s">
        <v>578</v>
      </c>
      <c r="V16370" s="30">
        <v>48000</v>
      </c>
    </row>
    <row r="16371" spans="20:22" ht="13.5" thickBot="1" x14ac:dyDescent="0.25">
      <c r="T16371" s="28">
        <v>22441007</v>
      </c>
      <c r="U16371" s="29" t="s">
        <v>3565</v>
      </c>
      <c r="V16371" s="30">
        <v>48000</v>
      </c>
    </row>
    <row r="16372" spans="20:22" ht="13.5" thickBot="1" x14ac:dyDescent="0.25">
      <c r="T16372" s="28">
        <v>22441008</v>
      </c>
      <c r="U16372" s="29" t="s">
        <v>579</v>
      </c>
      <c r="V16372" s="30">
        <v>48000</v>
      </c>
    </row>
    <row r="16373" spans="20:22" ht="13.5" thickBot="1" x14ac:dyDescent="0.25">
      <c r="T16373" s="28">
        <v>22441009</v>
      </c>
      <c r="U16373" s="29" t="s">
        <v>3566</v>
      </c>
      <c r="V16373" s="30">
        <v>48900</v>
      </c>
    </row>
    <row r="16374" spans="20:22" ht="13.5" thickBot="1" x14ac:dyDescent="0.25">
      <c r="T16374" s="28">
        <v>22441010</v>
      </c>
      <c r="U16374" s="29" t="s">
        <v>580</v>
      </c>
      <c r="V16374" s="30">
        <v>48000</v>
      </c>
    </row>
    <row r="16375" spans="20:22" ht="13.5" thickBot="1" x14ac:dyDescent="0.25">
      <c r="T16375" s="28">
        <v>22441011</v>
      </c>
      <c r="U16375" s="29" t="s">
        <v>3567</v>
      </c>
      <c r="V16375" s="30">
        <v>48000</v>
      </c>
    </row>
    <row r="16376" spans="20:22" ht="24.75" thickBot="1" x14ac:dyDescent="0.25">
      <c r="T16376" s="28">
        <v>22441012</v>
      </c>
      <c r="U16376" s="29" t="s">
        <v>3568</v>
      </c>
      <c r="V16376" s="30">
        <v>48000</v>
      </c>
    </row>
    <row r="16377" spans="20:22" ht="13.5" thickBot="1" x14ac:dyDescent="0.25">
      <c r="T16377" s="28">
        <v>22441013</v>
      </c>
      <c r="U16377" s="29" t="s">
        <v>3569</v>
      </c>
      <c r="V16377" s="30">
        <v>48000</v>
      </c>
    </row>
    <row r="16378" spans="20:22" ht="24.75" thickBot="1" x14ac:dyDescent="0.25">
      <c r="T16378" s="28">
        <v>22441014</v>
      </c>
      <c r="U16378" s="29" t="s">
        <v>581</v>
      </c>
      <c r="V16378" s="30">
        <v>48000</v>
      </c>
    </row>
    <row r="16379" spans="20:22" ht="13.5" thickBot="1" x14ac:dyDescent="0.25">
      <c r="T16379" s="28">
        <v>22441015</v>
      </c>
      <c r="U16379" s="29" t="s">
        <v>582</v>
      </c>
      <c r="V16379" s="30">
        <v>50100</v>
      </c>
    </row>
    <row r="16380" spans="20:22" ht="13.5" thickBot="1" x14ac:dyDescent="0.25">
      <c r="T16380" s="28">
        <v>22441016</v>
      </c>
      <c r="U16380" s="29" t="s">
        <v>3570</v>
      </c>
      <c r="V16380" s="30">
        <v>48000</v>
      </c>
    </row>
    <row r="16381" spans="20:22" ht="13.5" thickBot="1" x14ac:dyDescent="0.25">
      <c r="T16381" s="28">
        <v>22441017</v>
      </c>
      <c r="U16381" s="29" t="s">
        <v>583</v>
      </c>
      <c r="V16381" s="30">
        <v>48000</v>
      </c>
    </row>
    <row r="16382" spans="20:22" ht="13.5" thickBot="1" x14ac:dyDescent="0.25">
      <c r="T16382" s="28">
        <v>22441018</v>
      </c>
      <c r="U16382" s="29" t="s">
        <v>3571</v>
      </c>
      <c r="V16382" s="30">
        <v>48000</v>
      </c>
    </row>
    <row r="16383" spans="20:22" ht="13.5" thickBot="1" x14ac:dyDescent="0.25">
      <c r="T16383" s="28">
        <v>22442001</v>
      </c>
      <c r="U16383" s="29" t="s">
        <v>513</v>
      </c>
      <c r="V16383" s="30">
        <v>3000</v>
      </c>
    </row>
    <row r="16384" spans="20:22" ht="13.5" thickBot="1" x14ac:dyDescent="0.25">
      <c r="T16384" s="28">
        <v>22442002</v>
      </c>
      <c r="U16384" s="29" t="s">
        <v>514</v>
      </c>
      <c r="V16384" s="30">
        <v>3200</v>
      </c>
    </row>
    <row r="16385" spans="20:22" ht="24.75" thickBot="1" x14ac:dyDescent="0.25">
      <c r="T16385" s="28">
        <v>22442003</v>
      </c>
      <c r="U16385" s="29" t="s">
        <v>515</v>
      </c>
      <c r="V16385" s="30">
        <v>3000</v>
      </c>
    </row>
    <row r="16386" spans="20:22" ht="13.5" thickBot="1" x14ac:dyDescent="0.25">
      <c r="T16386" s="28">
        <v>22442004</v>
      </c>
      <c r="U16386" s="29" t="s">
        <v>516</v>
      </c>
      <c r="V16386" s="30">
        <v>3200</v>
      </c>
    </row>
    <row r="16387" spans="20:22" ht="24.75" thickBot="1" x14ac:dyDescent="0.25">
      <c r="T16387" s="28">
        <v>22442005</v>
      </c>
      <c r="U16387" s="29" t="s">
        <v>517</v>
      </c>
      <c r="V16387" s="30">
        <v>3000</v>
      </c>
    </row>
    <row r="16388" spans="20:22" ht="13.5" thickBot="1" x14ac:dyDescent="0.25">
      <c r="T16388" s="28">
        <v>22442006</v>
      </c>
      <c r="U16388" s="29" t="s">
        <v>518</v>
      </c>
      <c r="V16388" s="30">
        <v>3000</v>
      </c>
    </row>
    <row r="16389" spans="20:22" ht="24.75" thickBot="1" x14ac:dyDescent="0.25">
      <c r="T16389" s="28">
        <v>22442007</v>
      </c>
      <c r="U16389" s="29" t="s">
        <v>519</v>
      </c>
      <c r="V16389" s="30">
        <v>3000</v>
      </c>
    </row>
    <row r="16390" spans="20:22" ht="24.75" thickBot="1" x14ac:dyDescent="0.25">
      <c r="T16390" s="28">
        <v>22442008</v>
      </c>
      <c r="U16390" s="29" t="s">
        <v>520</v>
      </c>
      <c r="V16390" s="30">
        <v>3000</v>
      </c>
    </row>
    <row r="16391" spans="20:22" ht="13.5" thickBot="1" x14ac:dyDescent="0.25">
      <c r="T16391" s="28">
        <v>22442009</v>
      </c>
      <c r="U16391" s="29" t="s">
        <v>3572</v>
      </c>
      <c r="V16391" s="30">
        <v>3000</v>
      </c>
    </row>
    <row r="16392" spans="20:22" ht="13.5" thickBot="1" x14ac:dyDescent="0.25">
      <c r="T16392" s="28">
        <v>22442010</v>
      </c>
      <c r="U16392" s="29" t="s">
        <v>521</v>
      </c>
      <c r="V16392" s="30">
        <v>3000</v>
      </c>
    </row>
    <row r="16393" spans="20:22" ht="13.5" thickBot="1" x14ac:dyDescent="0.25">
      <c r="T16393" s="28">
        <v>22442011</v>
      </c>
      <c r="U16393" s="29" t="s">
        <v>522</v>
      </c>
      <c r="V16393" s="30">
        <v>3000</v>
      </c>
    </row>
    <row r="16394" spans="20:22" ht="24.75" thickBot="1" x14ac:dyDescent="0.25">
      <c r="T16394" s="28">
        <v>22442012</v>
      </c>
      <c r="U16394" s="29" t="s">
        <v>523</v>
      </c>
      <c r="V16394" s="30">
        <v>3000</v>
      </c>
    </row>
    <row r="16395" spans="20:22" ht="13.5" thickBot="1" x14ac:dyDescent="0.25">
      <c r="T16395" s="28">
        <v>22442013</v>
      </c>
      <c r="U16395" s="29" t="s">
        <v>524</v>
      </c>
      <c r="V16395" s="30">
        <v>3000</v>
      </c>
    </row>
    <row r="16396" spans="20:22" ht="24.75" thickBot="1" x14ac:dyDescent="0.25">
      <c r="T16396" s="28">
        <v>22442014</v>
      </c>
      <c r="U16396" s="29" t="s">
        <v>525</v>
      </c>
      <c r="V16396" s="30">
        <v>3000</v>
      </c>
    </row>
    <row r="16397" spans="20:22" ht="13.5" thickBot="1" x14ac:dyDescent="0.25">
      <c r="T16397" s="28">
        <v>22442015</v>
      </c>
      <c r="U16397" s="29" t="s">
        <v>526</v>
      </c>
      <c r="V16397" s="30">
        <v>3200</v>
      </c>
    </row>
    <row r="16398" spans="20:22" ht="13.5" thickBot="1" x14ac:dyDescent="0.25">
      <c r="T16398" s="28">
        <v>22442016</v>
      </c>
      <c r="U16398" s="29" t="s">
        <v>527</v>
      </c>
      <c r="V16398" s="30">
        <v>3000</v>
      </c>
    </row>
    <row r="16399" spans="20:22" ht="13.5" thickBot="1" x14ac:dyDescent="0.25">
      <c r="T16399" s="28">
        <v>22442017</v>
      </c>
      <c r="U16399" s="29" t="s">
        <v>528</v>
      </c>
      <c r="V16399" s="30">
        <v>3000</v>
      </c>
    </row>
    <row r="16400" spans="20:22" ht="13.5" thickBot="1" x14ac:dyDescent="0.25">
      <c r="T16400" s="28">
        <v>22442018</v>
      </c>
      <c r="U16400" s="29" t="s">
        <v>529</v>
      </c>
      <c r="V16400" s="30">
        <v>3000</v>
      </c>
    </row>
    <row r="16401" spans="20:22" ht="13.5" thickBot="1" x14ac:dyDescent="0.25">
      <c r="T16401" s="28">
        <v>22443001</v>
      </c>
      <c r="U16401" s="29" t="s">
        <v>788</v>
      </c>
      <c r="V16401" s="30">
        <v>1300000</v>
      </c>
    </row>
    <row r="16402" spans="20:22" ht="13.5" thickBot="1" x14ac:dyDescent="0.25">
      <c r="T16402" s="28">
        <v>22443002</v>
      </c>
      <c r="U16402" s="29" t="s">
        <v>789</v>
      </c>
      <c r="V16402" s="30">
        <v>1400000</v>
      </c>
    </row>
    <row r="16403" spans="20:22" ht="24.75" thickBot="1" x14ac:dyDescent="0.25">
      <c r="T16403" s="28">
        <v>22443003</v>
      </c>
      <c r="U16403" s="29" t="s">
        <v>790</v>
      </c>
      <c r="V16403" s="30">
        <v>1300000</v>
      </c>
    </row>
    <row r="16404" spans="20:22" ht="13.5" thickBot="1" x14ac:dyDescent="0.25">
      <c r="T16404" s="28">
        <v>22443004</v>
      </c>
      <c r="U16404" s="29" t="s">
        <v>791</v>
      </c>
      <c r="V16404" s="30">
        <v>1400000</v>
      </c>
    </row>
    <row r="16405" spans="20:22" ht="24.75" thickBot="1" x14ac:dyDescent="0.25">
      <c r="T16405" s="28">
        <v>22443005</v>
      </c>
      <c r="U16405" s="29" t="s">
        <v>792</v>
      </c>
      <c r="V16405" s="30">
        <v>1300000</v>
      </c>
    </row>
    <row r="16406" spans="20:22" ht="13.5" thickBot="1" x14ac:dyDescent="0.25">
      <c r="T16406" s="28">
        <v>22443006</v>
      </c>
      <c r="U16406" s="29" t="s">
        <v>3573</v>
      </c>
      <c r="V16406" s="30">
        <v>1400000</v>
      </c>
    </row>
    <row r="16407" spans="20:22" ht="13.5" thickBot="1" x14ac:dyDescent="0.25">
      <c r="T16407" s="28">
        <v>22443007</v>
      </c>
      <c r="U16407" s="29" t="s">
        <v>793</v>
      </c>
      <c r="V16407" s="30">
        <v>1300000</v>
      </c>
    </row>
    <row r="16408" spans="20:22" ht="13.5" thickBot="1" x14ac:dyDescent="0.25">
      <c r="T16408" s="28">
        <v>22443008</v>
      </c>
      <c r="U16408" s="29" t="s">
        <v>794</v>
      </c>
      <c r="V16408" s="30">
        <v>1300000</v>
      </c>
    </row>
    <row r="16409" spans="20:22" ht="13.5" thickBot="1" x14ac:dyDescent="0.25">
      <c r="T16409" s="28">
        <v>22443009</v>
      </c>
      <c r="U16409" s="29" t="s">
        <v>3574</v>
      </c>
      <c r="V16409" s="30">
        <v>1300000</v>
      </c>
    </row>
    <row r="16410" spans="20:22" ht="13.5" thickBot="1" x14ac:dyDescent="0.25">
      <c r="T16410" s="28">
        <v>22443010</v>
      </c>
      <c r="U16410" s="29" t="s">
        <v>3575</v>
      </c>
      <c r="V16410" s="30">
        <v>1300000</v>
      </c>
    </row>
    <row r="16411" spans="20:22" ht="13.5" thickBot="1" x14ac:dyDescent="0.25">
      <c r="T16411" s="28">
        <v>22443011</v>
      </c>
      <c r="U16411" s="29" t="s">
        <v>3576</v>
      </c>
      <c r="V16411" s="30">
        <v>1300000</v>
      </c>
    </row>
    <row r="16412" spans="20:22" ht="24.75" thickBot="1" x14ac:dyDescent="0.25">
      <c r="T16412" s="28">
        <v>22443012</v>
      </c>
      <c r="U16412" s="29" t="s">
        <v>795</v>
      </c>
      <c r="V16412" s="30">
        <v>1300000</v>
      </c>
    </row>
    <row r="16413" spans="20:22" ht="13.5" thickBot="1" x14ac:dyDescent="0.25">
      <c r="T16413" s="28">
        <v>22443013</v>
      </c>
      <c r="U16413" s="29" t="s">
        <v>796</v>
      </c>
      <c r="V16413" s="30">
        <v>1300000</v>
      </c>
    </row>
    <row r="16414" spans="20:22" ht="13.5" thickBot="1" x14ac:dyDescent="0.25">
      <c r="T16414" s="28">
        <v>22443014</v>
      </c>
      <c r="U16414" s="29" t="s">
        <v>797</v>
      </c>
      <c r="V16414" s="30">
        <v>1300000</v>
      </c>
    </row>
    <row r="16415" spans="20:22" ht="13.5" thickBot="1" x14ac:dyDescent="0.25">
      <c r="T16415" s="28">
        <v>22443015</v>
      </c>
      <c r="U16415" s="29" t="s">
        <v>798</v>
      </c>
      <c r="V16415" s="30">
        <v>1300000</v>
      </c>
    </row>
    <row r="16416" spans="20:22" ht="13.5" thickBot="1" x14ac:dyDescent="0.25">
      <c r="T16416" s="28">
        <v>22443016</v>
      </c>
      <c r="U16416" s="29" t="s">
        <v>799</v>
      </c>
      <c r="V16416" s="30">
        <v>1300000</v>
      </c>
    </row>
    <row r="16417" spans="20:22" ht="13.5" thickBot="1" x14ac:dyDescent="0.25">
      <c r="T16417" s="28">
        <v>22443017</v>
      </c>
      <c r="U16417" s="29" t="s">
        <v>3577</v>
      </c>
      <c r="V16417" s="30">
        <v>1400000</v>
      </c>
    </row>
    <row r="16418" spans="20:22" ht="13.5" thickBot="1" x14ac:dyDescent="0.25">
      <c r="T16418" s="28">
        <v>22443018</v>
      </c>
      <c r="U16418" s="29" t="s">
        <v>800</v>
      </c>
      <c r="V16418" s="30">
        <v>1300000</v>
      </c>
    </row>
    <row r="16419" spans="20:22" ht="13.5" thickBot="1" x14ac:dyDescent="0.25">
      <c r="T16419" s="28">
        <v>22444001</v>
      </c>
      <c r="U16419" s="29" t="s">
        <v>1027</v>
      </c>
      <c r="V16419" s="30">
        <v>13000000</v>
      </c>
    </row>
    <row r="16420" spans="20:22" ht="24.75" thickBot="1" x14ac:dyDescent="0.25">
      <c r="T16420" s="28">
        <v>22444002</v>
      </c>
      <c r="U16420" s="29" t="s">
        <v>1028</v>
      </c>
      <c r="V16420" s="30">
        <v>14400000</v>
      </c>
    </row>
    <row r="16421" spans="20:22" ht="13.5" thickBot="1" x14ac:dyDescent="0.25">
      <c r="T16421" s="28">
        <v>22444003</v>
      </c>
      <c r="U16421" s="29" t="s">
        <v>1029</v>
      </c>
      <c r="V16421" s="30">
        <v>13900000</v>
      </c>
    </row>
    <row r="16422" spans="20:22" ht="13.5" thickBot="1" x14ac:dyDescent="0.25">
      <c r="T16422" s="28">
        <v>22444004</v>
      </c>
      <c r="U16422" s="29" t="s">
        <v>1030</v>
      </c>
      <c r="V16422" s="30">
        <v>15000000</v>
      </c>
    </row>
    <row r="16423" spans="20:22" ht="24.75" thickBot="1" x14ac:dyDescent="0.25">
      <c r="T16423" s="28">
        <v>22444005</v>
      </c>
      <c r="U16423" s="29" t="s">
        <v>1031</v>
      </c>
      <c r="V16423" s="30">
        <v>13200000</v>
      </c>
    </row>
    <row r="16424" spans="20:22" ht="13.5" thickBot="1" x14ac:dyDescent="0.25">
      <c r="T16424" s="28">
        <v>22444006</v>
      </c>
      <c r="U16424" s="29" t="s">
        <v>3578</v>
      </c>
      <c r="V16424" s="30">
        <v>15000000</v>
      </c>
    </row>
    <row r="16425" spans="20:22" ht="24.75" thickBot="1" x14ac:dyDescent="0.25">
      <c r="T16425" s="28">
        <v>22444007</v>
      </c>
      <c r="U16425" s="29" t="s">
        <v>1032</v>
      </c>
      <c r="V16425" s="30">
        <v>13900000</v>
      </c>
    </row>
    <row r="16426" spans="20:22" ht="24.75" thickBot="1" x14ac:dyDescent="0.25">
      <c r="T16426" s="28">
        <v>22444008</v>
      </c>
      <c r="U16426" s="29" t="s">
        <v>1033</v>
      </c>
      <c r="V16426" s="30">
        <v>13000000</v>
      </c>
    </row>
    <row r="16427" spans="20:22" ht="24.75" thickBot="1" x14ac:dyDescent="0.25">
      <c r="T16427" s="28">
        <v>22444009</v>
      </c>
      <c r="U16427" s="29" t="s">
        <v>3579</v>
      </c>
      <c r="V16427" s="30">
        <v>13200000</v>
      </c>
    </row>
    <row r="16428" spans="20:22" ht="13.5" thickBot="1" x14ac:dyDescent="0.25">
      <c r="T16428" s="28">
        <v>22444010</v>
      </c>
      <c r="U16428" s="29" t="s">
        <v>3580</v>
      </c>
      <c r="V16428" s="30">
        <v>13000000</v>
      </c>
    </row>
    <row r="16429" spans="20:22" ht="13.5" thickBot="1" x14ac:dyDescent="0.25">
      <c r="T16429" s="28">
        <v>22444011</v>
      </c>
      <c r="U16429" s="29" t="s">
        <v>3581</v>
      </c>
      <c r="V16429" s="30">
        <v>15000000</v>
      </c>
    </row>
    <row r="16430" spans="20:22" ht="24.75" thickBot="1" x14ac:dyDescent="0.25">
      <c r="T16430" s="28">
        <v>22444012</v>
      </c>
      <c r="U16430" s="29" t="s">
        <v>1034</v>
      </c>
      <c r="V16430" s="30">
        <v>13000000</v>
      </c>
    </row>
    <row r="16431" spans="20:22" ht="13.5" thickBot="1" x14ac:dyDescent="0.25">
      <c r="T16431" s="28">
        <v>22444013</v>
      </c>
      <c r="U16431" s="29" t="s">
        <v>1035</v>
      </c>
      <c r="V16431" s="30">
        <v>13600000</v>
      </c>
    </row>
    <row r="16432" spans="20:22" ht="13.5" thickBot="1" x14ac:dyDescent="0.25">
      <c r="T16432" s="28">
        <v>22444014</v>
      </c>
      <c r="U16432" s="29" t="s">
        <v>1036</v>
      </c>
      <c r="V16432" s="30">
        <v>13000000</v>
      </c>
    </row>
    <row r="16433" spans="20:22" ht="13.5" thickBot="1" x14ac:dyDescent="0.25">
      <c r="T16433" s="28">
        <v>22444015</v>
      </c>
      <c r="U16433" s="29" t="s">
        <v>1037</v>
      </c>
      <c r="V16433" s="30">
        <v>15000000</v>
      </c>
    </row>
    <row r="16434" spans="20:22" ht="13.5" thickBot="1" x14ac:dyDescent="0.25">
      <c r="T16434" s="28">
        <v>22444016</v>
      </c>
      <c r="U16434" s="29" t="s">
        <v>1038</v>
      </c>
      <c r="V16434" s="30">
        <v>13000000</v>
      </c>
    </row>
    <row r="16435" spans="20:22" ht="24.75" thickBot="1" x14ac:dyDescent="0.25">
      <c r="T16435" s="28">
        <v>22444017</v>
      </c>
      <c r="U16435" s="29" t="s">
        <v>3582</v>
      </c>
      <c r="V16435" s="30">
        <v>15000000</v>
      </c>
    </row>
    <row r="16436" spans="20:22" ht="13.5" thickBot="1" x14ac:dyDescent="0.25">
      <c r="T16436" s="28">
        <v>22444018</v>
      </c>
      <c r="U16436" s="29" t="s">
        <v>1039</v>
      </c>
      <c r="V16436" s="30">
        <v>13200000</v>
      </c>
    </row>
    <row r="16437" spans="20:22" ht="13.5" thickBot="1" x14ac:dyDescent="0.25">
      <c r="T16437" s="28">
        <v>22445001</v>
      </c>
      <c r="U16437" s="29" t="s">
        <v>3583</v>
      </c>
      <c r="V16437" s="30">
        <v>75700000</v>
      </c>
    </row>
    <row r="16438" spans="20:22" ht="13.5" thickBot="1" x14ac:dyDescent="0.25">
      <c r="T16438" s="28">
        <v>22445002</v>
      </c>
      <c r="U16438" s="29" t="s">
        <v>3584</v>
      </c>
      <c r="V16438" s="30">
        <v>87200000</v>
      </c>
    </row>
    <row r="16439" spans="20:22" ht="24.75" thickBot="1" x14ac:dyDescent="0.25">
      <c r="T16439" s="28">
        <v>22445003</v>
      </c>
      <c r="U16439" s="29" t="s">
        <v>3585</v>
      </c>
      <c r="V16439" s="30">
        <v>75700000</v>
      </c>
    </row>
    <row r="16440" spans="20:22" ht="24.75" thickBot="1" x14ac:dyDescent="0.25">
      <c r="T16440" s="28">
        <v>22445004</v>
      </c>
      <c r="U16440" s="29" t="s">
        <v>3586</v>
      </c>
      <c r="V16440" s="30">
        <v>75700000</v>
      </c>
    </row>
    <row r="16441" spans="20:22" ht="24.75" thickBot="1" x14ac:dyDescent="0.25">
      <c r="T16441" s="28">
        <v>22445005</v>
      </c>
      <c r="U16441" s="29" t="s">
        <v>3587</v>
      </c>
      <c r="V16441" s="30">
        <v>77100000</v>
      </c>
    </row>
    <row r="16442" spans="20:22" ht="13.5" thickBot="1" x14ac:dyDescent="0.25">
      <c r="T16442" s="28">
        <v>22445006</v>
      </c>
      <c r="U16442" s="29" t="s">
        <v>3588</v>
      </c>
      <c r="V16442" s="30">
        <v>75700000</v>
      </c>
    </row>
    <row r="16443" spans="20:22" ht="24.75" thickBot="1" x14ac:dyDescent="0.25">
      <c r="T16443" s="28">
        <v>22445007</v>
      </c>
      <c r="U16443" s="29" t="s">
        <v>3589</v>
      </c>
      <c r="V16443" s="30">
        <v>75700000</v>
      </c>
    </row>
    <row r="16444" spans="20:22" ht="24.75" thickBot="1" x14ac:dyDescent="0.25">
      <c r="T16444" s="28">
        <v>22445008</v>
      </c>
      <c r="U16444" s="29" t="s">
        <v>3590</v>
      </c>
      <c r="V16444" s="30">
        <v>87200000</v>
      </c>
    </row>
    <row r="16445" spans="20:22" ht="24.75" thickBot="1" x14ac:dyDescent="0.25">
      <c r="T16445" s="28">
        <v>22445009</v>
      </c>
      <c r="U16445" s="29" t="s">
        <v>3591</v>
      </c>
      <c r="V16445" s="30">
        <v>77100000</v>
      </c>
    </row>
    <row r="16446" spans="20:22" ht="13.5" thickBot="1" x14ac:dyDescent="0.25">
      <c r="T16446" s="28">
        <v>22445010</v>
      </c>
      <c r="U16446" s="29" t="s">
        <v>3592</v>
      </c>
      <c r="V16446" s="30">
        <v>77100000</v>
      </c>
    </row>
    <row r="16447" spans="20:22" ht="24.75" thickBot="1" x14ac:dyDescent="0.25">
      <c r="T16447" s="28">
        <v>22445011</v>
      </c>
      <c r="U16447" s="29" t="s">
        <v>3593</v>
      </c>
      <c r="V16447" s="30">
        <v>77100000</v>
      </c>
    </row>
    <row r="16448" spans="20:22" ht="24.75" thickBot="1" x14ac:dyDescent="0.25">
      <c r="T16448" s="28">
        <v>22445012</v>
      </c>
      <c r="U16448" s="29" t="s">
        <v>3594</v>
      </c>
      <c r="V16448" s="30">
        <v>81200000</v>
      </c>
    </row>
    <row r="16449" spans="20:22" ht="24.75" thickBot="1" x14ac:dyDescent="0.25">
      <c r="T16449" s="28">
        <v>22445013</v>
      </c>
      <c r="U16449" s="29" t="s">
        <v>3595</v>
      </c>
      <c r="V16449" s="30">
        <v>75700000</v>
      </c>
    </row>
    <row r="16450" spans="20:22" ht="24.75" thickBot="1" x14ac:dyDescent="0.25">
      <c r="T16450" s="28">
        <v>22445014</v>
      </c>
      <c r="U16450" s="29" t="s">
        <v>3596</v>
      </c>
      <c r="V16450" s="30">
        <v>81200000</v>
      </c>
    </row>
    <row r="16451" spans="20:22" ht="13.5" thickBot="1" x14ac:dyDescent="0.25">
      <c r="T16451" s="28">
        <v>22445015</v>
      </c>
      <c r="U16451" s="29" t="s">
        <v>3597</v>
      </c>
      <c r="V16451" s="30">
        <v>77100000</v>
      </c>
    </row>
    <row r="16452" spans="20:22" ht="13.5" thickBot="1" x14ac:dyDescent="0.25">
      <c r="T16452" s="28">
        <v>22445016</v>
      </c>
      <c r="U16452" s="29" t="s">
        <v>3598</v>
      </c>
      <c r="V16452" s="30">
        <v>75700000</v>
      </c>
    </row>
    <row r="16453" spans="20:22" ht="24.75" thickBot="1" x14ac:dyDescent="0.25">
      <c r="T16453" s="28">
        <v>22445017</v>
      </c>
      <c r="U16453" s="29" t="s">
        <v>3599</v>
      </c>
      <c r="V16453" s="30">
        <v>77100000</v>
      </c>
    </row>
    <row r="16454" spans="20:22" ht="13.5" thickBot="1" x14ac:dyDescent="0.25">
      <c r="T16454" s="28">
        <v>22445018</v>
      </c>
      <c r="U16454" s="29" t="s">
        <v>3600</v>
      </c>
      <c r="V16454" s="30">
        <v>75700000</v>
      </c>
    </row>
    <row r="16455" spans="20:22" ht="13.5" thickBot="1" x14ac:dyDescent="0.25">
      <c r="T16455" s="28">
        <v>22446001</v>
      </c>
      <c r="U16455" s="29" t="s">
        <v>3601</v>
      </c>
      <c r="V16455" s="30">
        <v>175300000</v>
      </c>
    </row>
    <row r="16456" spans="20:22" ht="13.5" thickBot="1" x14ac:dyDescent="0.25">
      <c r="T16456" s="28">
        <v>22446002</v>
      </c>
      <c r="U16456" s="29" t="s">
        <v>3602</v>
      </c>
      <c r="V16456" s="30">
        <v>188100000</v>
      </c>
    </row>
    <row r="16457" spans="20:22" ht="13.5" thickBot="1" x14ac:dyDescent="0.25">
      <c r="T16457" s="28">
        <v>22446003</v>
      </c>
      <c r="U16457" s="29" t="s">
        <v>3603</v>
      </c>
      <c r="V16457" s="30">
        <v>166300000</v>
      </c>
    </row>
    <row r="16458" spans="20:22" ht="13.5" thickBot="1" x14ac:dyDescent="0.25">
      <c r="T16458" s="28">
        <v>22446004</v>
      </c>
      <c r="U16458" s="29" t="s">
        <v>3604</v>
      </c>
      <c r="V16458" s="30">
        <v>163300000</v>
      </c>
    </row>
    <row r="16459" spans="20:22" ht="24.75" thickBot="1" x14ac:dyDescent="0.25">
      <c r="T16459" s="28">
        <v>22446005</v>
      </c>
      <c r="U16459" s="29" t="s">
        <v>3605</v>
      </c>
      <c r="V16459" s="30">
        <v>163300000</v>
      </c>
    </row>
    <row r="16460" spans="20:22" ht="24.75" thickBot="1" x14ac:dyDescent="0.25">
      <c r="T16460" s="28">
        <v>22446006</v>
      </c>
      <c r="U16460" s="29" t="s">
        <v>3606</v>
      </c>
      <c r="V16460" s="30">
        <v>166300000</v>
      </c>
    </row>
    <row r="16461" spans="20:22" ht="13.5" thickBot="1" x14ac:dyDescent="0.25">
      <c r="T16461" s="28">
        <v>22446007</v>
      </c>
      <c r="U16461" s="29" t="s">
        <v>3607</v>
      </c>
      <c r="V16461" s="30">
        <v>170400000</v>
      </c>
    </row>
    <row r="16462" spans="20:22" ht="13.5" thickBot="1" x14ac:dyDescent="0.25">
      <c r="T16462" s="28">
        <v>22446008</v>
      </c>
      <c r="U16462" s="29" t="s">
        <v>3608</v>
      </c>
      <c r="V16462" s="30">
        <v>166300000</v>
      </c>
    </row>
    <row r="16463" spans="20:22" ht="24.75" thickBot="1" x14ac:dyDescent="0.25">
      <c r="T16463" s="28">
        <v>22446009</v>
      </c>
      <c r="U16463" s="29" t="s">
        <v>3609</v>
      </c>
      <c r="V16463" s="30">
        <v>163300000</v>
      </c>
    </row>
    <row r="16464" spans="20:22" ht="13.5" thickBot="1" x14ac:dyDescent="0.25">
      <c r="T16464" s="28">
        <v>22446010</v>
      </c>
      <c r="U16464" s="29" t="s">
        <v>3610</v>
      </c>
      <c r="V16464" s="30">
        <v>188100000</v>
      </c>
    </row>
    <row r="16465" spans="20:22" ht="24.75" thickBot="1" x14ac:dyDescent="0.25">
      <c r="T16465" s="28">
        <v>22446011</v>
      </c>
      <c r="U16465" s="29" t="s">
        <v>3611</v>
      </c>
      <c r="V16465" s="30">
        <v>166300000</v>
      </c>
    </row>
    <row r="16466" spans="20:22" ht="13.5" thickBot="1" x14ac:dyDescent="0.25">
      <c r="T16466" s="28">
        <v>22446012</v>
      </c>
      <c r="U16466" s="29" t="s">
        <v>3612</v>
      </c>
      <c r="V16466" s="30">
        <v>175300000</v>
      </c>
    </row>
    <row r="16467" spans="20:22" ht="24.75" thickBot="1" x14ac:dyDescent="0.25">
      <c r="T16467" s="28">
        <v>22446013</v>
      </c>
      <c r="U16467" s="29" t="s">
        <v>3613</v>
      </c>
      <c r="V16467" s="30">
        <v>166300000</v>
      </c>
    </row>
    <row r="16468" spans="20:22" ht="24.75" thickBot="1" x14ac:dyDescent="0.25">
      <c r="T16468" s="28">
        <v>22446014</v>
      </c>
      <c r="U16468" s="29" t="s">
        <v>3614</v>
      </c>
      <c r="V16468" s="30">
        <v>166300000</v>
      </c>
    </row>
    <row r="16469" spans="20:22" ht="13.5" thickBot="1" x14ac:dyDescent="0.25">
      <c r="T16469" s="28">
        <v>22446015</v>
      </c>
      <c r="U16469" s="29" t="s">
        <v>3615</v>
      </c>
      <c r="V16469" s="30">
        <v>166300000</v>
      </c>
    </row>
    <row r="16470" spans="20:22" ht="24.75" thickBot="1" x14ac:dyDescent="0.25">
      <c r="T16470" s="28">
        <v>22446016</v>
      </c>
      <c r="U16470" s="29" t="s">
        <v>3616</v>
      </c>
      <c r="V16470" s="30">
        <v>166300000</v>
      </c>
    </row>
    <row r="16471" spans="20:22" ht="24.75" thickBot="1" x14ac:dyDescent="0.25">
      <c r="T16471" s="28">
        <v>22446017</v>
      </c>
      <c r="U16471" s="29" t="s">
        <v>3617</v>
      </c>
      <c r="V16471" s="30">
        <v>166300000</v>
      </c>
    </row>
    <row r="16472" spans="20:22" ht="13.5" thickBot="1" x14ac:dyDescent="0.25">
      <c r="T16472" s="28">
        <v>22446018</v>
      </c>
      <c r="U16472" s="29" t="s">
        <v>3618</v>
      </c>
      <c r="V16472" s="30">
        <v>181200000</v>
      </c>
    </row>
    <row r="16473" spans="20:22" ht="24.75" thickBot="1" x14ac:dyDescent="0.25">
      <c r="T16473" s="28">
        <v>22471001</v>
      </c>
      <c r="U16473" s="29" t="s">
        <v>3619</v>
      </c>
      <c r="V16473" s="30">
        <v>3000</v>
      </c>
    </row>
    <row r="16474" spans="20:22" ht="13.5" thickBot="1" x14ac:dyDescent="0.25">
      <c r="T16474" s="28">
        <v>22472001</v>
      </c>
      <c r="U16474" s="29" t="s">
        <v>3620</v>
      </c>
      <c r="V16474" s="30">
        <v>48000</v>
      </c>
    </row>
    <row r="16475" spans="20:22" ht="24.75" thickBot="1" x14ac:dyDescent="0.25">
      <c r="T16475" s="28">
        <v>22473001</v>
      </c>
      <c r="U16475" s="29" t="s">
        <v>3621</v>
      </c>
      <c r="V16475" s="30">
        <v>1300000</v>
      </c>
    </row>
    <row r="16476" spans="20:22" ht="24.75" thickBot="1" x14ac:dyDescent="0.25">
      <c r="T16476" s="28">
        <v>22473003</v>
      </c>
      <c r="U16476" s="29" t="s">
        <v>3622</v>
      </c>
      <c r="V16476" s="30">
        <v>1300000</v>
      </c>
    </row>
    <row r="16477" spans="20:22" ht="24.75" thickBot="1" x14ac:dyDescent="0.25">
      <c r="T16477" s="28">
        <v>22473005</v>
      </c>
      <c r="U16477" s="29" t="s">
        <v>3623</v>
      </c>
      <c r="V16477" s="30">
        <v>1300000</v>
      </c>
    </row>
    <row r="16478" spans="20:22" ht="13.5" thickBot="1" x14ac:dyDescent="0.25">
      <c r="T16478" s="28">
        <v>22474001</v>
      </c>
      <c r="U16478" s="29" t="s">
        <v>3624</v>
      </c>
      <c r="V16478" s="30">
        <v>13000000</v>
      </c>
    </row>
    <row r="16479" spans="20:22" ht="24.75" thickBot="1" x14ac:dyDescent="0.25">
      <c r="T16479" s="28">
        <v>22474003</v>
      </c>
      <c r="U16479" s="29" t="s">
        <v>3625</v>
      </c>
      <c r="V16479" s="30">
        <v>13000000</v>
      </c>
    </row>
    <row r="16480" spans="20:22" ht="13.5" thickBot="1" x14ac:dyDescent="0.25">
      <c r="T16480" s="28">
        <v>22475001</v>
      </c>
      <c r="U16480" s="29" t="s">
        <v>3626</v>
      </c>
      <c r="V16480" s="30">
        <v>75700000</v>
      </c>
    </row>
    <row r="16481" spans="20:22" ht="13.5" thickBot="1" x14ac:dyDescent="0.25">
      <c r="T16481" s="28">
        <v>22511001</v>
      </c>
      <c r="U16481" s="29" t="s">
        <v>3627</v>
      </c>
      <c r="V16481" s="30">
        <v>6000</v>
      </c>
    </row>
    <row r="16482" spans="20:22" ht="13.5" thickBot="1" x14ac:dyDescent="0.25">
      <c r="T16482" s="28">
        <v>22511003</v>
      </c>
      <c r="U16482" s="29" t="s">
        <v>475</v>
      </c>
      <c r="V16482" s="30">
        <v>6000</v>
      </c>
    </row>
    <row r="16483" spans="20:22" ht="13.5" thickBot="1" x14ac:dyDescent="0.25">
      <c r="T16483" s="28">
        <v>22511004</v>
      </c>
      <c r="U16483" s="29" t="s">
        <v>476</v>
      </c>
      <c r="V16483" s="30">
        <v>6000</v>
      </c>
    </row>
    <row r="16484" spans="20:22" ht="13.5" thickBot="1" x14ac:dyDescent="0.25">
      <c r="T16484" s="28">
        <v>22511007</v>
      </c>
      <c r="U16484" s="29" t="s">
        <v>3628</v>
      </c>
      <c r="V16484" s="30">
        <v>6200</v>
      </c>
    </row>
    <row r="16485" spans="20:22" ht="13.5" thickBot="1" x14ac:dyDescent="0.25">
      <c r="T16485" s="28">
        <v>22511009</v>
      </c>
      <c r="U16485" s="29" t="s">
        <v>3629</v>
      </c>
      <c r="V16485" s="30">
        <v>6300</v>
      </c>
    </row>
    <row r="16486" spans="20:22" ht="13.5" thickBot="1" x14ac:dyDescent="0.25">
      <c r="T16486" s="28">
        <v>22511011</v>
      </c>
      <c r="U16486" s="29" t="s">
        <v>3630</v>
      </c>
      <c r="V16486" s="30">
        <v>6300</v>
      </c>
    </row>
    <row r="16487" spans="20:22" ht="13.5" thickBot="1" x14ac:dyDescent="0.25">
      <c r="T16487" s="28">
        <v>22511013</v>
      </c>
      <c r="U16487" s="29" t="s">
        <v>3631</v>
      </c>
      <c r="V16487" s="30">
        <v>6300</v>
      </c>
    </row>
    <row r="16488" spans="20:22" ht="13.5" thickBot="1" x14ac:dyDescent="0.25">
      <c r="T16488" s="28">
        <v>22511015</v>
      </c>
      <c r="U16488" s="29" t="s">
        <v>3632</v>
      </c>
      <c r="V16488" s="30">
        <v>6200</v>
      </c>
    </row>
    <row r="16489" spans="20:22" ht="13.5" thickBot="1" x14ac:dyDescent="0.25">
      <c r="T16489" s="28">
        <v>22511017</v>
      </c>
      <c r="U16489" s="29" t="s">
        <v>3633</v>
      </c>
      <c r="V16489" s="30">
        <v>6200</v>
      </c>
    </row>
    <row r="16490" spans="20:22" ht="24.75" thickBot="1" x14ac:dyDescent="0.25">
      <c r="T16490" s="28">
        <v>22511019</v>
      </c>
      <c r="U16490" s="29" t="s">
        <v>3634</v>
      </c>
      <c r="V16490" s="30">
        <v>6000</v>
      </c>
    </row>
    <row r="16491" spans="20:22" ht="13.5" thickBot="1" x14ac:dyDescent="0.25">
      <c r="T16491" s="28">
        <v>22511021</v>
      </c>
      <c r="U16491" s="29" t="s">
        <v>3635</v>
      </c>
      <c r="V16491" s="30">
        <v>6200</v>
      </c>
    </row>
    <row r="16492" spans="20:22" ht="13.5" thickBot="1" x14ac:dyDescent="0.25">
      <c r="T16492" s="28">
        <v>22512001</v>
      </c>
      <c r="U16492" s="29" t="s">
        <v>530</v>
      </c>
      <c r="V16492" s="30">
        <v>96000</v>
      </c>
    </row>
    <row r="16493" spans="20:22" ht="13.5" thickBot="1" x14ac:dyDescent="0.25">
      <c r="T16493" s="28">
        <v>22512003</v>
      </c>
      <c r="U16493" s="29" t="s">
        <v>3636</v>
      </c>
      <c r="V16493" s="30">
        <v>96000</v>
      </c>
    </row>
    <row r="16494" spans="20:22" ht="13.5" thickBot="1" x14ac:dyDescent="0.25">
      <c r="T16494" s="28">
        <v>22512005</v>
      </c>
      <c r="U16494" s="29" t="s">
        <v>3637</v>
      </c>
      <c r="V16494" s="30">
        <v>96000</v>
      </c>
    </row>
    <row r="16495" spans="20:22" ht="13.5" thickBot="1" x14ac:dyDescent="0.25">
      <c r="T16495" s="28">
        <v>22512007</v>
      </c>
      <c r="U16495" s="29" t="s">
        <v>3638</v>
      </c>
      <c r="V16495" s="30">
        <v>97800</v>
      </c>
    </row>
    <row r="16496" spans="20:22" ht="13.5" thickBot="1" x14ac:dyDescent="0.25">
      <c r="T16496" s="28">
        <v>22512009</v>
      </c>
      <c r="U16496" s="29" t="s">
        <v>3639</v>
      </c>
      <c r="V16496" s="30">
        <v>101000</v>
      </c>
    </row>
    <row r="16497" spans="20:22" ht="13.5" thickBot="1" x14ac:dyDescent="0.25">
      <c r="T16497" s="28">
        <v>22512011</v>
      </c>
      <c r="U16497" s="29" t="s">
        <v>3640</v>
      </c>
      <c r="V16497" s="30">
        <v>101000</v>
      </c>
    </row>
    <row r="16498" spans="20:22" ht="13.5" thickBot="1" x14ac:dyDescent="0.25">
      <c r="T16498" s="28">
        <v>22512013</v>
      </c>
      <c r="U16498" s="29" t="s">
        <v>3641</v>
      </c>
      <c r="V16498" s="30">
        <v>101000</v>
      </c>
    </row>
    <row r="16499" spans="20:22" ht="13.5" thickBot="1" x14ac:dyDescent="0.25">
      <c r="T16499" s="28">
        <v>22512015</v>
      </c>
      <c r="U16499" s="29" t="s">
        <v>3642</v>
      </c>
      <c r="V16499" s="30">
        <v>97800</v>
      </c>
    </row>
    <row r="16500" spans="20:22" ht="13.5" thickBot="1" x14ac:dyDescent="0.25">
      <c r="T16500" s="28">
        <v>22512017</v>
      </c>
      <c r="U16500" s="29" t="s">
        <v>3643</v>
      </c>
      <c r="V16500" s="30">
        <v>97800</v>
      </c>
    </row>
    <row r="16501" spans="20:22" ht="13.5" thickBot="1" x14ac:dyDescent="0.25">
      <c r="T16501" s="28">
        <v>22512019</v>
      </c>
      <c r="U16501" s="29" t="s">
        <v>3644</v>
      </c>
      <c r="V16501" s="30">
        <v>96000</v>
      </c>
    </row>
    <row r="16502" spans="20:22" ht="24.75" thickBot="1" x14ac:dyDescent="0.25">
      <c r="T16502" s="28">
        <v>22512021</v>
      </c>
      <c r="U16502" s="29" t="s">
        <v>3645</v>
      </c>
      <c r="V16502" s="30">
        <v>97800</v>
      </c>
    </row>
    <row r="16503" spans="20:22" ht="24.75" thickBot="1" x14ac:dyDescent="0.25">
      <c r="T16503" s="28">
        <v>22513001</v>
      </c>
      <c r="U16503" s="29" t="s">
        <v>3646</v>
      </c>
      <c r="V16503" s="30">
        <v>2600000</v>
      </c>
    </row>
    <row r="16504" spans="20:22" ht="13.5" thickBot="1" x14ac:dyDescent="0.25">
      <c r="T16504" s="28">
        <v>22513003</v>
      </c>
      <c r="U16504" s="29" t="s">
        <v>584</v>
      </c>
      <c r="V16504" s="30">
        <v>2800000</v>
      </c>
    </row>
    <row r="16505" spans="20:22" ht="24.75" thickBot="1" x14ac:dyDescent="0.25">
      <c r="T16505" s="28">
        <v>22513005</v>
      </c>
      <c r="U16505" s="29" t="s">
        <v>585</v>
      </c>
      <c r="V16505" s="30">
        <v>2600000</v>
      </c>
    </row>
    <row r="16506" spans="20:22" ht="24.75" thickBot="1" x14ac:dyDescent="0.25">
      <c r="T16506" s="28">
        <v>22513007</v>
      </c>
      <c r="U16506" s="29" t="s">
        <v>3647</v>
      </c>
      <c r="V16506" s="30">
        <v>2700000</v>
      </c>
    </row>
    <row r="16507" spans="20:22" ht="13.5" thickBot="1" x14ac:dyDescent="0.25">
      <c r="T16507" s="28">
        <v>22513009</v>
      </c>
      <c r="U16507" s="29" t="s">
        <v>3648</v>
      </c>
      <c r="V16507" s="30">
        <v>2800000</v>
      </c>
    </row>
    <row r="16508" spans="20:22" ht="13.5" thickBot="1" x14ac:dyDescent="0.25">
      <c r="T16508" s="28">
        <v>22513011</v>
      </c>
      <c r="U16508" s="29" t="s">
        <v>3649</v>
      </c>
      <c r="V16508" s="30">
        <v>2800000</v>
      </c>
    </row>
    <row r="16509" spans="20:22" ht="13.5" thickBot="1" x14ac:dyDescent="0.25">
      <c r="T16509" s="28">
        <v>22513013</v>
      </c>
      <c r="U16509" s="29" t="s">
        <v>3650</v>
      </c>
      <c r="V16509" s="30">
        <v>2800000</v>
      </c>
    </row>
    <row r="16510" spans="20:22" ht="13.5" thickBot="1" x14ac:dyDescent="0.25">
      <c r="T16510" s="28">
        <v>22513015</v>
      </c>
      <c r="U16510" s="29" t="s">
        <v>3651</v>
      </c>
      <c r="V16510" s="30">
        <v>2700000</v>
      </c>
    </row>
    <row r="16511" spans="20:22" ht="13.5" thickBot="1" x14ac:dyDescent="0.25">
      <c r="T16511" s="28">
        <v>22513017</v>
      </c>
      <c r="U16511" s="29" t="s">
        <v>3652</v>
      </c>
      <c r="V16511" s="30">
        <v>2700000</v>
      </c>
    </row>
    <row r="16512" spans="20:22" ht="13.5" thickBot="1" x14ac:dyDescent="0.25">
      <c r="T16512" s="28">
        <v>22513019</v>
      </c>
      <c r="U16512" s="29" t="s">
        <v>3653</v>
      </c>
      <c r="V16512" s="30">
        <v>2600000</v>
      </c>
    </row>
    <row r="16513" spans="20:22" ht="13.5" thickBot="1" x14ac:dyDescent="0.25">
      <c r="T16513" s="28">
        <v>22513021</v>
      </c>
      <c r="U16513" s="29" t="s">
        <v>3654</v>
      </c>
      <c r="V16513" s="30">
        <v>2700000</v>
      </c>
    </row>
    <row r="16514" spans="20:22" ht="24.75" thickBot="1" x14ac:dyDescent="0.25">
      <c r="T16514" s="28">
        <v>22514001</v>
      </c>
      <c r="U16514" s="29" t="s">
        <v>3655</v>
      </c>
      <c r="V16514" s="30">
        <v>27800000</v>
      </c>
    </row>
    <row r="16515" spans="20:22" ht="24.75" thickBot="1" x14ac:dyDescent="0.25">
      <c r="T16515" s="28">
        <v>22514003</v>
      </c>
      <c r="U16515" s="29" t="s">
        <v>3656</v>
      </c>
      <c r="V16515" s="30">
        <v>26400000</v>
      </c>
    </row>
    <row r="16516" spans="20:22" ht="13.5" thickBot="1" x14ac:dyDescent="0.25">
      <c r="T16516" s="28">
        <v>22514005</v>
      </c>
      <c r="U16516" s="29" t="s">
        <v>3657</v>
      </c>
      <c r="V16516" s="30">
        <v>26400000</v>
      </c>
    </row>
    <row r="16517" spans="20:22" ht="13.5" thickBot="1" x14ac:dyDescent="0.25">
      <c r="T16517" s="28">
        <v>22514007</v>
      </c>
      <c r="U16517" s="29" t="s">
        <v>801</v>
      </c>
      <c r="V16517" s="30">
        <v>26400000</v>
      </c>
    </row>
    <row r="16518" spans="20:22" ht="24.75" thickBot="1" x14ac:dyDescent="0.25">
      <c r="T16518" s="28">
        <v>22514009</v>
      </c>
      <c r="U16518" s="29" t="s">
        <v>802</v>
      </c>
      <c r="V16518" s="30">
        <v>26400000</v>
      </c>
    </row>
    <row r="16519" spans="20:22" ht="24.75" thickBot="1" x14ac:dyDescent="0.25">
      <c r="T16519" s="28">
        <v>22514011</v>
      </c>
      <c r="U16519" s="29" t="s">
        <v>803</v>
      </c>
      <c r="V16519" s="30">
        <v>25900000</v>
      </c>
    </row>
    <row r="16520" spans="20:22" ht="13.5" thickBot="1" x14ac:dyDescent="0.25">
      <c r="T16520" s="28">
        <v>22514013</v>
      </c>
      <c r="U16520" s="29" t="s">
        <v>804</v>
      </c>
      <c r="V16520" s="30">
        <v>25900000</v>
      </c>
    </row>
    <row r="16521" spans="20:22" ht="13.5" thickBot="1" x14ac:dyDescent="0.25">
      <c r="T16521" s="28">
        <v>22519024</v>
      </c>
      <c r="U16521" s="29" t="s">
        <v>3658</v>
      </c>
      <c r="V16521" s="30">
        <v>28800000</v>
      </c>
    </row>
    <row r="16522" spans="20:22" ht="13.5" thickBot="1" x14ac:dyDescent="0.25">
      <c r="T16522" s="28">
        <v>22611001</v>
      </c>
      <c r="U16522" s="29" t="s">
        <v>3659</v>
      </c>
      <c r="V16522" s="30">
        <v>6000</v>
      </c>
    </row>
    <row r="16523" spans="20:22" ht="13.5" thickBot="1" x14ac:dyDescent="0.25">
      <c r="T16523" s="28">
        <v>22611002</v>
      </c>
      <c r="U16523" s="29" t="s">
        <v>3660</v>
      </c>
      <c r="V16523" s="30">
        <v>6000</v>
      </c>
    </row>
    <row r="16524" spans="20:22" ht="13.5" thickBot="1" x14ac:dyDescent="0.25">
      <c r="T16524" s="28">
        <v>22611003</v>
      </c>
      <c r="U16524" s="29" t="s">
        <v>3661</v>
      </c>
      <c r="V16524" s="30">
        <v>6000</v>
      </c>
    </row>
    <row r="16525" spans="20:22" ht="13.5" thickBot="1" x14ac:dyDescent="0.25">
      <c r="T16525" s="28">
        <v>22611004</v>
      </c>
      <c r="U16525" s="29" t="s">
        <v>3662</v>
      </c>
      <c r="V16525" s="30">
        <v>6200</v>
      </c>
    </row>
    <row r="16526" spans="20:22" ht="24.75" thickBot="1" x14ac:dyDescent="0.25">
      <c r="T16526" s="28">
        <v>22611005</v>
      </c>
      <c r="U16526" s="29" t="s">
        <v>3663</v>
      </c>
      <c r="V16526" s="30">
        <v>6000</v>
      </c>
    </row>
    <row r="16527" spans="20:22" ht="13.5" thickBot="1" x14ac:dyDescent="0.25">
      <c r="T16527" s="28">
        <v>22611006</v>
      </c>
      <c r="U16527" s="29" t="s">
        <v>3664</v>
      </c>
      <c r="V16527" s="30">
        <v>6200</v>
      </c>
    </row>
    <row r="16528" spans="20:22" ht="13.5" thickBot="1" x14ac:dyDescent="0.25">
      <c r="T16528" s="28">
        <v>22611007</v>
      </c>
      <c r="U16528" s="29" t="s">
        <v>497</v>
      </c>
      <c r="V16528" s="30">
        <v>6300</v>
      </c>
    </row>
    <row r="16529" spans="20:22" ht="13.5" thickBot="1" x14ac:dyDescent="0.25">
      <c r="T16529" s="28">
        <v>22611008</v>
      </c>
      <c r="U16529" s="29" t="s">
        <v>498</v>
      </c>
      <c r="V16529" s="30">
        <v>6200</v>
      </c>
    </row>
    <row r="16530" spans="20:22" ht="13.5" thickBot="1" x14ac:dyDescent="0.25">
      <c r="T16530" s="28">
        <v>22611009</v>
      </c>
      <c r="U16530" s="29" t="s">
        <v>499</v>
      </c>
      <c r="V16530" s="30">
        <v>6200</v>
      </c>
    </row>
    <row r="16531" spans="20:22" ht="13.5" thickBot="1" x14ac:dyDescent="0.25">
      <c r="T16531" s="28">
        <v>22611010</v>
      </c>
      <c r="U16531" s="29" t="s">
        <v>500</v>
      </c>
      <c r="V16531" s="30">
        <v>6000</v>
      </c>
    </row>
    <row r="16532" spans="20:22" ht="13.5" thickBot="1" x14ac:dyDescent="0.25">
      <c r="T16532" s="28">
        <v>22611011</v>
      </c>
      <c r="U16532" s="29" t="s">
        <v>501</v>
      </c>
      <c r="V16532" s="30">
        <v>6000</v>
      </c>
    </row>
    <row r="16533" spans="20:22" ht="13.5" thickBot="1" x14ac:dyDescent="0.25">
      <c r="T16533" s="28">
        <v>22611012</v>
      </c>
      <c r="U16533" s="29" t="s">
        <v>502</v>
      </c>
      <c r="V16533" s="30">
        <v>6000</v>
      </c>
    </row>
    <row r="16534" spans="20:22" ht="13.5" thickBot="1" x14ac:dyDescent="0.25">
      <c r="T16534" s="28">
        <v>22611013</v>
      </c>
      <c r="U16534" s="29" t="s">
        <v>503</v>
      </c>
      <c r="V16534" s="30">
        <v>6300</v>
      </c>
    </row>
    <row r="16535" spans="20:22" ht="13.5" thickBot="1" x14ac:dyDescent="0.25">
      <c r="T16535" s="28">
        <v>22612001</v>
      </c>
      <c r="U16535" s="29" t="s">
        <v>3665</v>
      </c>
      <c r="V16535" s="30">
        <v>96000</v>
      </c>
    </row>
    <row r="16536" spans="20:22" ht="13.5" thickBot="1" x14ac:dyDescent="0.25">
      <c r="T16536" s="28">
        <v>22612002</v>
      </c>
      <c r="U16536" s="29" t="s">
        <v>3666</v>
      </c>
      <c r="V16536" s="30">
        <v>96000</v>
      </c>
    </row>
    <row r="16537" spans="20:22" ht="24.75" thickBot="1" x14ac:dyDescent="0.25">
      <c r="T16537" s="28">
        <v>22612003</v>
      </c>
      <c r="U16537" s="29" t="s">
        <v>3667</v>
      </c>
      <c r="V16537" s="30">
        <v>97800</v>
      </c>
    </row>
    <row r="16538" spans="20:22" ht="13.5" thickBot="1" x14ac:dyDescent="0.25">
      <c r="T16538" s="28">
        <v>22612004</v>
      </c>
      <c r="U16538" s="29" t="s">
        <v>3668</v>
      </c>
      <c r="V16538" s="30">
        <v>97800</v>
      </c>
    </row>
    <row r="16539" spans="20:22" ht="13.5" thickBot="1" x14ac:dyDescent="0.25">
      <c r="T16539" s="28">
        <v>22612005</v>
      </c>
      <c r="U16539" s="29" t="s">
        <v>3669</v>
      </c>
      <c r="V16539" s="30">
        <v>101000</v>
      </c>
    </row>
    <row r="16540" spans="20:22" ht="24.75" thickBot="1" x14ac:dyDescent="0.25">
      <c r="T16540" s="28">
        <v>22612006</v>
      </c>
      <c r="U16540" s="29" t="s">
        <v>3670</v>
      </c>
      <c r="V16540" s="30">
        <v>97800</v>
      </c>
    </row>
    <row r="16541" spans="20:22" ht="13.5" thickBot="1" x14ac:dyDescent="0.25">
      <c r="T16541" s="28">
        <v>22612007</v>
      </c>
      <c r="U16541" s="29" t="s">
        <v>3671</v>
      </c>
      <c r="V16541" s="30">
        <v>96000</v>
      </c>
    </row>
    <row r="16542" spans="20:22" ht="13.5" thickBot="1" x14ac:dyDescent="0.25">
      <c r="T16542" s="28">
        <v>22612008</v>
      </c>
      <c r="U16542" s="29" t="s">
        <v>3672</v>
      </c>
      <c r="V16542" s="30">
        <v>96000</v>
      </c>
    </row>
    <row r="16543" spans="20:22" ht="13.5" thickBot="1" x14ac:dyDescent="0.25">
      <c r="T16543" s="28">
        <v>22612009</v>
      </c>
      <c r="U16543" s="29" t="s">
        <v>3673</v>
      </c>
      <c r="V16543" s="30">
        <v>101000</v>
      </c>
    </row>
    <row r="16544" spans="20:22" ht="13.5" thickBot="1" x14ac:dyDescent="0.25">
      <c r="T16544" s="28">
        <v>22612010</v>
      </c>
      <c r="U16544" s="29" t="s">
        <v>3674</v>
      </c>
      <c r="V16544" s="30">
        <v>96000</v>
      </c>
    </row>
    <row r="16545" spans="20:22" ht="13.5" thickBot="1" x14ac:dyDescent="0.25">
      <c r="T16545" s="28">
        <v>22612011</v>
      </c>
      <c r="U16545" s="29" t="s">
        <v>3675</v>
      </c>
      <c r="V16545" s="30">
        <v>96000</v>
      </c>
    </row>
    <row r="16546" spans="20:22" ht="13.5" thickBot="1" x14ac:dyDescent="0.25">
      <c r="T16546" s="28">
        <v>22612012</v>
      </c>
      <c r="U16546" s="29" t="s">
        <v>3676</v>
      </c>
      <c r="V16546" s="30">
        <v>96000</v>
      </c>
    </row>
    <row r="16547" spans="20:22" ht="24.75" thickBot="1" x14ac:dyDescent="0.25">
      <c r="T16547" s="28">
        <v>22612013</v>
      </c>
      <c r="U16547" s="29" t="s">
        <v>3677</v>
      </c>
      <c r="V16547" s="30">
        <v>97800</v>
      </c>
    </row>
    <row r="16548" spans="20:22" ht="13.5" thickBot="1" x14ac:dyDescent="0.25">
      <c r="T16548" s="28">
        <v>22612014</v>
      </c>
      <c r="U16548" s="29" t="s">
        <v>558</v>
      </c>
      <c r="V16548" s="30">
        <v>96000</v>
      </c>
    </row>
    <row r="16549" spans="20:22" ht="13.5" thickBot="1" x14ac:dyDescent="0.25">
      <c r="T16549" s="28">
        <v>22612015</v>
      </c>
      <c r="U16549" s="29" t="s">
        <v>559</v>
      </c>
      <c r="V16549" s="30">
        <v>96000</v>
      </c>
    </row>
    <row r="16550" spans="20:22" ht="13.5" thickBot="1" x14ac:dyDescent="0.25">
      <c r="T16550" s="28">
        <v>22612016</v>
      </c>
      <c r="U16550" s="29" t="s">
        <v>560</v>
      </c>
      <c r="V16550" s="30">
        <v>96000</v>
      </c>
    </row>
    <row r="16551" spans="20:22" ht="13.5" thickBot="1" x14ac:dyDescent="0.25">
      <c r="T16551" s="28">
        <v>22612017</v>
      </c>
      <c r="U16551" s="29" t="s">
        <v>561</v>
      </c>
      <c r="V16551" s="30">
        <v>96000</v>
      </c>
    </row>
    <row r="16552" spans="20:22" ht="13.5" thickBot="1" x14ac:dyDescent="0.25">
      <c r="T16552" s="28">
        <v>22612018</v>
      </c>
      <c r="U16552" s="29" t="s">
        <v>562</v>
      </c>
      <c r="V16552" s="30">
        <v>96000</v>
      </c>
    </row>
    <row r="16553" spans="20:22" ht="13.5" thickBot="1" x14ac:dyDescent="0.25">
      <c r="T16553" s="28">
        <v>22612019</v>
      </c>
      <c r="U16553" s="29" t="s">
        <v>563</v>
      </c>
      <c r="V16553" s="30">
        <v>96000</v>
      </c>
    </row>
    <row r="16554" spans="20:22" ht="13.5" thickBot="1" x14ac:dyDescent="0.25">
      <c r="T16554" s="28">
        <v>22612020</v>
      </c>
      <c r="U16554" s="29" t="s">
        <v>564</v>
      </c>
      <c r="V16554" s="30">
        <v>96000</v>
      </c>
    </row>
    <row r="16555" spans="20:22" ht="13.5" thickBot="1" x14ac:dyDescent="0.25">
      <c r="T16555" s="28">
        <v>22612021</v>
      </c>
      <c r="U16555" s="29" t="s">
        <v>565</v>
      </c>
      <c r="V16555" s="30">
        <v>96000</v>
      </c>
    </row>
    <row r="16556" spans="20:22" ht="13.5" thickBot="1" x14ac:dyDescent="0.25">
      <c r="T16556" s="28">
        <v>22612022</v>
      </c>
      <c r="U16556" s="29" t="s">
        <v>566</v>
      </c>
      <c r="V16556" s="30">
        <v>96000</v>
      </c>
    </row>
    <row r="16557" spans="20:22" ht="13.5" thickBot="1" x14ac:dyDescent="0.25">
      <c r="T16557" s="28">
        <v>22612023</v>
      </c>
      <c r="U16557" s="29" t="s">
        <v>567</v>
      </c>
      <c r="V16557" s="30">
        <v>96000</v>
      </c>
    </row>
    <row r="16558" spans="20:22" ht="13.5" thickBot="1" x14ac:dyDescent="0.25">
      <c r="T16558" s="28">
        <v>22612024</v>
      </c>
      <c r="U16558" s="29" t="s">
        <v>568</v>
      </c>
      <c r="V16558" s="30">
        <v>96000</v>
      </c>
    </row>
    <row r="16559" spans="20:22" ht="24.75" thickBot="1" x14ac:dyDescent="0.25">
      <c r="T16559" s="28">
        <v>22612025</v>
      </c>
      <c r="U16559" s="29" t="s">
        <v>569</v>
      </c>
      <c r="V16559" s="30">
        <v>96000</v>
      </c>
    </row>
    <row r="16560" spans="20:22" ht="24.75" thickBot="1" x14ac:dyDescent="0.25">
      <c r="T16560" s="28">
        <v>22612026</v>
      </c>
      <c r="U16560" s="29" t="s">
        <v>570</v>
      </c>
      <c r="V16560" s="30">
        <v>96000</v>
      </c>
    </row>
    <row r="16561" spans="20:22" ht="13.5" thickBot="1" x14ac:dyDescent="0.25">
      <c r="T16561" s="28">
        <v>22612027</v>
      </c>
      <c r="U16561" s="29" t="s">
        <v>571</v>
      </c>
      <c r="V16561" s="30">
        <v>96000</v>
      </c>
    </row>
    <row r="16562" spans="20:22" ht="13.5" thickBot="1" x14ac:dyDescent="0.25">
      <c r="T16562" s="28">
        <v>22613001</v>
      </c>
      <c r="U16562" s="29" t="s">
        <v>3678</v>
      </c>
      <c r="V16562" s="30">
        <v>2800000</v>
      </c>
    </row>
    <row r="16563" spans="20:22" ht="13.5" thickBot="1" x14ac:dyDescent="0.25">
      <c r="T16563" s="28">
        <v>22613002</v>
      </c>
      <c r="U16563" s="29" t="s">
        <v>3679</v>
      </c>
      <c r="V16563" s="30">
        <v>2600000</v>
      </c>
    </row>
    <row r="16564" spans="20:22" ht="13.5" thickBot="1" x14ac:dyDescent="0.25">
      <c r="T16564" s="28">
        <v>22613003</v>
      </c>
      <c r="U16564" s="29" t="s">
        <v>3680</v>
      </c>
      <c r="V16564" s="30">
        <v>2600000</v>
      </c>
    </row>
    <row r="16565" spans="20:22" ht="13.5" thickBot="1" x14ac:dyDescent="0.25">
      <c r="T16565" s="28">
        <v>22613004</v>
      </c>
      <c r="U16565" s="29" t="s">
        <v>3681</v>
      </c>
      <c r="V16565" s="30">
        <v>2600000</v>
      </c>
    </row>
    <row r="16566" spans="20:22" ht="13.5" thickBot="1" x14ac:dyDescent="0.25">
      <c r="T16566" s="28">
        <v>22613005</v>
      </c>
      <c r="U16566" s="29" t="s">
        <v>3682</v>
      </c>
      <c r="V16566" s="30">
        <v>2600000</v>
      </c>
    </row>
    <row r="16567" spans="20:22" ht="13.5" thickBot="1" x14ac:dyDescent="0.25">
      <c r="T16567" s="28">
        <v>22613006</v>
      </c>
      <c r="U16567" s="29" t="s">
        <v>3683</v>
      </c>
      <c r="V16567" s="30">
        <v>2600000</v>
      </c>
    </row>
    <row r="16568" spans="20:22" ht="24.75" thickBot="1" x14ac:dyDescent="0.25">
      <c r="T16568" s="28">
        <v>22613007</v>
      </c>
      <c r="U16568" s="29" t="s">
        <v>3684</v>
      </c>
      <c r="V16568" s="30">
        <v>2600000</v>
      </c>
    </row>
    <row r="16569" spans="20:22" ht="13.5" thickBot="1" x14ac:dyDescent="0.25">
      <c r="T16569" s="28">
        <v>22613008</v>
      </c>
      <c r="U16569" s="29" t="s">
        <v>3685</v>
      </c>
      <c r="V16569" s="30">
        <v>2700000</v>
      </c>
    </row>
    <row r="16570" spans="20:22" ht="13.5" thickBot="1" x14ac:dyDescent="0.25">
      <c r="T16570" s="28">
        <v>22613009</v>
      </c>
      <c r="U16570" s="29" t="s">
        <v>3686</v>
      </c>
      <c r="V16570" s="30">
        <v>2800000</v>
      </c>
    </row>
    <row r="16571" spans="20:22" ht="13.5" thickBot="1" x14ac:dyDescent="0.25">
      <c r="T16571" s="28">
        <v>22613010</v>
      </c>
      <c r="U16571" s="29" t="s">
        <v>3687</v>
      </c>
      <c r="V16571" s="30">
        <v>2600000</v>
      </c>
    </row>
    <row r="16572" spans="20:22" ht="24.75" thickBot="1" x14ac:dyDescent="0.25">
      <c r="T16572" s="28">
        <v>22613011</v>
      </c>
      <c r="U16572" s="29" t="s">
        <v>3688</v>
      </c>
      <c r="V16572" s="30">
        <v>2700000</v>
      </c>
    </row>
    <row r="16573" spans="20:22" ht="13.5" thickBot="1" x14ac:dyDescent="0.25">
      <c r="T16573" s="28">
        <v>22613012</v>
      </c>
      <c r="U16573" s="29" t="s">
        <v>3689</v>
      </c>
      <c r="V16573" s="30">
        <v>2600000</v>
      </c>
    </row>
    <row r="16574" spans="20:22" ht="13.5" thickBot="1" x14ac:dyDescent="0.25">
      <c r="T16574" s="28">
        <v>22613013</v>
      </c>
      <c r="U16574" s="29" t="s">
        <v>3690</v>
      </c>
      <c r="V16574" s="30">
        <v>2700000</v>
      </c>
    </row>
    <row r="16575" spans="20:22" ht="13.5" thickBot="1" x14ac:dyDescent="0.25">
      <c r="T16575" s="28">
        <v>22613014</v>
      </c>
      <c r="U16575" s="29" t="s">
        <v>3691</v>
      </c>
      <c r="V16575" s="30">
        <v>2700000</v>
      </c>
    </row>
    <row r="16576" spans="20:22" ht="13.5" thickBot="1" x14ac:dyDescent="0.25">
      <c r="T16576" s="28">
        <v>22613015</v>
      </c>
      <c r="U16576" s="29" t="s">
        <v>3692</v>
      </c>
      <c r="V16576" s="30">
        <v>2800000</v>
      </c>
    </row>
    <row r="16577" spans="20:22" ht="13.5" thickBot="1" x14ac:dyDescent="0.25">
      <c r="T16577" s="28">
        <v>22613016</v>
      </c>
      <c r="U16577" s="29" t="s">
        <v>3693</v>
      </c>
      <c r="V16577" s="30">
        <v>2600000</v>
      </c>
    </row>
    <row r="16578" spans="20:22" ht="13.5" thickBot="1" x14ac:dyDescent="0.25">
      <c r="T16578" s="28">
        <v>22613017</v>
      </c>
      <c r="U16578" s="29" t="s">
        <v>3694</v>
      </c>
      <c r="V16578" s="30">
        <v>2700000</v>
      </c>
    </row>
    <row r="16579" spans="20:22" ht="13.5" thickBot="1" x14ac:dyDescent="0.25">
      <c r="T16579" s="28">
        <v>22613018</v>
      </c>
      <c r="U16579" s="29" t="s">
        <v>764</v>
      </c>
      <c r="V16579" s="30">
        <v>2700000</v>
      </c>
    </row>
    <row r="16580" spans="20:22" ht="13.5" thickBot="1" x14ac:dyDescent="0.25">
      <c r="T16580" s="28">
        <v>22613019</v>
      </c>
      <c r="U16580" s="29" t="s">
        <v>765</v>
      </c>
      <c r="V16580" s="30">
        <v>2600000</v>
      </c>
    </row>
    <row r="16581" spans="20:22" ht="13.5" thickBot="1" x14ac:dyDescent="0.25">
      <c r="T16581" s="28">
        <v>22613020</v>
      </c>
      <c r="U16581" s="29" t="s">
        <v>766</v>
      </c>
      <c r="V16581" s="30">
        <v>2800000</v>
      </c>
    </row>
    <row r="16582" spans="20:22" ht="13.5" thickBot="1" x14ac:dyDescent="0.25">
      <c r="T16582" s="28">
        <v>22613021</v>
      </c>
      <c r="U16582" s="29" t="s">
        <v>767</v>
      </c>
      <c r="V16582" s="30">
        <v>2600000</v>
      </c>
    </row>
    <row r="16583" spans="20:22" ht="13.5" thickBot="1" x14ac:dyDescent="0.25">
      <c r="T16583" s="28">
        <v>22613022</v>
      </c>
      <c r="U16583" s="29" t="s">
        <v>768</v>
      </c>
      <c r="V16583" s="30">
        <v>2600000</v>
      </c>
    </row>
    <row r="16584" spans="20:22" ht="13.5" thickBot="1" x14ac:dyDescent="0.25">
      <c r="T16584" s="28">
        <v>22613023</v>
      </c>
      <c r="U16584" s="29" t="s">
        <v>769</v>
      </c>
      <c r="V16584" s="30">
        <v>2700000</v>
      </c>
    </row>
    <row r="16585" spans="20:22" ht="13.5" thickBot="1" x14ac:dyDescent="0.25">
      <c r="T16585" s="28">
        <v>22613024</v>
      </c>
      <c r="U16585" s="29" t="s">
        <v>770</v>
      </c>
      <c r="V16585" s="30">
        <v>2600000</v>
      </c>
    </row>
    <row r="16586" spans="20:22" ht="13.5" thickBot="1" x14ac:dyDescent="0.25">
      <c r="T16586" s="28">
        <v>22613025</v>
      </c>
      <c r="U16586" s="29" t="s">
        <v>771</v>
      </c>
      <c r="V16586" s="30">
        <v>2600000</v>
      </c>
    </row>
    <row r="16587" spans="20:22" ht="13.5" thickBot="1" x14ac:dyDescent="0.25">
      <c r="T16587" s="28">
        <v>22613026</v>
      </c>
      <c r="U16587" s="29" t="s">
        <v>772</v>
      </c>
      <c r="V16587" s="30">
        <v>2600000</v>
      </c>
    </row>
    <row r="16588" spans="20:22" ht="13.5" thickBot="1" x14ac:dyDescent="0.25">
      <c r="T16588" s="28">
        <v>22613027</v>
      </c>
      <c r="U16588" s="29" t="s">
        <v>773</v>
      </c>
      <c r="V16588" s="30">
        <v>2800000</v>
      </c>
    </row>
    <row r="16589" spans="20:22" ht="24.75" thickBot="1" x14ac:dyDescent="0.25">
      <c r="T16589" s="28">
        <v>22613028</v>
      </c>
      <c r="U16589" s="29" t="s">
        <v>774</v>
      </c>
      <c r="V16589" s="30">
        <v>2600000</v>
      </c>
    </row>
    <row r="16590" spans="20:22" ht="13.5" thickBot="1" x14ac:dyDescent="0.25">
      <c r="T16590" s="28">
        <v>22613029</v>
      </c>
      <c r="U16590" s="29" t="s">
        <v>775</v>
      </c>
      <c r="V16590" s="30">
        <v>2700000</v>
      </c>
    </row>
    <row r="16591" spans="20:22" ht="24.75" thickBot="1" x14ac:dyDescent="0.25">
      <c r="T16591" s="28">
        <v>22613030</v>
      </c>
      <c r="U16591" s="29" t="s">
        <v>776</v>
      </c>
      <c r="V16591" s="30">
        <v>2600000</v>
      </c>
    </row>
    <row r="16592" spans="20:22" ht="13.5" thickBot="1" x14ac:dyDescent="0.25">
      <c r="T16592" s="28">
        <v>22613031</v>
      </c>
      <c r="U16592" s="29" t="s">
        <v>777</v>
      </c>
      <c r="V16592" s="30">
        <v>2600000</v>
      </c>
    </row>
    <row r="16593" spans="20:22" ht="13.5" thickBot="1" x14ac:dyDescent="0.25">
      <c r="T16593" s="28">
        <v>22613032</v>
      </c>
      <c r="U16593" s="29" t="s">
        <v>778</v>
      </c>
      <c r="V16593" s="30">
        <v>2600000</v>
      </c>
    </row>
    <row r="16594" spans="20:22" ht="13.5" thickBot="1" x14ac:dyDescent="0.25">
      <c r="T16594" s="28">
        <v>22613033</v>
      </c>
      <c r="U16594" s="29" t="s">
        <v>779</v>
      </c>
      <c r="V16594" s="30">
        <v>2600000</v>
      </c>
    </row>
    <row r="16595" spans="20:22" ht="13.5" thickBot="1" x14ac:dyDescent="0.25">
      <c r="T16595" s="28">
        <v>22613034</v>
      </c>
      <c r="U16595" s="29" t="s">
        <v>780</v>
      </c>
      <c r="V16595" s="30">
        <v>2800000</v>
      </c>
    </row>
    <row r="16596" spans="20:22" ht="13.5" thickBot="1" x14ac:dyDescent="0.25">
      <c r="T16596" s="28">
        <v>22613035</v>
      </c>
      <c r="U16596" s="29" t="s">
        <v>781</v>
      </c>
      <c r="V16596" s="30">
        <v>2600000</v>
      </c>
    </row>
    <row r="16597" spans="20:22" ht="13.5" thickBot="1" x14ac:dyDescent="0.25">
      <c r="T16597" s="28">
        <v>22614001</v>
      </c>
      <c r="U16597" s="29" t="s">
        <v>3695</v>
      </c>
      <c r="V16597" s="30">
        <v>26400000</v>
      </c>
    </row>
    <row r="16598" spans="20:22" ht="13.5" thickBot="1" x14ac:dyDescent="0.25">
      <c r="T16598" s="28">
        <v>22614002</v>
      </c>
      <c r="U16598" s="29" t="s">
        <v>3696</v>
      </c>
      <c r="V16598" s="30">
        <v>29900000</v>
      </c>
    </row>
    <row r="16599" spans="20:22" ht="13.5" thickBot="1" x14ac:dyDescent="0.25">
      <c r="T16599" s="28">
        <v>22614003</v>
      </c>
      <c r="U16599" s="29" t="s">
        <v>3697</v>
      </c>
      <c r="V16599" s="30">
        <v>25900000</v>
      </c>
    </row>
    <row r="16600" spans="20:22" ht="24.75" thickBot="1" x14ac:dyDescent="0.25">
      <c r="T16600" s="28">
        <v>22614004</v>
      </c>
      <c r="U16600" s="29" t="s">
        <v>3698</v>
      </c>
      <c r="V16600" s="30">
        <v>26400000</v>
      </c>
    </row>
    <row r="16601" spans="20:22" ht="24.75" thickBot="1" x14ac:dyDescent="0.25">
      <c r="T16601" s="28">
        <v>22614005</v>
      </c>
      <c r="U16601" s="29" t="s">
        <v>3699</v>
      </c>
      <c r="V16601" s="30">
        <v>26400000</v>
      </c>
    </row>
    <row r="16602" spans="20:22" ht="13.5" thickBot="1" x14ac:dyDescent="0.25">
      <c r="T16602" s="28">
        <v>22614006</v>
      </c>
      <c r="U16602" s="29" t="s">
        <v>3700</v>
      </c>
      <c r="V16602" s="30">
        <v>27800000</v>
      </c>
    </row>
    <row r="16603" spans="20:22" ht="24.75" thickBot="1" x14ac:dyDescent="0.25">
      <c r="T16603" s="28">
        <v>22614007</v>
      </c>
      <c r="U16603" s="29" t="s">
        <v>3701</v>
      </c>
      <c r="V16603" s="30">
        <v>26400000</v>
      </c>
    </row>
    <row r="16604" spans="20:22" ht="24.75" thickBot="1" x14ac:dyDescent="0.25">
      <c r="T16604" s="28">
        <v>22614008</v>
      </c>
      <c r="U16604" s="29" t="s">
        <v>3702</v>
      </c>
      <c r="V16604" s="30">
        <v>26400000</v>
      </c>
    </row>
    <row r="16605" spans="20:22" ht="13.5" thickBot="1" x14ac:dyDescent="0.25">
      <c r="T16605" s="28">
        <v>22614009</v>
      </c>
      <c r="U16605" s="29" t="s">
        <v>3703</v>
      </c>
      <c r="V16605" s="30">
        <v>28800000</v>
      </c>
    </row>
    <row r="16606" spans="20:22" ht="13.5" thickBot="1" x14ac:dyDescent="0.25">
      <c r="T16606" s="28">
        <v>22614010</v>
      </c>
      <c r="U16606" s="29" t="s">
        <v>3704</v>
      </c>
      <c r="V16606" s="30">
        <v>29900000</v>
      </c>
    </row>
    <row r="16607" spans="20:22" ht="13.5" thickBot="1" x14ac:dyDescent="0.25">
      <c r="T16607" s="28">
        <v>22614011</v>
      </c>
      <c r="U16607" s="29" t="s">
        <v>3705</v>
      </c>
      <c r="V16607" s="30">
        <v>29900000</v>
      </c>
    </row>
    <row r="16608" spans="20:22" ht="13.5" thickBot="1" x14ac:dyDescent="0.25">
      <c r="T16608" s="28">
        <v>22614012</v>
      </c>
      <c r="U16608" s="29" t="s">
        <v>3706</v>
      </c>
      <c r="V16608" s="30">
        <v>25900000</v>
      </c>
    </row>
    <row r="16609" spans="20:22" ht="13.5" thickBot="1" x14ac:dyDescent="0.25">
      <c r="T16609" s="28">
        <v>22614013</v>
      </c>
      <c r="U16609" s="29" t="s">
        <v>3707</v>
      </c>
      <c r="V16609" s="30">
        <v>25900000</v>
      </c>
    </row>
    <row r="16610" spans="20:22" ht="13.5" thickBot="1" x14ac:dyDescent="0.25">
      <c r="T16610" s="28">
        <v>22614014</v>
      </c>
      <c r="U16610" s="29" t="s">
        <v>3708</v>
      </c>
      <c r="V16610" s="30">
        <v>26400000</v>
      </c>
    </row>
    <row r="16611" spans="20:22" ht="24.75" thickBot="1" x14ac:dyDescent="0.25">
      <c r="T16611" s="28">
        <v>22614015</v>
      </c>
      <c r="U16611" s="29" t="s">
        <v>1007</v>
      </c>
      <c r="V16611" s="30">
        <v>27100000</v>
      </c>
    </row>
    <row r="16612" spans="20:22" ht="13.5" thickBot="1" x14ac:dyDescent="0.25">
      <c r="T16612" s="28">
        <v>22614016</v>
      </c>
      <c r="U16612" s="29" t="s">
        <v>1008</v>
      </c>
      <c r="V16612" s="30">
        <v>29900000</v>
      </c>
    </row>
    <row r="16613" spans="20:22" ht="13.5" thickBot="1" x14ac:dyDescent="0.25">
      <c r="T16613" s="28">
        <v>22614017</v>
      </c>
      <c r="U16613" s="29" t="s">
        <v>1009</v>
      </c>
      <c r="V16613" s="30">
        <v>29900000</v>
      </c>
    </row>
    <row r="16614" spans="20:22" ht="13.5" thickBot="1" x14ac:dyDescent="0.25">
      <c r="T16614" s="28">
        <v>22614018</v>
      </c>
      <c r="U16614" s="29" t="s">
        <v>1010</v>
      </c>
      <c r="V16614" s="30">
        <v>28800000</v>
      </c>
    </row>
    <row r="16615" spans="20:22" ht="13.5" thickBot="1" x14ac:dyDescent="0.25">
      <c r="T16615" s="28">
        <v>22614019</v>
      </c>
      <c r="U16615" s="29" t="s">
        <v>1011</v>
      </c>
      <c r="V16615" s="30">
        <v>26400000</v>
      </c>
    </row>
    <row r="16616" spans="20:22" ht="24.75" thickBot="1" x14ac:dyDescent="0.25">
      <c r="T16616" s="28">
        <v>22614020</v>
      </c>
      <c r="U16616" s="29" t="s">
        <v>1012</v>
      </c>
      <c r="V16616" s="30">
        <v>28800000</v>
      </c>
    </row>
    <row r="16617" spans="20:22" ht="13.5" thickBot="1" x14ac:dyDescent="0.25">
      <c r="T16617" s="28">
        <v>22614021</v>
      </c>
      <c r="U16617" s="29" t="s">
        <v>1013</v>
      </c>
      <c r="V16617" s="30">
        <v>26400000</v>
      </c>
    </row>
    <row r="16618" spans="20:22" ht="13.5" thickBot="1" x14ac:dyDescent="0.25">
      <c r="T16618" s="28">
        <v>22614022</v>
      </c>
      <c r="U16618" s="29" t="s">
        <v>1014</v>
      </c>
      <c r="V16618" s="30">
        <v>27800000</v>
      </c>
    </row>
    <row r="16619" spans="20:22" ht="13.5" thickBot="1" x14ac:dyDescent="0.25">
      <c r="T16619" s="28">
        <v>22614023</v>
      </c>
      <c r="U16619" s="29" t="s">
        <v>1015</v>
      </c>
      <c r="V16619" s="30">
        <v>25900000</v>
      </c>
    </row>
    <row r="16620" spans="20:22" ht="13.5" thickBot="1" x14ac:dyDescent="0.25">
      <c r="T16620" s="28">
        <v>22614024</v>
      </c>
      <c r="U16620" s="29" t="s">
        <v>1016</v>
      </c>
      <c r="V16620" s="30">
        <v>28800000</v>
      </c>
    </row>
    <row r="16621" spans="20:22" ht="13.5" thickBot="1" x14ac:dyDescent="0.25">
      <c r="T16621" s="28">
        <v>22614025</v>
      </c>
      <c r="U16621" s="29" t="s">
        <v>1017</v>
      </c>
      <c r="V16621" s="30">
        <v>26400000</v>
      </c>
    </row>
    <row r="16622" spans="20:22" ht="13.5" thickBot="1" x14ac:dyDescent="0.25">
      <c r="T16622" s="28">
        <v>22614026</v>
      </c>
      <c r="U16622" s="29" t="s">
        <v>1018</v>
      </c>
      <c r="V16622" s="30">
        <v>25900000</v>
      </c>
    </row>
    <row r="16623" spans="20:22" ht="13.5" thickBot="1" x14ac:dyDescent="0.25">
      <c r="T16623" s="28">
        <v>22614027</v>
      </c>
      <c r="U16623" s="29" t="s">
        <v>1019</v>
      </c>
      <c r="V16623" s="30">
        <v>29900000</v>
      </c>
    </row>
    <row r="16624" spans="20:22" ht="13.5" thickBot="1" x14ac:dyDescent="0.25">
      <c r="T16624" s="28">
        <v>22614028</v>
      </c>
      <c r="U16624" s="29" t="s">
        <v>1020</v>
      </c>
      <c r="V16624" s="30">
        <v>29900000</v>
      </c>
    </row>
    <row r="16625" spans="20:22" ht="24.75" thickBot="1" x14ac:dyDescent="0.25">
      <c r="T16625" s="28">
        <v>22671001</v>
      </c>
      <c r="U16625" s="29" t="s">
        <v>3709</v>
      </c>
      <c r="V16625" s="30">
        <v>2400</v>
      </c>
    </row>
    <row r="16626" spans="20:22" ht="24.75" thickBot="1" x14ac:dyDescent="0.25">
      <c r="T16626" s="28">
        <v>22673001</v>
      </c>
      <c r="U16626" s="29" t="s">
        <v>3710</v>
      </c>
      <c r="V16626" s="30">
        <v>1100000</v>
      </c>
    </row>
    <row r="16627" spans="20:22" ht="13.5" thickBot="1" x14ac:dyDescent="0.25">
      <c r="T16627" s="28">
        <v>22673003</v>
      </c>
      <c r="U16627" s="29" t="s">
        <v>3711</v>
      </c>
      <c r="V16627" s="30">
        <v>1100000</v>
      </c>
    </row>
    <row r="16628" spans="20:22" ht="24.75" thickBot="1" x14ac:dyDescent="0.25">
      <c r="T16628" s="28">
        <v>22673005</v>
      </c>
      <c r="U16628" s="29" t="s">
        <v>3712</v>
      </c>
      <c r="V16628" s="30">
        <v>1100000</v>
      </c>
    </row>
    <row r="16629" spans="20:22" ht="13.5" thickBot="1" x14ac:dyDescent="0.25">
      <c r="T16629" s="28">
        <v>22674001</v>
      </c>
      <c r="U16629" s="29" t="s">
        <v>3713</v>
      </c>
      <c r="V16629" s="30">
        <v>10400000</v>
      </c>
    </row>
    <row r="16630" spans="20:22" ht="13.5" thickBot="1" x14ac:dyDescent="0.25">
      <c r="T16630" s="28">
        <v>22674003</v>
      </c>
      <c r="U16630" s="29" t="s">
        <v>3714</v>
      </c>
      <c r="V16630" s="30">
        <v>10400000</v>
      </c>
    </row>
    <row r="16631" spans="20:22" ht="13.5" thickBot="1" x14ac:dyDescent="0.25">
      <c r="T16631" s="28">
        <v>22674005</v>
      </c>
      <c r="U16631" s="29" t="s">
        <v>3715</v>
      </c>
      <c r="V16631" s="30">
        <v>25900000</v>
      </c>
    </row>
    <row r="16632" spans="20:22" ht="13.5" thickBot="1" x14ac:dyDescent="0.25">
      <c r="T16632" s="28">
        <v>22675001</v>
      </c>
      <c r="U16632" s="29" t="s">
        <v>3716</v>
      </c>
      <c r="V16632" s="30">
        <v>60500000</v>
      </c>
    </row>
    <row r="16633" spans="20:22" ht="13.5" thickBot="1" x14ac:dyDescent="0.25">
      <c r="T16633" s="28">
        <v>22711001</v>
      </c>
      <c r="U16633" s="29" t="s">
        <v>3717</v>
      </c>
      <c r="V16633" s="30">
        <v>3000</v>
      </c>
    </row>
    <row r="16634" spans="20:22" ht="24.75" thickBot="1" x14ac:dyDescent="0.25">
      <c r="T16634" s="28">
        <v>22711002</v>
      </c>
      <c r="U16634" s="29" t="s">
        <v>3718</v>
      </c>
      <c r="V16634" s="30">
        <v>3000</v>
      </c>
    </row>
    <row r="16635" spans="20:22" ht="13.5" thickBot="1" x14ac:dyDescent="0.25">
      <c r="T16635" s="28">
        <v>22711003</v>
      </c>
      <c r="U16635" s="29" t="s">
        <v>3719</v>
      </c>
      <c r="V16635" s="30">
        <v>3000</v>
      </c>
    </row>
    <row r="16636" spans="20:22" ht="13.5" thickBot="1" x14ac:dyDescent="0.25">
      <c r="T16636" s="28">
        <v>22711004</v>
      </c>
      <c r="U16636" s="29" t="s">
        <v>3720</v>
      </c>
      <c r="V16636" s="30">
        <v>3000</v>
      </c>
    </row>
    <row r="16637" spans="20:22" ht="13.5" thickBot="1" x14ac:dyDescent="0.25">
      <c r="T16637" s="28">
        <v>22711005</v>
      </c>
      <c r="U16637" s="29" t="s">
        <v>3721</v>
      </c>
      <c r="V16637" s="30">
        <v>3000</v>
      </c>
    </row>
    <row r="16638" spans="20:22" ht="24.75" thickBot="1" x14ac:dyDescent="0.25">
      <c r="T16638" s="28">
        <v>22711006</v>
      </c>
      <c r="U16638" s="29" t="s">
        <v>3722</v>
      </c>
      <c r="V16638" s="30">
        <v>3000</v>
      </c>
    </row>
    <row r="16639" spans="20:22" ht="24.75" thickBot="1" x14ac:dyDescent="0.25">
      <c r="T16639" s="28">
        <v>22711007</v>
      </c>
      <c r="U16639" s="29" t="s">
        <v>3723</v>
      </c>
      <c r="V16639" s="30">
        <v>3000</v>
      </c>
    </row>
    <row r="16640" spans="20:22" ht="13.5" thickBot="1" x14ac:dyDescent="0.25">
      <c r="T16640" s="28">
        <v>22711008</v>
      </c>
      <c r="U16640" s="29" t="s">
        <v>3724</v>
      </c>
      <c r="V16640" s="30">
        <v>3000</v>
      </c>
    </row>
    <row r="16641" spans="20:22" ht="13.5" thickBot="1" x14ac:dyDescent="0.25">
      <c r="T16641" s="28">
        <v>22711009</v>
      </c>
      <c r="U16641" s="29" t="s">
        <v>3725</v>
      </c>
      <c r="V16641" s="30">
        <v>3000</v>
      </c>
    </row>
    <row r="16642" spans="20:22" ht="13.5" thickBot="1" x14ac:dyDescent="0.25">
      <c r="T16642" s="28">
        <v>22711010</v>
      </c>
      <c r="U16642" s="29" t="s">
        <v>3726</v>
      </c>
      <c r="V16642" s="30">
        <v>3000</v>
      </c>
    </row>
    <row r="16643" spans="20:22" ht="13.5" thickBot="1" x14ac:dyDescent="0.25">
      <c r="T16643" s="28">
        <v>22711011</v>
      </c>
      <c r="U16643" s="29" t="s">
        <v>3727</v>
      </c>
      <c r="V16643" s="30">
        <v>3000</v>
      </c>
    </row>
    <row r="16644" spans="20:22" ht="24.75" thickBot="1" x14ac:dyDescent="0.25">
      <c r="T16644" s="28">
        <v>22711012</v>
      </c>
      <c r="U16644" s="29" t="s">
        <v>3728</v>
      </c>
      <c r="V16644" s="30">
        <v>3000</v>
      </c>
    </row>
    <row r="16645" spans="20:22" ht="24.75" thickBot="1" x14ac:dyDescent="0.25">
      <c r="T16645" s="28">
        <v>22711013</v>
      </c>
      <c r="U16645" s="29" t="s">
        <v>3729</v>
      </c>
      <c r="V16645" s="30">
        <v>3000</v>
      </c>
    </row>
    <row r="16646" spans="20:22" ht="13.5" thickBot="1" x14ac:dyDescent="0.25">
      <c r="T16646" s="28">
        <v>22711014</v>
      </c>
      <c r="U16646" s="29" t="s">
        <v>3730</v>
      </c>
      <c r="V16646" s="30">
        <v>3000</v>
      </c>
    </row>
    <row r="16647" spans="20:22" ht="13.5" thickBot="1" x14ac:dyDescent="0.25">
      <c r="T16647" s="28">
        <v>22711015</v>
      </c>
      <c r="U16647" s="29" t="s">
        <v>3731</v>
      </c>
      <c r="V16647" s="30">
        <v>3000</v>
      </c>
    </row>
    <row r="16648" spans="20:22" ht="13.5" thickBot="1" x14ac:dyDescent="0.25">
      <c r="T16648" s="28">
        <v>22711016</v>
      </c>
      <c r="U16648" s="29" t="s">
        <v>3732</v>
      </c>
      <c r="V16648" s="30">
        <v>3000</v>
      </c>
    </row>
    <row r="16649" spans="20:22" ht="13.5" thickBot="1" x14ac:dyDescent="0.25">
      <c r="T16649" s="28">
        <v>22711017</v>
      </c>
      <c r="U16649" s="29" t="s">
        <v>3733</v>
      </c>
      <c r="V16649" s="30">
        <v>3000</v>
      </c>
    </row>
    <row r="16650" spans="20:22" ht="13.5" thickBot="1" x14ac:dyDescent="0.25">
      <c r="T16650" s="28">
        <v>22711018</v>
      </c>
      <c r="U16650" s="29" t="s">
        <v>3734</v>
      </c>
      <c r="V16650" s="30">
        <v>3000</v>
      </c>
    </row>
    <row r="16651" spans="20:22" ht="13.5" thickBot="1" x14ac:dyDescent="0.25">
      <c r="T16651" s="28">
        <v>22711019</v>
      </c>
      <c r="U16651" s="29" t="s">
        <v>3735</v>
      </c>
      <c r="V16651" s="30">
        <v>3000</v>
      </c>
    </row>
    <row r="16652" spans="20:22" ht="13.5" thickBot="1" x14ac:dyDescent="0.25">
      <c r="T16652" s="28">
        <v>22711020</v>
      </c>
      <c r="U16652" s="29" t="s">
        <v>3736</v>
      </c>
      <c r="V16652" s="30">
        <v>3000</v>
      </c>
    </row>
    <row r="16653" spans="20:22" ht="13.5" thickBot="1" x14ac:dyDescent="0.25">
      <c r="T16653" s="28">
        <v>22711021</v>
      </c>
      <c r="U16653" s="29" t="s">
        <v>3737</v>
      </c>
      <c r="V16653" s="30">
        <v>3000</v>
      </c>
    </row>
    <row r="16654" spans="20:22" ht="13.5" thickBot="1" x14ac:dyDescent="0.25">
      <c r="T16654" s="28">
        <v>22711022</v>
      </c>
      <c r="U16654" s="29" t="s">
        <v>3738</v>
      </c>
      <c r="V16654" s="30">
        <v>3000</v>
      </c>
    </row>
    <row r="16655" spans="20:22" ht="13.5" thickBot="1" x14ac:dyDescent="0.25">
      <c r="T16655" s="28">
        <v>22711023</v>
      </c>
      <c r="U16655" s="29" t="s">
        <v>3739</v>
      </c>
      <c r="V16655" s="30">
        <v>3000</v>
      </c>
    </row>
    <row r="16656" spans="20:22" ht="13.5" thickBot="1" x14ac:dyDescent="0.25">
      <c r="T16656" s="28">
        <v>22711024</v>
      </c>
      <c r="U16656" s="29" t="s">
        <v>3740</v>
      </c>
      <c r="V16656" s="30">
        <v>3000</v>
      </c>
    </row>
    <row r="16657" spans="20:22" ht="13.5" thickBot="1" x14ac:dyDescent="0.25">
      <c r="T16657" s="28">
        <v>22711025</v>
      </c>
      <c r="U16657" s="29" t="s">
        <v>3741</v>
      </c>
      <c r="V16657" s="30">
        <v>3000</v>
      </c>
    </row>
    <row r="16658" spans="20:22" ht="13.5" thickBot="1" x14ac:dyDescent="0.25">
      <c r="T16658" s="28">
        <v>22711026</v>
      </c>
      <c r="U16658" s="29" t="s">
        <v>3742</v>
      </c>
      <c r="V16658" s="30">
        <v>3000</v>
      </c>
    </row>
    <row r="16659" spans="20:22" ht="13.5" thickBot="1" x14ac:dyDescent="0.25">
      <c r="T16659" s="28">
        <v>22711027</v>
      </c>
      <c r="U16659" s="29" t="s">
        <v>3738</v>
      </c>
      <c r="V16659" s="30">
        <v>3000</v>
      </c>
    </row>
    <row r="16660" spans="20:22" ht="13.5" thickBot="1" x14ac:dyDescent="0.25">
      <c r="T16660" s="28">
        <v>22711028</v>
      </c>
      <c r="U16660" s="29" t="s">
        <v>3743</v>
      </c>
      <c r="V16660" s="30">
        <v>3000</v>
      </c>
    </row>
    <row r="16661" spans="20:22" ht="13.5" thickBot="1" x14ac:dyDescent="0.25">
      <c r="T16661" s="28">
        <v>22711029</v>
      </c>
      <c r="U16661" s="29" t="s">
        <v>3744</v>
      </c>
      <c r="V16661" s="30">
        <v>3000</v>
      </c>
    </row>
    <row r="16662" spans="20:22" ht="13.5" thickBot="1" x14ac:dyDescent="0.25">
      <c r="T16662" s="28">
        <v>22711030</v>
      </c>
      <c r="U16662" s="29" t="s">
        <v>3745</v>
      </c>
      <c r="V16662" s="30">
        <v>3000</v>
      </c>
    </row>
    <row r="16663" spans="20:22" ht="13.5" thickBot="1" x14ac:dyDescent="0.25">
      <c r="T16663" s="28">
        <v>22711031</v>
      </c>
      <c r="U16663" s="29" t="s">
        <v>3746</v>
      </c>
      <c r="V16663" s="30">
        <v>3000</v>
      </c>
    </row>
    <row r="16664" spans="20:22" ht="13.5" thickBot="1" x14ac:dyDescent="0.25">
      <c r="T16664" s="28">
        <v>22711032</v>
      </c>
      <c r="U16664" s="29" t="s">
        <v>3747</v>
      </c>
      <c r="V16664" s="30">
        <v>3000</v>
      </c>
    </row>
    <row r="16665" spans="20:22" ht="24.75" thickBot="1" x14ac:dyDescent="0.25">
      <c r="T16665" s="28">
        <v>22711033</v>
      </c>
      <c r="U16665" s="29" t="s">
        <v>3748</v>
      </c>
      <c r="V16665" s="30">
        <v>3000</v>
      </c>
    </row>
    <row r="16666" spans="20:22" ht="24.75" thickBot="1" x14ac:dyDescent="0.25">
      <c r="T16666" s="28">
        <v>22711034</v>
      </c>
      <c r="U16666" s="29" t="s">
        <v>3749</v>
      </c>
      <c r="V16666" s="30">
        <v>3000</v>
      </c>
    </row>
    <row r="16667" spans="20:22" ht="13.5" thickBot="1" x14ac:dyDescent="0.25">
      <c r="T16667" s="28">
        <v>22711035</v>
      </c>
      <c r="U16667" s="29" t="s">
        <v>3750</v>
      </c>
      <c r="V16667" s="30">
        <v>3000</v>
      </c>
    </row>
    <row r="16668" spans="20:22" ht="13.5" thickBot="1" x14ac:dyDescent="0.25">
      <c r="T16668" s="28">
        <v>22721001</v>
      </c>
      <c r="U16668" s="29" t="s">
        <v>3751</v>
      </c>
      <c r="V16668" s="30">
        <v>2700</v>
      </c>
    </row>
    <row r="16669" spans="20:22" ht="13.5" thickBot="1" x14ac:dyDescent="0.25">
      <c r="T16669" s="28">
        <v>22721003</v>
      </c>
      <c r="U16669" s="29" t="s">
        <v>3752</v>
      </c>
      <c r="V16669" s="30">
        <v>2700</v>
      </c>
    </row>
    <row r="16670" spans="20:22" ht="24.75" thickBot="1" x14ac:dyDescent="0.25">
      <c r="T16670" s="28">
        <v>22721005</v>
      </c>
      <c r="U16670" s="29" t="s">
        <v>3753</v>
      </c>
      <c r="V16670" s="30">
        <v>2700</v>
      </c>
    </row>
    <row r="16671" spans="20:22" ht="24.75" thickBot="1" x14ac:dyDescent="0.25">
      <c r="T16671" s="28">
        <v>22721007</v>
      </c>
      <c r="U16671" s="29" t="s">
        <v>3754</v>
      </c>
      <c r="V16671" s="30">
        <v>2700</v>
      </c>
    </row>
    <row r="16672" spans="20:22" ht="24.75" thickBot="1" x14ac:dyDescent="0.25">
      <c r="T16672" s="28">
        <v>22721008</v>
      </c>
      <c r="U16672" s="29" t="s">
        <v>3755</v>
      </c>
      <c r="V16672" s="30">
        <v>2700</v>
      </c>
    </row>
    <row r="16673" spans="20:22" ht="24.75" thickBot="1" x14ac:dyDescent="0.25">
      <c r="T16673" s="28">
        <v>22721009</v>
      </c>
      <c r="U16673" s="29" t="s">
        <v>3756</v>
      </c>
      <c r="V16673" s="30">
        <v>2700</v>
      </c>
    </row>
    <row r="16674" spans="20:22" ht="24.75" thickBot="1" x14ac:dyDescent="0.25">
      <c r="T16674" s="28">
        <v>22721010</v>
      </c>
      <c r="U16674" s="29" t="s">
        <v>3757</v>
      </c>
      <c r="V16674" s="30">
        <v>2700</v>
      </c>
    </row>
    <row r="16675" spans="20:22" ht="24.75" thickBot="1" x14ac:dyDescent="0.25">
      <c r="T16675" s="28">
        <v>22721011</v>
      </c>
      <c r="U16675" s="29" t="s">
        <v>3758</v>
      </c>
      <c r="V16675" s="30">
        <v>2700</v>
      </c>
    </row>
    <row r="16676" spans="20:22" ht="24.75" thickBot="1" x14ac:dyDescent="0.25">
      <c r="T16676" s="28">
        <v>22721012</v>
      </c>
      <c r="U16676" s="29" t="s">
        <v>3759</v>
      </c>
      <c r="V16676" s="30">
        <v>2700</v>
      </c>
    </row>
    <row r="16677" spans="20:22" ht="24.75" thickBot="1" x14ac:dyDescent="0.25">
      <c r="T16677" s="28">
        <v>22721013</v>
      </c>
      <c r="U16677" s="29" t="s">
        <v>3760</v>
      </c>
      <c r="V16677" s="30">
        <v>2700</v>
      </c>
    </row>
    <row r="16678" spans="20:22" ht="24.75" thickBot="1" x14ac:dyDescent="0.25">
      <c r="T16678" s="28">
        <v>22721014</v>
      </c>
      <c r="U16678" s="29" t="s">
        <v>3761</v>
      </c>
      <c r="V16678" s="30">
        <v>2700</v>
      </c>
    </row>
    <row r="16679" spans="20:22" ht="24.75" thickBot="1" x14ac:dyDescent="0.25">
      <c r="T16679" s="28">
        <v>22721015</v>
      </c>
      <c r="U16679" s="29" t="s">
        <v>3762</v>
      </c>
      <c r="V16679" s="30">
        <v>2700</v>
      </c>
    </row>
    <row r="16680" spans="20:22" ht="24.75" thickBot="1" x14ac:dyDescent="0.25">
      <c r="T16680" s="28">
        <v>22721016</v>
      </c>
      <c r="U16680" s="29" t="s">
        <v>3763</v>
      </c>
      <c r="V16680" s="30">
        <v>2700</v>
      </c>
    </row>
    <row r="16681" spans="20:22" ht="13.5" thickBot="1" x14ac:dyDescent="0.25">
      <c r="T16681" s="28">
        <v>22721017</v>
      </c>
      <c r="U16681" s="29" t="s">
        <v>3764</v>
      </c>
      <c r="V16681" s="30">
        <v>2700</v>
      </c>
    </row>
    <row r="16682" spans="20:22" ht="24.75" thickBot="1" x14ac:dyDescent="0.25">
      <c r="T16682" s="28">
        <v>22721019</v>
      </c>
      <c r="U16682" s="29" t="s">
        <v>3765</v>
      </c>
      <c r="V16682" s="30">
        <v>2700</v>
      </c>
    </row>
    <row r="16683" spans="20:22" ht="24.75" thickBot="1" x14ac:dyDescent="0.25">
      <c r="T16683" s="28">
        <v>22721020</v>
      </c>
      <c r="U16683" s="29" t="s">
        <v>3766</v>
      </c>
      <c r="V16683" s="30">
        <v>2700</v>
      </c>
    </row>
    <row r="16684" spans="20:22" ht="13.5" thickBot="1" x14ac:dyDescent="0.25">
      <c r="T16684" s="28">
        <v>22721021</v>
      </c>
      <c r="U16684" s="29" t="s">
        <v>3767</v>
      </c>
      <c r="V16684" s="30">
        <v>2700</v>
      </c>
    </row>
    <row r="16685" spans="20:22" ht="13.5" thickBot="1" x14ac:dyDescent="0.25">
      <c r="T16685" s="28">
        <v>22721023</v>
      </c>
      <c r="U16685" s="29" t="s">
        <v>3768</v>
      </c>
      <c r="V16685" s="30">
        <v>2700</v>
      </c>
    </row>
    <row r="16686" spans="20:22" ht="24.75" thickBot="1" x14ac:dyDescent="0.25">
      <c r="T16686" s="28">
        <v>22721025</v>
      </c>
      <c r="U16686" s="29" t="s">
        <v>3769</v>
      </c>
      <c r="V16686" s="30">
        <v>2700</v>
      </c>
    </row>
    <row r="16687" spans="20:22" ht="24.75" thickBot="1" x14ac:dyDescent="0.25">
      <c r="T16687" s="28">
        <v>22721026</v>
      </c>
      <c r="U16687" s="29" t="s">
        <v>3770</v>
      </c>
      <c r="V16687" s="30">
        <v>2700</v>
      </c>
    </row>
    <row r="16688" spans="20:22" ht="24.75" thickBot="1" x14ac:dyDescent="0.25">
      <c r="T16688" s="28">
        <v>22721027</v>
      </c>
      <c r="U16688" s="29" t="s">
        <v>3771</v>
      </c>
      <c r="V16688" s="30">
        <v>2700</v>
      </c>
    </row>
    <row r="16689" spans="20:22" ht="24.75" thickBot="1" x14ac:dyDescent="0.25">
      <c r="T16689" s="28">
        <v>22721029</v>
      </c>
      <c r="U16689" s="29" t="s">
        <v>3772</v>
      </c>
      <c r="V16689" s="30">
        <v>2700</v>
      </c>
    </row>
    <row r="16690" spans="20:22" ht="24.75" thickBot="1" x14ac:dyDescent="0.25">
      <c r="T16690" s="28">
        <v>22721030</v>
      </c>
      <c r="U16690" s="29" t="s">
        <v>3773</v>
      </c>
      <c r="V16690" s="30">
        <v>2700</v>
      </c>
    </row>
    <row r="16691" spans="20:22" ht="24.75" thickBot="1" x14ac:dyDescent="0.25">
      <c r="T16691" s="28">
        <v>22721031</v>
      </c>
      <c r="U16691" s="29" t="s">
        <v>3774</v>
      </c>
      <c r="V16691" s="30">
        <v>2700</v>
      </c>
    </row>
    <row r="16692" spans="20:22" ht="24.75" thickBot="1" x14ac:dyDescent="0.25">
      <c r="T16692" s="28">
        <v>22721032</v>
      </c>
      <c r="U16692" s="29" t="s">
        <v>3775</v>
      </c>
      <c r="V16692" s="30">
        <v>2700</v>
      </c>
    </row>
    <row r="16693" spans="20:22" ht="13.5" thickBot="1" x14ac:dyDescent="0.25">
      <c r="T16693" s="28">
        <v>22731001</v>
      </c>
      <c r="U16693" s="29" t="s">
        <v>3776</v>
      </c>
      <c r="V16693" s="30">
        <v>2400</v>
      </c>
    </row>
    <row r="16694" spans="20:22" ht="24.75" thickBot="1" x14ac:dyDescent="0.25">
      <c r="T16694" s="28">
        <v>22731003</v>
      </c>
      <c r="U16694" s="29" t="s">
        <v>3777</v>
      </c>
      <c r="V16694" s="30">
        <v>2400</v>
      </c>
    </row>
    <row r="16695" spans="20:22" ht="24.75" thickBot="1" x14ac:dyDescent="0.25">
      <c r="T16695" s="28">
        <v>22731004</v>
      </c>
      <c r="U16695" s="29" t="s">
        <v>3778</v>
      </c>
      <c r="V16695" s="30">
        <v>2400</v>
      </c>
    </row>
    <row r="16696" spans="20:22" ht="24.75" thickBot="1" x14ac:dyDescent="0.25">
      <c r="T16696" s="28">
        <v>22225004</v>
      </c>
      <c r="U16696" s="29" t="s">
        <v>3779</v>
      </c>
      <c r="V16696" s="30">
        <v>78400000</v>
      </c>
    </row>
    <row r="16697" spans="20:22" ht="24.75" thickBot="1" x14ac:dyDescent="0.25">
      <c r="T16697" s="28">
        <v>22225008</v>
      </c>
      <c r="U16697" s="29" t="s">
        <v>3780</v>
      </c>
      <c r="V16697" s="30">
        <v>73100000</v>
      </c>
    </row>
    <row r="16698" spans="20:22" ht="24.75" thickBot="1" x14ac:dyDescent="0.25">
      <c r="T16698" s="28">
        <v>22225016</v>
      </c>
      <c r="U16698" s="29" t="s">
        <v>3781</v>
      </c>
      <c r="V16698" s="30">
        <v>73100000</v>
      </c>
    </row>
    <row r="16699" spans="20:22" ht="24.75" thickBot="1" x14ac:dyDescent="0.25">
      <c r="T16699" s="28">
        <v>22225018</v>
      </c>
      <c r="U16699" s="29" t="s">
        <v>3782</v>
      </c>
      <c r="V16699" s="30">
        <v>69400000</v>
      </c>
    </row>
    <row r="16700" spans="20:22" ht="24.75" thickBot="1" x14ac:dyDescent="0.25">
      <c r="T16700" s="28">
        <v>22225019</v>
      </c>
      <c r="U16700" s="29" t="s">
        <v>3783</v>
      </c>
      <c r="V16700" s="30">
        <v>71000000</v>
      </c>
    </row>
    <row r="16701" spans="20:22" ht="24.75" thickBot="1" x14ac:dyDescent="0.25">
      <c r="T16701" s="28">
        <v>22225020</v>
      </c>
      <c r="U16701" s="29" t="s">
        <v>3784</v>
      </c>
      <c r="V16701" s="30">
        <v>71000000</v>
      </c>
    </row>
    <row r="16702" spans="20:22" ht="24.75" thickBot="1" x14ac:dyDescent="0.25">
      <c r="T16702" s="28">
        <v>22225022</v>
      </c>
      <c r="U16702" s="29" t="s">
        <v>3785</v>
      </c>
      <c r="V16702" s="30">
        <v>78400000</v>
      </c>
    </row>
    <row r="16703" spans="20:22" ht="24.75" thickBot="1" x14ac:dyDescent="0.25">
      <c r="T16703" s="28">
        <v>22225024</v>
      </c>
      <c r="U16703" s="29" t="s">
        <v>3786</v>
      </c>
      <c r="V16703" s="30">
        <v>69400000</v>
      </c>
    </row>
    <row r="16704" spans="20:22" ht="24.75" thickBot="1" x14ac:dyDescent="0.25">
      <c r="T16704" s="28">
        <v>22225026</v>
      </c>
      <c r="U16704" s="29" t="s">
        <v>3787</v>
      </c>
      <c r="V16704" s="30">
        <v>68100000</v>
      </c>
    </row>
    <row r="16705" spans="20:22" ht="24.75" thickBot="1" x14ac:dyDescent="0.25">
      <c r="T16705" s="28">
        <v>22225028</v>
      </c>
      <c r="U16705" s="29" t="s">
        <v>3788</v>
      </c>
      <c r="V16705" s="30">
        <v>73100000</v>
      </c>
    </row>
    <row r="16706" spans="20:22" ht="24.75" thickBot="1" x14ac:dyDescent="0.25">
      <c r="T16706" s="28">
        <v>22225030</v>
      </c>
      <c r="U16706" s="29" t="s">
        <v>3789</v>
      </c>
      <c r="V16706" s="30">
        <v>68100000</v>
      </c>
    </row>
    <row r="16707" spans="20:22" ht="24.75" thickBot="1" x14ac:dyDescent="0.25">
      <c r="T16707" s="28">
        <v>22225032</v>
      </c>
      <c r="U16707" s="29" t="s">
        <v>3790</v>
      </c>
      <c r="V16707" s="30">
        <v>68100000</v>
      </c>
    </row>
    <row r="16708" spans="20:22" ht="24.75" thickBot="1" x14ac:dyDescent="0.25">
      <c r="T16708" s="28">
        <v>22225034</v>
      </c>
      <c r="U16708" s="29" t="s">
        <v>3791</v>
      </c>
      <c r="V16708" s="30">
        <v>69400000</v>
      </c>
    </row>
    <row r="16709" spans="20:22" ht="24.75" thickBot="1" x14ac:dyDescent="0.25">
      <c r="T16709" s="28">
        <v>22225036</v>
      </c>
      <c r="U16709" s="29" t="s">
        <v>3792</v>
      </c>
      <c r="V16709" s="30">
        <v>69400000</v>
      </c>
    </row>
    <row r="16710" spans="20:22" ht="24.75" thickBot="1" x14ac:dyDescent="0.25">
      <c r="T16710" s="28">
        <v>22226002</v>
      </c>
      <c r="U16710" s="29" t="s">
        <v>3793</v>
      </c>
      <c r="V16710" s="30">
        <v>157800000</v>
      </c>
    </row>
    <row r="16711" spans="20:22" ht="24.75" thickBot="1" x14ac:dyDescent="0.25">
      <c r="T16711" s="28">
        <v>22226004</v>
      </c>
      <c r="U16711" s="29" t="s">
        <v>3794</v>
      </c>
      <c r="V16711" s="30">
        <v>157800000</v>
      </c>
    </row>
    <row r="16712" spans="20:22" ht="24.75" thickBot="1" x14ac:dyDescent="0.25">
      <c r="T16712" s="28">
        <v>22226006</v>
      </c>
      <c r="U16712" s="29" t="s">
        <v>3795</v>
      </c>
      <c r="V16712" s="30">
        <v>153300000</v>
      </c>
    </row>
    <row r="16713" spans="20:22" ht="24.75" thickBot="1" x14ac:dyDescent="0.25">
      <c r="T16713" s="28">
        <v>22226008</v>
      </c>
      <c r="U16713" s="29" t="s">
        <v>3796</v>
      </c>
      <c r="V16713" s="30">
        <v>147000000</v>
      </c>
    </row>
    <row r="16714" spans="20:22" ht="24.75" thickBot="1" x14ac:dyDescent="0.25">
      <c r="T16714" s="28">
        <v>22226010</v>
      </c>
      <c r="U16714" s="29" t="s">
        <v>3797</v>
      </c>
      <c r="V16714" s="30">
        <v>169300000</v>
      </c>
    </row>
    <row r="16715" spans="20:22" ht="24.75" thickBot="1" x14ac:dyDescent="0.25">
      <c r="T16715" s="28">
        <v>22226012</v>
      </c>
      <c r="U16715" s="29" t="s">
        <v>3798</v>
      </c>
      <c r="V16715" s="30">
        <v>163100000</v>
      </c>
    </row>
    <row r="16716" spans="20:22" ht="24.75" thickBot="1" x14ac:dyDescent="0.25">
      <c r="T16716" s="28">
        <v>22226016</v>
      </c>
      <c r="U16716" s="29" t="s">
        <v>3799</v>
      </c>
      <c r="V16716" s="30">
        <v>157800000</v>
      </c>
    </row>
    <row r="16717" spans="20:22" ht="24.75" thickBot="1" x14ac:dyDescent="0.25">
      <c r="T16717" s="28">
        <v>22226018</v>
      </c>
      <c r="U16717" s="29" t="s">
        <v>3800</v>
      </c>
      <c r="V16717" s="30">
        <v>147000000</v>
      </c>
    </row>
    <row r="16718" spans="20:22" ht="24.75" thickBot="1" x14ac:dyDescent="0.25">
      <c r="T16718" s="28">
        <v>22226020</v>
      </c>
      <c r="U16718" s="29" t="s">
        <v>3801</v>
      </c>
      <c r="V16718" s="30">
        <v>149700000</v>
      </c>
    </row>
    <row r="16719" spans="20:22" ht="24.75" thickBot="1" x14ac:dyDescent="0.25">
      <c r="T16719" s="28">
        <v>22226024</v>
      </c>
      <c r="U16719" s="29" t="s">
        <v>3802</v>
      </c>
      <c r="V16719" s="30">
        <v>149700000</v>
      </c>
    </row>
    <row r="16720" spans="20:22" ht="13.5" thickBot="1" x14ac:dyDescent="0.25">
      <c r="T16720" s="28">
        <v>22226026</v>
      </c>
      <c r="U16720" s="29" t="s">
        <v>3803</v>
      </c>
      <c r="V16720" s="30">
        <v>149700000</v>
      </c>
    </row>
    <row r="16721" spans="20:22" ht="24.75" thickBot="1" x14ac:dyDescent="0.25">
      <c r="T16721" s="28">
        <v>22226028</v>
      </c>
      <c r="U16721" s="29" t="s">
        <v>3804</v>
      </c>
      <c r="V16721" s="30">
        <v>163100000</v>
      </c>
    </row>
    <row r="16722" spans="20:22" ht="24.75" thickBot="1" x14ac:dyDescent="0.25">
      <c r="T16722" s="28">
        <v>22226030</v>
      </c>
      <c r="U16722" s="29" t="s">
        <v>3805</v>
      </c>
      <c r="V16722" s="30">
        <v>149700000</v>
      </c>
    </row>
    <row r="16723" spans="20:22" ht="24.75" thickBot="1" x14ac:dyDescent="0.25">
      <c r="T16723" s="28">
        <v>22226032</v>
      </c>
      <c r="U16723" s="29" t="s">
        <v>3806</v>
      </c>
      <c r="V16723" s="30">
        <v>147000000</v>
      </c>
    </row>
    <row r="16724" spans="20:22" ht="24.75" thickBot="1" x14ac:dyDescent="0.25">
      <c r="T16724" s="28">
        <v>22226036</v>
      </c>
      <c r="U16724" s="29" t="s">
        <v>3807</v>
      </c>
      <c r="V16724" s="30">
        <v>149700000</v>
      </c>
    </row>
    <row r="16725" spans="20:22" ht="24.75" thickBot="1" x14ac:dyDescent="0.25">
      <c r="T16725" s="28">
        <v>22235002</v>
      </c>
      <c r="U16725" s="29" t="s">
        <v>3808</v>
      </c>
      <c r="V16725" s="30">
        <v>78400000</v>
      </c>
    </row>
    <row r="16726" spans="20:22" ht="24.75" thickBot="1" x14ac:dyDescent="0.25">
      <c r="T16726" s="28">
        <v>22235004</v>
      </c>
      <c r="U16726" s="29" t="s">
        <v>3809</v>
      </c>
      <c r="V16726" s="30">
        <v>78400000</v>
      </c>
    </row>
    <row r="16727" spans="20:22" ht="36.75" thickBot="1" x14ac:dyDescent="0.25">
      <c r="T16727" s="28">
        <v>22235006</v>
      </c>
      <c r="U16727" s="29" t="s">
        <v>3810</v>
      </c>
      <c r="V16727" s="30">
        <v>68100000</v>
      </c>
    </row>
    <row r="16728" spans="20:22" ht="24.75" thickBot="1" x14ac:dyDescent="0.25">
      <c r="T16728" s="28">
        <v>22235008</v>
      </c>
      <c r="U16728" s="29" t="s">
        <v>3811</v>
      </c>
      <c r="V16728" s="30">
        <v>69400000</v>
      </c>
    </row>
    <row r="16729" spans="20:22" ht="24.75" thickBot="1" x14ac:dyDescent="0.25">
      <c r="T16729" s="28">
        <v>22235012</v>
      </c>
      <c r="U16729" s="29" t="s">
        <v>3812</v>
      </c>
      <c r="V16729" s="30">
        <v>69400000</v>
      </c>
    </row>
    <row r="16730" spans="20:22" ht="24.75" thickBot="1" x14ac:dyDescent="0.25">
      <c r="T16730" s="28">
        <v>22235014</v>
      </c>
      <c r="U16730" s="29" t="s">
        <v>3813</v>
      </c>
      <c r="V16730" s="30">
        <v>68100000</v>
      </c>
    </row>
    <row r="16731" spans="20:22" ht="24.75" thickBot="1" x14ac:dyDescent="0.25">
      <c r="T16731" s="28">
        <v>22235018</v>
      </c>
      <c r="U16731" s="29" t="s">
        <v>3814</v>
      </c>
      <c r="V16731" s="30">
        <v>78400000</v>
      </c>
    </row>
    <row r="16732" spans="20:22" ht="24.75" thickBot="1" x14ac:dyDescent="0.25">
      <c r="T16732" s="28">
        <v>22235020</v>
      </c>
      <c r="U16732" s="29" t="s">
        <v>3815</v>
      </c>
      <c r="V16732" s="30">
        <v>68100000</v>
      </c>
    </row>
    <row r="16733" spans="20:22" ht="24.75" thickBot="1" x14ac:dyDescent="0.25">
      <c r="T16733" s="28">
        <v>22235022</v>
      </c>
      <c r="U16733" s="29" t="s">
        <v>3816</v>
      </c>
      <c r="V16733" s="30">
        <v>78400000</v>
      </c>
    </row>
    <row r="16734" spans="20:22" ht="24.75" thickBot="1" x14ac:dyDescent="0.25">
      <c r="T16734" s="28">
        <v>22235024</v>
      </c>
      <c r="U16734" s="29" t="s">
        <v>3817</v>
      </c>
      <c r="V16734" s="30">
        <v>73100000</v>
      </c>
    </row>
    <row r="16735" spans="20:22" ht="24.75" thickBot="1" x14ac:dyDescent="0.25">
      <c r="T16735" s="28">
        <v>22235028</v>
      </c>
      <c r="U16735" s="29" t="s">
        <v>3818</v>
      </c>
      <c r="V16735" s="30">
        <v>69400000</v>
      </c>
    </row>
    <row r="16736" spans="20:22" ht="24.75" thickBot="1" x14ac:dyDescent="0.25">
      <c r="T16736" s="28">
        <v>22235030</v>
      </c>
      <c r="U16736" s="29" t="s">
        <v>3819</v>
      </c>
      <c r="V16736" s="30">
        <v>75600000</v>
      </c>
    </row>
    <row r="16737" spans="20:22" ht="24.75" thickBot="1" x14ac:dyDescent="0.25">
      <c r="T16737" s="28">
        <v>22235036</v>
      </c>
      <c r="U16737" s="29" t="s">
        <v>3820</v>
      </c>
      <c r="V16737" s="30">
        <v>73100000</v>
      </c>
    </row>
    <row r="16738" spans="20:22" ht="24.75" thickBot="1" x14ac:dyDescent="0.25">
      <c r="T16738" s="28">
        <v>22235040</v>
      </c>
      <c r="U16738" s="29" t="s">
        <v>3821</v>
      </c>
      <c r="V16738" s="30">
        <v>78400000</v>
      </c>
    </row>
    <row r="16739" spans="20:22" ht="24.75" thickBot="1" x14ac:dyDescent="0.25">
      <c r="T16739" s="28">
        <v>22235044</v>
      </c>
      <c r="U16739" s="29" t="s">
        <v>3822</v>
      </c>
      <c r="V16739" s="30">
        <v>69400000</v>
      </c>
    </row>
    <row r="16740" spans="20:22" ht="24.75" thickBot="1" x14ac:dyDescent="0.25">
      <c r="T16740" s="28">
        <v>22236002</v>
      </c>
      <c r="U16740" s="29" t="s">
        <v>3823</v>
      </c>
      <c r="V16740" s="30">
        <v>157800000</v>
      </c>
    </row>
    <row r="16741" spans="20:22" ht="24.75" thickBot="1" x14ac:dyDescent="0.25">
      <c r="T16741" s="28">
        <v>22236004</v>
      </c>
      <c r="U16741" s="29" t="s">
        <v>3824</v>
      </c>
      <c r="V16741" s="30">
        <v>149700000</v>
      </c>
    </row>
    <row r="16742" spans="20:22" ht="24.75" thickBot="1" x14ac:dyDescent="0.25">
      <c r="T16742" s="28">
        <v>22236006</v>
      </c>
      <c r="U16742" s="29" t="s">
        <v>3825</v>
      </c>
      <c r="V16742" s="30">
        <v>147000000</v>
      </c>
    </row>
    <row r="16743" spans="20:22" ht="24.75" thickBot="1" x14ac:dyDescent="0.25">
      <c r="T16743" s="28">
        <v>22236008</v>
      </c>
      <c r="U16743" s="29" t="s">
        <v>3826</v>
      </c>
      <c r="V16743" s="30">
        <v>149700000</v>
      </c>
    </row>
    <row r="16744" spans="20:22" ht="24.75" thickBot="1" x14ac:dyDescent="0.25">
      <c r="T16744" s="28">
        <v>22236010</v>
      </c>
      <c r="U16744" s="29" t="s">
        <v>3827</v>
      </c>
      <c r="V16744" s="30">
        <v>169300000</v>
      </c>
    </row>
    <row r="16745" spans="20:22" ht="24.75" thickBot="1" x14ac:dyDescent="0.25">
      <c r="T16745" s="28">
        <v>22236012</v>
      </c>
      <c r="U16745" s="29" t="s">
        <v>3828</v>
      </c>
      <c r="V16745" s="30">
        <v>147000000</v>
      </c>
    </row>
    <row r="16746" spans="20:22" ht="24.75" thickBot="1" x14ac:dyDescent="0.25">
      <c r="T16746" s="28">
        <v>22236014</v>
      </c>
      <c r="U16746" s="29" t="s">
        <v>3829</v>
      </c>
      <c r="V16746" s="30">
        <v>157800000</v>
      </c>
    </row>
    <row r="16747" spans="20:22" ht="24.75" thickBot="1" x14ac:dyDescent="0.25">
      <c r="T16747" s="28">
        <v>22236016</v>
      </c>
      <c r="U16747" s="29" t="s">
        <v>3830</v>
      </c>
      <c r="V16747" s="30">
        <v>163100000</v>
      </c>
    </row>
    <row r="16748" spans="20:22" ht="24.75" thickBot="1" x14ac:dyDescent="0.25">
      <c r="T16748" s="28">
        <v>22236020</v>
      </c>
      <c r="U16748" s="29" t="s">
        <v>3831</v>
      </c>
      <c r="V16748" s="30">
        <v>157800000</v>
      </c>
    </row>
    <row r="16749" spans="20:22" ht="24.75" thickBot="1" x14ac:dyDescent="0.25">
      <c r="T16749" s="28">
        <v>22236022</v>
      </c>
      <c r="U16749" s="29" t="s">
        <v>3832</v>
      </c>
      <c r="V16749" s="30">
        <v>149700000</v>
      </c>
    </row>
    <row r="16750" spans="20:22" ht="36.75" thickBot="1" x14ac:dyDescent="0.25">
      <c r="T16750" s="28">
        <v>22236024</v>
      </c>
      <c r="U16750" s="29" t="s">
        <v>3833</v>
      </c>
      <c r="V16750" s="30">
        <v>163100000</v>
      </c>
    </row>
    <row r="16751" spans="20:22" ht="24.75" thickBot="1" x14ac:dyDescent="0.25">
      <c r="T16751" s="28">
        <v>22236026</v>
      </c>
      <c r="U16751" s="29" t="s">
        <v>3834</v>
      </c>
      <c r="V16751" s="30">
        <v>157800000</v>
      </c>
    </row>
    <row r="16752" spans="20:22" ht="24.75" thickBot="1" x14ac:dyDescent="0.25">
      <c r="T16752" s="28">
        <v>22236028</v>
      </c>
      <c r="U16752" s="29" t="s">
        <v>3835</v>
      </c>
      <c r="V16752" s="30">
        <v>157800000</v>
      </c>
    </row>
    <row r="16753" spans="20:22" ht="24.75" thickBot="1" x14ac:dyDescent="0.25">
      <c r="T16753" s="28">
        <v>22236030</v>
      </c>
      <c r="U16753" s="29" t="s">
        <v>3836</v>
      </c>
      <c r="V16753" s="30">
        <v>149700000</v>
      </c>
    </row>
    <row r="16754" spans="20:22" ht="24.75" thickBot="1" x14ac:dyDescent="0.25">
      <c r="T16754" s="28">
        <v>22236034</v>
      </c>
      <c r="U16754" s="29" t="s">
        <v>3837</v>
      </c>
      <c r="V16754" s="30">
        <v>169300000</v>
      </c>
    </row>
    <row r="16755" spans="20:22" ht="24.75" thickBot="1" x14ac:dyDescent="0.25">
      <c r="T16755" s="28">
        <v>22236036</v>
      </c>
      <c r="U16755" s="29" t="s">
        <v>3838</v>
      </c>
      <c r="V16755" s="30">
        <v>169300000</v>
      </c>
    </row>
    <row r="16756" spans="20:22" ht="24.75" thickBot="1" x14ac:dyDescent="0.25">
      <c r="T16756" s="28">
        <v>22236038</v>
      </c>
      <c r="U16756" s="29" t="s">
        <v>3839</v>
      </c>
      <c r="V16756" s="30">
        <v>149700000</v>
      </c>
    </row>
    <row r="16757" spans="20:22" ht="24.75" thickBot="1" x14ac:dyDescent="0.25">
      <c r="T16757" s="28">
        <v>22236040</v>
      </c>
      <c r="U16757" s="29" t="s">
        <v>3840</v>
      </c>
      <c r="V16757" s="30">
        <v>157800000</v>
      </c>
    </row>
    <row r="16758" spans="20:22" ht="24.75" thickBot="1" x14ac:dyDescent="0.25">
      <c r="T16758" s="28">
        <v>22236044</v>
      </c>
      <c r="U16758" s="29" t="s">
        <v>3841</v>
      </c>
      <c r="V16758" s="30">
        <v>149700000</v>
      </c>
    </row>
    <row r="16759" spans="20:22" ht="24.75" thickBot="1" x14ac:dyDescent="0.25">
      <c r="T16759" s="28">
        <v>22245002</v>
      </c>
      <c r="U16759" s="29" t="s">
        <v>3842</v>
      </c>
      <c r="V16759" s="30">
        <v>69400000</v>
      </c>
    </row>
    <row r="16760" spans="20:22" ht="24.75" thickBot="1" x14ac:dyDescent="0.25">
      <c r="T16760" s="28">
        <v>22245004</v>
      </c>
      <c r="U16760" s="29" t="s">
        <v>3843</v>
      </c>
      <c r="V16760" s="30">
        <v>68100000</v>
      </c>
    </row>
    <row r="16761" spans="20:22" ht="24.75" thickBot="1" x14ac:dyDescent="0.25">
      <c r="T16761" s="28">
        <v>22245006</v>
      </c>
      <c r="U16761" s="29" t="s">
        <v>3844</v>
      </c>
      <c r="V16761" s="30">
        <v>78400000</v>
      </c>
    </row>
    <row r="16762" spans="20:22" ht="24.75" thickBot="1" x14ac:dyDescent="0.25">
      <c r="T16762" s="28">
        <v>22245008</v>
      </c>
      <c r="U16762" s="29" t="s">
        <v>3845</v>
      </c>
      <c r="V16762" s="30">
        <v>68100000</v>
      </c>
    </row>
    <row r="16763" spans="20:22" ht="24.75" thickBot="1" x14ac:dyDescent="0.25">
      <c r="T16763" s="28">
        <v>22245012</v>
      </c>
      <c r="U16763" s="29" t="s">
        <v>3846</v>
      </c>
      <c r="V16763" s="30">
        <v>78400000</v>
      </c>
    </row>
    <row r="16764" spans="20:22" ht="24.75" thickBot="1" x14ac:dyDescent="0.25">
      <c r="T16764" s="28">
        <v>22245016</v>
      </c>
      <c r="U16764" s="29" t="s">
        <v>3847</v>
      </c>
      <c r="V16764" s="30">
        <v>69400000</v>
      </c>
    </row>
    <row r="16765" spans="20:22" ht="24.75" thickBot="1" x14ac:dyDescent="0.25">
      <c r="T16765" s="28">
        <v>22245018</v>
      </c>
      <c r="U16765" s="29" t="s">
        <v>3848</v>
      </c>
      <c r="V16765" s="30">
        <v>69400000</v>
      </c>
    </row>
    <row r="16766" spans="20:22" ht="24.75" thickBot="1" x14ac:dyDescent="0.25">
      <c r="T16766" s="28">
        <v>22245020</v>
      </c>
      <c r="U16766" s="29" t="s">
        <v>3849</v>
      </c>
      <c r="V16766" s="30">
        <v>68100000</v>
      </c>
    </row>
    <row r="16767" spans="20:22" ht="24.75" thickBot="1" x14ac:dyDescent="0.25">
      <c r="T16767" s="28">
        <v>22245022</v>
      </c>
      <c r="U16767" s="29" t="s">
        <v>3850</v>
      </c>
      <c r="V16767" s="30">
        <v>73100000</v>
      </c>
    </row>
    <row r="16768" spans="20:22" ht="24.75" thickBot="1" x14ac:dyDescent="0.25">
      <c r="T16768" s="28">
        <v>22245024</v>
      </c>
      <c r="U16768" s="29" t="s">
        <v>3851</v>
      </c>
      <c r="V16768" s="30">
        <v>68100000</v>
      </c>
    </row>
    <row r="16769" spans="20:22" ht="24.75" thickBot="1" x14ac:dyDescent="0.25">
      <c r="T16769" s="28">
        <v>22245028</v>
      </c>
      <c r="U16769" s="29" t="s">
        <v>3852</v>
      </c>
      <c r="V16769" s="30">
        <v>71000000</v>
      </c>
    </row>
    <row r="16770" spans="20:22" ht="24.75" thickBot="1" x14ac:dyDescent="0.25">
      <c r="T16770" s="28">
        <v>22245034</v>
      </c>
      <c r="U16770" s="29" t="s">
        <v>3853</v>
      </c>
      <c r="V16770" s="30">
        <v>73100000</v>
      </c>
    </row>
    <row r="16771" spans="20:22" ht="24.75" thickBot="1" x14ac:dyDescent="0.25">
      <c r="T16771" s="28">
        <v>22246002</v>
      </c>
      <c r="U16771" s="29" t="s">
        <v>3854</v>
      </c>
      <c r="V16771" s="30">
        <v>163100000</v>
      </c>
    </row>
    <row r="16772" spans="20:22" ht="24.75" thickBot="1" x14ac:dyDescent="0.25">
      <c r="T16772" s="28">
        <v>22246004</v>
      </c>
      <c r="U16772" s="29" t="s">
        <v>3855</v>
      </c>
      <c r="V16772" s="30">
        <v>169300000</v>
      </c>
    </row>
    <row r="16773" spans="20:22" ht="24.75" thickBot="1" x14ac:dyDescent="0.25">
      <c r="T16773" s="28">
        <v>22246006</v>
      </c>
      <c r="U16773" s="29" t="s">
        <v>3856</v>
      </c>
      <c r="V16773" s="30">
        <v>169300000</v>
      </c>
    </row>
    <row r="16774" spans="20:22" ht="24.75" thickBot="1" x14ac:dyDescent="0.25">
      <c r="T16774" s="28">
        <v>22246008</v>
      </c>
      <c r="U16774" s="29" t="s">
        <v>3857</v>
      </c>
      <c r="V16774" s="30">
        <v>147000000</v>
      </c>
    </row>
    <row r="16775" spans="20:22" ht="24.75" thickBot="1" x14ac:dyDescent="0.25">
      <c r="T16775" s="28">
        <v>22246010</v>
      </c>
      <c r="U16775" s="29" t="s">
        <v>3858</v>
      </c>
      <c r="V16775" s="30">
        <v>163100000</v>
      </c>
    </row>
    <row r="16776" spans="20:22" ht="24.75" thickBot="1" x14ac:dyDescent="0.25">
      <c r="T16776" s="28">
        <v>22246012</v>
      </c>
      <c r="U16776" s="29" t="s">
        <v>3859</v>
      </c>
      <c r="V16776" s="30">
        <v>149700000</v>
      </c>
    </row>
    <row r="16777" spans="20:22" ht="24.75" thickBot="1" x14ac:dyDescent="0.25">
      <c r="T16777" s="28">
        <v>22246014</v>
      </c>
      <c r="U16777" s="29" t="s">
        <v>3860</v>
      </c>
      <c r="V16777" s="30">
        <v>149700000</v>
      </c>
    </row>
    <row r="16778" spans="20:22" ht="24.75" thickBot="1" x14ac:dyDescent="0.25">
      <c r="T16778" s="28">
        <v>22246016</v>
      </c>
      <c r="U16778" s="29" t="s">
        <v>3861</v>
      </c>
      <c r="V16778" s="30">
        <v>157800000</v>
      </c>
    </row>
    <row r="16779" spans="20:22" ht="24.75" thickBot="1" x14ac:dyDescent="0.25">
      <c r="T16779" s="28">
        <v>22246018</v>
      </c>
      <c r="U16779" s="29" t="s">
        <v>3862</v>
      </c>
      <c r="V16779" s="30">
        <v>147000000</v>
      </c>
    </row>
    <row r="16780" spans="20:22" ht="24.75" thickBot="1" x14ac:dyDescent="0.25">
      <c r="T16780" s="28">
        <v>22246022</v>
      </c>
      <c r="U16780" s="29" t="s">
        <v>3863</v>
      </c>
      <c r="V16780" s="30">
        <v>157800000</v>
      </c>
    </row>
    <row r="16781" spans="20:22" ht="24.75" thickBot="1" x14ac:dyDescent="0.25">
      <c r="T16781" s="28">
        <v>22246024</v>
      </c>
      <c r="U16781" s="29" t="s">
        <v>3864</v>
      </c>
      <c r="V16781" s="30">
        <v>147000000</v>
      </c>
    </row>
    <row r="16782" spans="20:22" ht="24.75" thickBot="1" x14ac:dyDescent="0.25">
      <c r="T16782" s="28">
        <v>22246026</v>
      </c>
      <c r="U16782" s="29" t="s">
        <v>3865</v>
      </c>
      <c r="V16782" s="30">
        <v>163100000</v>
      </c>
    </row>
    <row r="16783" spans="20:22" ht="24.75" thickBot="1" x14ac:dyDescent="0.25">
      <c r="T16783" s="28">
        <v>22246030</v>
      </c>
      <c r="U16783" s="29" t="s">
        <v>3866</v>
      </c>
      <c r="V16783" s="30">
        <v>149700000</v>
      </c>
    </row>
    <row r="16784" spans="20:22" ht="24.75" thickBot="1" x14ac:dyDescent="0.25">
      <c r="T16784" s="28">
        <v>22246032</v>
      </c>
      <c r="U16784" s="29" t="s">
        <v>3867</v>
      </c>
      <c r="V16784" s="30">
        <v>157800000</v>
      </c>
    </row>
    <row r="16785" spans="20:22" ht="24.75" thickBot="1" x14ac:dyDescent="0.25">
      <c r="T16785" s="28">
        <v>22246034</v>
      </c>
      <c r="U16785" s="29" t="s">
        <v>3868</v>
      </c>
      <c r="V16785" s="30">
        <v>147000000</v>
      </c>
    </row>
    <row r="16786" spans="20:22" ht="24.75" thickBot="1" x14ac:dyDescent="0.25">
      <c r="T16786" s="28">
        <v>22325002</v>
      </c>
      <c r="U16786" s="29" t="s">
        <v>3869</v>
      </c>
      <c r="V16786" s="30">
        <v>61700000</v>
      </c>
    </row>
    <row r="16787" spans="20:22" ht="24.75" thickBot="1" x14ac:dyDescent="0.25">
      <c r="T16787" s="28">
        <v>22325004</v>
      </c>
      <c r="U16787" s="29" t="s">
        <v>3870</v>
      </c>
      <c r="V16787" s="30">
        <v>69700000</v>
      </c>
    </row>
    <row r="16788" spans="20:22" ht="24.75" thickBot="1" x14ac:dyDescent="0.25">
      <c r="T16788" s="28">
        <v>22325008</v>
      </c>
      <c r="U16788" s="29" t="s">
        <v>3871</v>
      </c>
      <c r="V16788" s="30">
        <v>65000000</v>
      </c>
    </row>
    <row r="16789" spans="20:22" ht="24.75" thickBot="1" x14ac:dyDescent="0.25">
      <c r="T16789" s="28">
        <v>22325012</v>
      </c>
      <c r="U16789" s="29" t="s">
        <v>3872</v>
      </c>
      <c r="V16789" s="30">
        <v>61700000</v>
      </c>
    </row>
    <row r="16790" spans="20:22" ht="13.5" thickBot="1" x14ac:dyDescent="0.25">
      <c r="T16790" s="28">
        <v>22325014</v>
      </c>
      <c r="U16790" s="29" t="s">
        <v>3873</v>
      </c>
      <c r="V16790" s="30">
        <v>60500000</v>
      </c>
    </row>
    <row r="16791" spans="20:22" ht="24.75" thickBot="1" x14ac:dyDescent="0.25">
      <c r="T16791" s="28">
        <v>22325016</v>
      </c>
      <c r="U16791" s="29" t="s">
        <v>3874</v>
      </c>
      <c r="V16791" s="30">
        <v>65000000</v>
      </c>
    </row>
    <row r="16792" spans="20:22" ht="24.75" thickBot="1" x14ac:dyDescent="0.25">
      <c r="T16792" s="28">
        <v>22325018</v>
      </c>
      <c r="U16792" s="29" t="s">
        <v>3875</v>
      </c>
      <c r="V16792" s="30">
        <v>61700000</v>
      </c>
    </row>
    <row r="16793" spans="20:22" ht="24.75" thickBot="1" x14ac:dyDescent="0.25">
      <c r="T16793" s="28">
        <v>22325020</v>
      </c>
      <c r="U16793" s="29" t="s">
        <v>3876</v>
      </c>
      <c r="V16793" s="30">
        <v>63200000</v>
      </c>
    </row>
    <row r="16794" spans="20:22" ht="24.75" thickBot="1" x14ac:dyDescent="0.25">
      <c r="T16794" s="28">
        <v>22325022</v>
      </c>
      <c r="U16794" s="29" t="s">
        <v>3877</v>
      </c>
      <c r="V16794" s="30">
        <v>69700000</v>
      </c>
    </row>
    <row r="16795" spans="20:22" ht="36.75" thickBot="1" x14ac:dyDescent="0.25">
      <c r="T16795" s="28">
        <v>22325024</v>
      </c>
      <c r="U16795" s="29" t="s">
        <v>3878</v>
      </c>
      <c r="V16795" s="30">
        <v>61700000</v>
      </c>
    </row>
    <row r="16796" spans="20:22" ht="24.75" thickBot="1" x14ac:dyDescent="0.25">
      <c r="T16796" s="28">
        <v>22325026</v>
      </c>
      <c r="U16796" s="29" t="s">
        <v>3879</v>
      </c>
      <c r="V16796" s="30">
        <v>60500000</v>
      </c>
    </row>
    <row r="16797" spans="20:22" ht="24.75" thickBot="1" x14ac:dyDescent="0.25">
      <c r="T16797" s="28">
        <v>22325028</v>
      </c>
      <c r="U16797" s="29" t="s">
        <v>3880</v>
      </c>
      <c r="V16797" s="30">
        <v>65000000</v>
      </c>
    </row>
    <row r="16798" spans="20:22" ht="24.75" thickBot="1" x14ac:dyDescent="0.25">
      <c r="T16798" s="28">
        <v>22325030</v>
      </c>
      <c r="U16798" s="29" t="s">
        <v>3881</v>
      </c>
      <c r="V16798" s="30">
        <v>60500000</v>
      </c>
    </row>
    <row r="16799" spans="20:22" ht="24.75" thickBot="1" x14ac:dyDescent="0.25">
      <c r="T16799" s="28">
        <v>22325032</v>
      </c>
      <c r="U16799" s="29" t="s">
        <v>3882</v>
      </c>
      <c r="V16799" s="30">
        <v>61700000</v>
      </c>
    </row>
    <row r="16800" spans="20:22" ht="24.75" thickBot="1" x14ac:dyDescent="0.25">
      <c r="T16800" s="28">
        <v>22325034</v>
      </c>
      <c r="U16800" s="29" t="s">
        <v>3883</v>
      </c>
      <c r="V16800" s="30">
        <v>61700000</v>
      </c>
    </row>
    <row r="16801" spans="20:22" ht="24.75" thickBot="1" x14ac:dyDescent="0.25">
      <c r="T16801" s="28">
        <v>22325036</v>
      </c>
      <c r="U16801" s="29" t="s">
        <v>3884</v>
      </c>
      <c r="V16801" s="30">
        <v>61700000</v>
      </c>
    </row>
    <row r="16802" spans="20:22" ht="24.75" thickBot="1" x14ac:dyDescent="0.25">
      <c r="T16802" s="28">
        <v>22326002</v>
      </c>
      <c r="U16802" s="29" t="s">
        <v>3885</v>
      </c>
      <c r="V16802" s="30">
        <v>140300000</v>
      </c>
    </row>
    <row r="16803" spans="20:22" ht="36.75" thickBot="1" x14ac:dyDescent="0.25">
      <c r="T16803" s="28">
        <v>22326004</v>
      </c>
      <c r="U16803" s="29" t="s">
        <v>3886</v>
      </c>
      <c r="V16803" s="30">
        <v>140300000</v>
      </c>
    </row>
    <row r="16804" spans="20:22" ht="36.75" thickBot="1" x14ac:dyDescent="0.25">
      <c r="T16804" s="28">
        <v>22326006</v>
      </c>
      <c r="U16804" s="29" t="s">
        <v>3887</v>
      </c>
      <c r="V16804" s="30">
        <v>136300000</v>
      </c>
    </row>
    <row r="16805" spans="20:22" ht="24.75" thickBot="1" x14ac:dyDescent="0.25">
      <c r="T16805" s="28">
        <v>22326008</v>
      </c>
      <c r="U16805" s="29" t="s">
        <v>3888</v>
      </c>
      <c r="V16805" s="30">
        <v>133100000</v>
      </c>
    </row>
    <row r="16806" spans="20:22" ht="24.75" thickBot="1" x14ac:dyDescent="0.25">
      <c r="T16806" s="28">
        <v>22326010</v>
      </c>
      <c r="U16806" s="29" t="s">
        <v>3889</v>
      </c>
      <c r="V16806" s="30">
        <v>150500000</v>
      </c>
    </row>
    <row r="16807" spans="20:22" ht="24.75" thickBot="1" x14ac:dyDescent="0.25">
      <c r="T16807" s="28">
        <v>22326012</v>
      </c>
      <c r="U16807" s="29" t="s">
        <v>3890</v>
      </c>
      <c r="V16807" s="30">
        <v>145000000</v>
      </c>
    </row>
    <row r="16808" spans="20:22" ht="24.75" thickBot="1" x14ac:dyDescent="0.25">
      <c r="T16808" s="28">
        <v>22326014</v>
      </c>
      <c r="U16808" s="29" t="s">
        <v>3891</v>
      </c>
      <c r="V16808" s="30">
        <v>133100000</v>
      </c>
    </row>
    <row r="16809" spans="20:22" ht="24.75" thickBot="1" x14ac:dyDescent="0.25">
      <c r="T16809" s="28">
        <v>22326016</v>
      </c>
      <c r="U16809" s="29" t="s">
        <v>3892</v>
      </c>
      <c r="V16809" s="30">
        <v>140300000</v>
      </c>
    </row>
    <row r="16810" spans="20:22" ht="24.75" thickBot="1" x14ac:dyDescent="0.25">
      <c r="T16810" s="28">
        <v>22326018</v>
      </c>
      <c r="U16810" s="29" t="s">
        <v>3893</v>
      </c>
      <c r="V16810" s="30">
        <v>130600000</v>
      </c>
    </row>
    <row r="16811" spans="20:22" ht="24.75" thickBot="1" x14ac:dyDescent="0.25">
      <c r="T16811" s="28">
        <v>22326020</v>
      </c>
      <c r="U16811" s="29" t="s">
        <v>3894</v>
      </c>
      <c r="V16811" s="30">
        <v>133100000</v>
      </c>
    </row>
    <row r="16812" spans="20:22" ht="24.75" thickBot="1" x14ac:dyDescent="0.25">
      <c r="T16812" s="28">
        <v>22326024</v>
      </c>
      <c r="U16812" s="29" t="s">
        <v>3895</v>
      </c>
      <c r="V16812" s="30">
        <v>133100000</v>
      </c>
    </row>
    <row r="16813" spans="20:22" ht="24.75" thickBot="1" x14ac:dyDescent="0.25">
      <c r="T16813" s="28">
        <v>22326026</v>
      </c>
      <c r="U16813" s="29" t="s">
        <v>3896</v>
      </c>
      <c r="V16813" s="30">
        <v>133100000</v>
      </c>
    </row>
    <row r="16814" spans="20:22" ht="24.75" thickBot="1" x14ac:dyDescent="0.25">
      <c r="T16814" s="28">
        <v>22326028</v>
      </c>
      <c r="U16814" s="29" t="s">
        <v>3897</v>
      </c>
      <c r="V16814" s="30">
        <v>145000000</v>
      </c>
    </row>
    <row r="16815" spans="20:22" ht="24.75" thickBot="1" x14ac:dyDescent="0.25">
      <c r="T16815" s="28">
        <v>22326030</v>
      </c>
      <c r="U16815" s="29" t="s">
        <v>3898</v>
      </c>
      <c r="V16815" s="30">
        <v>133100000</v>
      </c>
    </row>
    <row r="16816" spans="20:22" ht="24.75" thickBot="1" x14ac:dyDescent="0.25">
      <c r="T16816" s="28">
        <v>22326032</v>
      </c>
      <c r="U16816" s="29" t="s">
        <v>3899</v>
      </c>
      <c r="V16816" s="30">
        <v>130600000</v>
      </c>
    </row>
    <row r="16817" spans="20:22" ht="24.75" thickBot="1" x14ac:dyDescent="0.25">
      <c r="T16817" s="28">
        <v>22326034</v>
      </c>
      <c r="U16817" s="29" t="s">
        <v>3900</v>
      </c>
      <c r="V16817" s="30">
        <v>130600000</v>
      </c>
    </row>
    <row r="16818" spans="20:22" ht="24.75" thickBot="1" x14ac:dyDescent="0.25">
      <c r="T16818" s="28">
        <v>22326036</v>
      </c>
      <c r="U16818" s="29" t="s">
        <v>3901</v>
      </c>
      <c r="V16818" s="30">
        <v>133100000</v>
      </c>
    </row>
    <row r="16819" spans="20:22" ht="24.75" thickBot="1" x14ac:dyDescent="0.25">
      <c r="T16819" s="28">
        <v>22335002</v>
      </c>
      <c r="U16819" s="29" t="s">
        <v>3902</v>
      </c>
      <c r="V16819" s="30">
        <v>69700000</v>
      </c>
    </row>
    <row r="16820" spans="20:22" ht="24.75" thickBot="1" x14ac:dyDescent="0.25">
      <c r="T16820" s="28">
        <v>22335004</v>
      </c>
      <c r="U16820" s="29" t="s">
        <v>3903</v>
      </c>
      <c r="V16820" s="30">
        <v>69700000</v>
      </c>
    </row>
    <row r="16821" spans="20:22" ht="24.75" thickBot="1" x14ac:dyDescent="0.25">
      <c r="T16821" s="28">
        <v>22335006</v>
      </c>
      <c r="U16821" s="29" t="s">
        <v>3904</v>
      </c>
      <c r="V16821" s="30">
        <v>60500000</v>
      </c>
    </row>
    <row r="16822" spans="20:22" ht="24.75" thickBot="1" x14ac:dyDescent="0.25">
      <c r="T16822" s="28">
        <v>22335008</v>
      </c>
      <c r="U16822" s="29" t="s">
        <v>3905</v>
      </c>
      <c r="V16822" s="30">
        <v>61700000</v>
      </c>
    </row>
    <row r="16823" spans="20:22" ht="24.75" thickBot="1" x14ac:dyDescent="0.25">
      <c r="T16823" s="28">
        <v>22335012</v>
      </c>
      <c r="U16823" s="29" t="s">
        <v>3906</v>
      </c>
      <c r="V16823" s="30">
        <v>61700000</v>
      </c>
    </row>
    <row r="16824" spans="20:22" ht="24.75" thickBot="1" x14ac:dyDescent="0.25">
      <c r="T16824" s="28">
        <v>22335014</v>
      </c>
      <c r="U16824" s="29" t="s">
        <v>3907</v>
      </c>
      <c r="V16824" s="30">
        <v>60500000</v>
      </c>
    </row>
    <row r="16825" spans="20:22" ht="24.75" thickBot="1" x14ac:dyDescent="0.25">
      <c r="T16825" s="28">
        <v>22335016</v>
      </c>
      <c r="U16825" s="29" t="s">
        <v>3908</v>
      </c>
      <c r="V16825" s="30">
        <v>61700000</v>
      </c>
    </row>
    <row r="16826" spans="20:22" ht="24.75" thickBot="1" x14ac:dyDescent="0.25">
      <c r="T16826" s="28">
        <v>22335018</v>
      </c>
      <c r="U16826" s="29" t="s">
        <v>3909</v>
      </c>
      <c r="V16826" s="30">
        <v>69700000</v>
      </c>
    </row>
    <row r="16827" spans="20:22" ht="24.75" thickBot="1" x14ac:dyDescent="0.25">
      <c r="T16827" s="28">
        <v>22335020</v>
      </c>
      <c r="U16827" s="29" t="s">
        <v>3910</v>
      </c>
      <c r="V16827" s="30">
        <v>60500000</v>
      </c>
    </row>
    <row r="16828" spans="20:22" ht="24.75" thickBot="1" x14ac:dyDescent="0.25">
      <c r="T16828" s="28">
        <v>22335022</v>
      </c>
      <c r="U16828" s="29" t="s">
        <v>3911</v>
      </c>
      <c r="V16828" s="30">
        <v>69700000</v>
      </c>
    </row>
    <row r="16829" spans="20:22" ht="24.75" thickBot="1" x14ac:dyDescent="0.25">
      <c r="T16829" s="28">
        <v>22335024</v>
      </c>
      <c r="U16829" s="29" t="s">
        <v>3912</v>
      </c>
      <c r="V16829" s="30">
        <v>65000000</v>
      </c>
    </row>
    <row r="16830" spans="20:22" ht="13.5" thickBot="1" x14ac:dyDescent="0.25">
      <c r="T16830" s="28">
        <v>22335026</v>
      </c>
      <c r="U16830" s="29" t="s">
        <v>3913</v>
      </c>
      <c r="V16830" s="30">
        <v>69700000</v>
      </c>
    </row>
    <row r="16831" spans="20:22" ht="24.75" thickBot="1" x14ac:dyDescent="0.25">
      <c r="T16831" s="28">
        <v>22335028</v>
      </c>
      <c r="U16831" s="29" t="s">
        <v>3914</v>
      </c>
      <c r="V16831" s="30">
        <v>61700000</v>
      </c>
    </row>
    <row r="16832" spans="20:22" ht="24.75" thickBot="1" x14ac:dyDescent="0.25">
      <c r="T16832" s="28">
        <v>22335030</v>
      </c>
      <c r="U16832" s="29" t="s">
        <v>3915</v>
      </c>
      <c r="V16832" s="30">
        <v>67200000</v>
      </c>
    </row>
    <row r="16833" spans="20:22" ht="24.75" thickBot="1" x14ac:dyDescent="0.25">
      <c r="T16833" s="28">
        <v>22335034</v>
      </c>
      <c r="U16833" s="29" t="s">
        <v>3916</v>
      </c>
      <c r="V16833" s="30">
        <v>69700000</v>
      </c>
    </row>
    <row r="16834" spans="20:22" ht="24.75" thickBot="1" x14ac:dyDescent="0.25">
      <c r="T16834" s="28">
        <v>22335036</v>
      </c>
      <c r="U16834" s="29" t="s">
        <v>3917</v>
      </c>
      <c r="V16834" s="30">
        <v>65000000</v>
      </c>
    </row>
    <row r="16835" spans="20:22" ht="24.75" thickBot="1" x14ac:dyDescent="0.25">
      <c r="T16835" s="28">
        <v>22335040</v>
      </c>
      <c r="U16835" s="29" t="s">
        <v>3918</v>
      </c>
      <c r="V16835" s="30">
        <v>69700000</v>
      </c>
    </row>
    <row r="16836" spans="20:22" ht="24.75" thickBot="1" x14ac:dyDescent="0.25">
      <c r="T16836" s="28">
        <v>22336002</v>
      </c>
      <c r="U16836" s="29" t="s">
        <v>3919</v>
      </c>
      <c r="V16836" s="30">
        <v>140300000</v>
      </c>
    </row>
    <row r="16837" spans="20:22" ht="24.75" thickBot="1" x14ac:dyDescent="0.25">
      <c r="T16837" s="28">
        <v>22336004</v>
      </c>
      <c r="U16837" s="29" t="s">
        <v>3920</v>
      </c>
      <c r="V16837" s="30">
        <v>133100000</v>
      </c>
    </row>
    <row r="16838" spans="20:22" ht="24.75" thickBot="1" x14ac:dyDescent="0.25">
      <c r="T16838" s="28">
        <v>22336006</v>
      </c>
      <c r="U16838" s="29" t="s">
        <v>3921</v>
      </c>
      <c r="V16838" s="30">
        <v>130600000</v>
      </c>
    </row>
    <row r="16839" spans="20:22" ht="24.75" thickBot="1" x14ac:dyDescent="0.25">
      <c r="T16839" s="28">
        <v>22336008</v>
      </c>
      <c r="U16839" s="29" t="s">
        <v>3922</v>
      </c>
      <c r="V16839" s="30">
        <v>133100000</v>
      </c>
    </row>
    <row r="16840" spans="20:22" ht="24.75" thickBot="1" x14ac:dyDescent="0.25">
      <c r="T16840" s="28">
        <v>22336010</v>
      </c>
      <c r="U16840" s="29" t="s">
        <v>3923</v>
      </c>
      <c r="V16840" s="30">
        <v>150500000</v>
      </c>
    </row>
    <row r="16841" spans="20:22" ht="24.75" thickBot="1" x14ac:dyDescent="0.25">
      <c r="T16841" s="28">
        <v>22336012</v>
      </c>
      <c r="U16841" s="29" t="s">
        <v>3924</v>
      </c>
      <c r="V16841" s="30">
        <v>130600000</v>
      </c>
    </row>
    <row r="16842" spans="20:22" ht="24.75" thickBot="1" x14ac:dyDescent="0.25">
      <c r="T16842" s="28">
        <v>22336014</v>
      </c>
      <c r="U16842" s="29" t="s">
        <v>3925</v>
      </c>
      <c r="V16842" s="30">
        <v>140300000</v>
      </c>
    </row>
    <row r="16843" spans="20:22" ht="24.75" thickBot="1" x14ac:dyDescent="0.25">
      <c r="T16843" s="28">
        <v>22336016</v>
      </c>
      <c r="U16843" s="29" t="s">
        <v>3926</v>
      </c>
      <c r="V16843" s="30">
        <v>145000000</v>
      </c>
    </row>
    <row r="16844" spans="20:22" ht="36.75" thickBot="1" x14ac:dyDescent="0.25">
      <c r="T16844" s="28">
        <v>22336020</v>
      </c>
      <c r="U16844" s="29" t="s">
        <v>3927</v>
      </c>
      <c r="V16844" s="30">
        <v>140300000</v>
      </c>
    </row>
    <row r="16845" spans="20:22" ht="24.75" thickBot="1" x14ac:dyDescent="0.25">
      <c r="T16845" s="28">
        <v>22336022</v>
      </c>
      <c r="U16845" s="29" t="s">
        <v>3928</v>
      </c>
      <c r="V16845" s="30">
        <v>133100000</v>
      </c>
    </row>
    <row r="16846" spans="20:22" ht="24.75" thickBot="1" x14ac:dyDescent="0.25">
      <c r="T16846" s="28">
        <v>22336024</v>
      </c>
      <c r="U16846" s="29" t="s">
        <v>3929</v>
      </c>
      <c r="V16846" s="30">
        <v>145000000</v>
      </c>
    </row>
    <row r="16847" spans="20:22" ht="24.75" thickBot="1" x14ac:dyDescent="0.25">
      <c r="T16847" s="28">
        <v>22336026</v>
      </c>
      <c r="U16847" s="29" t="s">
        <v>3930</v>
      </c>
      <c r="V16847" s="30">
        <v>140300000</v>
      </c>
    </row>
    <row r="16848" spans="20:22" ht="24.75" thickBot="1" x14ac:dyDescent="0.25">
      <c r="T16848" s="28">
        <v>22336028</v>
      </c>
      <c r="U16848" s="29" t="s">
        <v>3931</v>
      </c>
      <c r="V16848" s="30">
        <v>140300000</v>
      </c>
    </row>
    <row r="16849" spans="20:22" ht="24.75" thickBot="1" x14ac:dyDescent="0.25">
      <c r="T16849" s="28">
        <v>22336030</v>
      </c>
      <c r="U16849" s="29" t="s">
        <v>3932</v>
      </c>
      <c r="V16849" s="30">
        <v>133100000</v>
      </c>
    </row>
    <row r="16850" spans="20:22" ht="36.75" thickBot="1" x14ac:dyDescent="0.25">
      <c r="T16850" s="28">
        <v>22336032</v>
      </c>
      <c r="U16850" s="29" t="s">
        <v>3933</v>
      </c>
      <c r="V16850" s="30">
        <v>136300000</v>
      </c>
    </row>
    <row r="16851" spans="20:22" ht="24.75" thickBot="1" x14ac:dyDescent="0.25">
      <c r="T16851" s="28">
        <v>22336034</v>
      </c>
      <c r="U16851" s="29" t="s">
        <v>3934</v>
      </c>
      <c r="V16851" s="30">
        <v>150500000</v>
      </c>
    </row>
    <row r="16852" spans="20:22" ht="24.75" thickBot="1" x14ac:dyDescent="0.25">
      <c r="T16852" s="28">
        <v>22336036</v>
      </c>
      <c r="U16852" s="29" t="s">
        <v>3935</v>
      </c>
      <c r="V16852" s="30">
        <v>150500000</v>
      </c>
    </row>
    <row r="16853" spans="20:22" ht="24.75" thickBot="1" x14ac:dyDescent="0.25">
      <c r="T16853" s="28">
        <v>22336040</v>
      </c>
      <c r="U16853" s="29" t="s">
        <v>3936</v>
      </c>
      <c r="V16853" s="30">
        <v>140300000</v>
      </c>
    </row>
    <row r="16854" spans="20:22" ht="24.75" thickBot="1" x14ac:dyDescent="0.25">
      <c r="T16854" s="28">
        <v>22336044</v>
      </c>
      <c r="U16854" s="29" t="s">
        <v>3937</v>
      </c>
      <c r="V16854" s="30">
        <v>133100000</v>
      </c>
    </row>
    <row r="16855" spans="20:22" ht="24.75" thickBot="1" x14ac:dyDescent="0.25">
      <c r="T16855" s="28">
        <v>22344044</v>
      </c>
      <c r="U16855" s="29" t="s">
        <v>3938</v>
      </c>
      <c r="V16855" s="30">
        <v>61700000</v>
      </c>
    </row>
    <row r="16856" spans="20:22" ht="24.75" thickBot="1" x14ac:dyDescent="0.25">
      <c r="T16856" s="28">
        <v>22345002</v>
      </c>
      <c r="U16856" s="29" t="s">
        <v>3939</v>
      </c>
      <c r="V16856" s="30">
        <v>61700000</v>
      </c>
    </row>
    <row r="16857" spans="20:22" ht="24.75" thickBot="1" x14ac:dyDescent="0.25">
      <c r="T16857" s="28">
        <v>22345004</v>
      </c>
      <c r="U16857" s="29" t="s">
        <v>3940</v>
      </c>
      <c r="V16857" s="30">
        <v>60500000</v>
      </c>
    </row>
    <row r="16858" spans="20:22" ht="24.75" thickBot="1" x14ac:dyDescent="0.25">
      <c r="T16858" s="28">
        <v>22345006</v>
      </c>
      <c r="U16858" s="29" t="s">
        <v>3941</v>
      </c>
      <c r="V16858" s="30">
        <v>69700000</v>
      </c>
    </row>
    <row r="16859" spans="20:22" ht="24.75" thickBot="1" x14ac:dyDescent="0.25">
      <c r="T16859" s="28">
        <v>22345008</v>
      </c>
      <c r="U16859" s="29" t="s">
        <v>3942</v>
      </c>
      <c r="V16859" s="30">
        <v>60500000</v>
      </c>
    </row>
    <row r="16860" spans="20:22" ht="24.75" thickBot="1" x14ac:dyDescent="0.25">
      <c r="T16860" s="28">
        <v>22345012</v>
      </c>
      <c r="U16860" s="29" t="s">
        <v>3943</v>
      </c>
      <c r="V16860" s="30">
        <v>69700000</v>
      </c>
    </row>
    <row r="16861" spans="20:22" ht="24.75" thickBot="1" x14ac:dyDescent="0.25">
      <c r="T16861" s="28">
        <v>22345016</v>
      </c>
      <c r="U16861" s="29" t="s">
        <v>3944</v>
      </c>
      <c r="V16861" s="30">
        <v>61700000</v>
      </c>
    </row>
    <row r="16862" spans="20:22" ht="24.75" thickBot="1" x14ac:dyDescent="0.25">
      <c r="T16862" s="28">
        <v>22345018</v>
      </c>
      <c r="U16862" s="29" t="s">
        <v>3945</v>
      </c>
      <c r="V16862" s="30">
        <v>61700000</v>
      </c>
    </row>
    <row r="16863" spans="20:22" ht="24.75" thickBot="1" x14ac:dyDescent="0.25">
      <c r="T16863" s="28">
        <v>22345020</v>
      </c>
      <c r="U16863" s="29" t="s">
        <v>3946</v>
      </c>
      <c r="V16863" s="30">
        <v>60500000</v>
      </c>
    </row>
    <row r="16864" spans="20:22" ht="13.5" thickBot="1" x14ac:dyDescent="0.25">
      <c r="T16864" s="28">
        <v>22345022</v>
      </c>
      <c r="U16864" s="29" t="s">
        <v>3947</v>
      </c>
      <c r="V16864" s="30">
        <v>65000000</v>
      </c>
    </row>
    <row r="16865" spans="20:22" ht="24.75" thickBot="1" x14ac:dyDescent="0.25">
      <c r="T16865" s="28">
        <v>22345024</v>
      </c>
      <c r="U16865" s="29" t="s">
        <v>3948</v>
      </c>
      <c r="V16865" s="30">
        <v>60500000</v>
      </c>
    </row>
    <row r="16866" spans="20:22" ht="24.75" thickBot="1" x14ac:dyDescent="0.25">
      <c r="T16866" s="28">
        <v>22345026</v>
      </c>
      <c r="U16866" s="29" t="s">
        <v>3949</v>
      </c>
      <c r="V16866" s="30">
        <v>67200000</v>
      </c>
    </row>
    <row r="16867" spans="20:22" ht="24.75" thickBot="1" x14ac:dyDescent="0.25">
      <c r="T16867" s="28">
        <v>22345028</v>
      </c>
      <c r="U16867" s="29" t="s">
        <v>3950</v>
      </c>
      <c r="V16867" s="30">
        <v>63200000</v>
      </c>
    </row>
    <row r="16868" spans="20:22" ht="24.75" thickBot="1" x14ac:dyDescent="0.25">
      <c r="T16868" s="28">
        <v>22345030</v>
      </c>
      <c r="U16868" s="29" t="s">
        <v>3951</v>
      </c>
      <c r="V16868" s="30">
        <v>65000000</v>
      </c>
    </row>
    <row r="16869" spans="20:22" ht="24.75" thickBot="1" x14ac:dyDescent="0.25">
      <c r="T16869" s="28">
        <v>22345034</v>
      </c>
      <c r="U16869" s="29" t="s">
        <v>3952</v>
      </c>
      <c r="V16869" s="30">
        <v>65000000</v>
      </c>
    </row>
    <row r="16870" spans="20:22" ht="24.75" thickBot="1" x14ac:dyDescent="0.25">
      <c r="T16870" s="28">
        <v>22345036</v>
      </c>
      <c r="U16870" s="29" t="s">
        <v>3953</v>
      </c>
      <c r="V16870" s="30">
        <v>65000000</v>
      </c>
    </row>
    <row r="16871" spans="20:22" ht="24.75" thickBot="1" x14ac:dyDescent="0.25">
      <c r="T16871" s="28">
        <v>22346002</v>
      </c>
      <c r="U16871" s="29" t="s">
        <v>3954</v>
      </c>
      <c r="V16871" s="30">
        <v>145000000</v>
      </c>
    </row>
    <row r="16872" spans="20:22" ht="24.75" thickBot="1" x14ac:dyDescent="0.25">
      <c r="T16872" s="28">
        <v>22346004</v>
      </c>
      <c r="U16872" s="29" t="s">
        <v>3955</v>
      </c>
      <c r="V16872" s="30">
        <v>150500000</v>
      </c>
    </row>
    <row r="16873" spans="20:22" ht="24.75" thickBot="1" x14ac:dyDescent="0.25">
      <c r="T16873" s="28">
        <v>22346006</v>
      </c>
      <c r="U16873" s="29" t="s">
        <v>3956</v>
      </c>
      <c r="V16873" s="30">
        <v>150500000</v>
      </c>
    </row>
    <row r="16874" spans="20:22" ht="24.75" thickBot="1" x14ac:dyDescent="0.25">
      <c r="T16874" s="28">
        <v>22346008</v>
      </c>
      <c r="U16874" s="29" t="s">
        <v>3957</v>
      </c>
      <c r="V16874" s="30">
        <v>130600000</v>
      </c>
    </row>
    <row r="16875" spans="20:22" ht="24.75" thickBot="1" x14ac:dyDescent="0.25">
      <c r="T16875" s="28">
        <v>22346010</v>
      </c>
      <c r="U16875" s="29" t="s">
        <v>3958</v>
      </c>
      <c r="V16875" s="30">
        <v>145000000</v>
      </c>
    </row>
    <row r="16876" spans="20:22" ht="24.75" thickBot="1" x14ac:dyDescent="0.25">
      <c r="T16876" s="28">
        <v>22346012</v>
      </c>
      <c r="U16876" s="29" t="s">
        <v>3959</v>
      </c>
      <c r="V16876" s="30">
        <v>133100000</v>
      </c>
    </row>
    <row r="16877" spans="20:22" ht="24.75" thickBot="1" x14ac:dyDescent="0.25">
      <c r="T16877" s="28">
        <v>22346014</v>
      </c>
      <c r="U16877" s="29" t="s">
        <v>3960</v>
      </c>
      <c r="V16877" s="30">
        <v>133100000</v>
      </c>
    </row>
    <row r="16878" spans="20:22" ht="24.75" thickBot="1" x14ac:dyDescent="0.25">
      <c r="T16878" s="28">
        <v>22346016</v>
      </c>
      <c r="U16878" s="29" t="s">
        <v>3961</v>
      </c>
      <c r="V16878" s="30">
        <v>140300000</v>
      </c>
    </row>
    <row r="16879" spans="20:22" ht="24.75" thickBot="1" x14ac:dyDescent="0.25">
      <c r="T16879" s="28">
        <v>22346018</v>
      </c>
      <c r="U16879" s="29" t="s">
        <v>3962</v>
      </c>
      <c r="V16879" s="30">
        <v>130600000</v>
      </c>
    </row>
    <row r="16880" spans="20:22" ht="24.75" thickBot="1" x14ac:dyDescent="0.25">
      <c r="T16880" s="28">
        <v>22346022</v>
      </c>
      <c r="U16880" s="29" t="s">
        <v>3963</v>
      </c>
      <c r="V16880" s="30">
        <v>140300000</v>
      </c>
    </row>
    <row r="16881" spans="20:23" ht="24.75" thickBot="1" x14ac:dyDescent="0.25">
      <c r="T16881" s="28">
        <v>22346024</v>
      </c>
      <c r="U16881" s="29" t="s">
        <v>3964</v>
      </c>
      <c r="V16881" s="30">
        <v>130600000</v>
      </c>
    </row>
    <row r="16882" spans="20:23" ht="24.75" thickBot="1" x14ac:dyDescent="0.25">
      <c r="T16882" s="28">
        <v>22346026</v>
      </c>
      <c r="U16882" s="29" t="s">
        <v>3965</v>
      </c>
      <c r="V16882" s="30">
        <v>145000000</v>
      </c>
    </row>
    <row r="16883" spans="20:23" ht="24.75" thickBot="1" x14ac:dyDescent="0.25">
      <c r="T16883" s="28">
        <v>22346028</v>
      </c>
      <c r="U16883" s="29" t="s">
        <v>3966</v>
      </c>
      <c r="V16883" s="30">
        <v>130600000</v>
      </c>
    </row>
    <row r="16884" spans="20:23" ht="24.75" thickBot="1" x14ac:dyDescent="0.25">
      <c r="T16884" s="28">
        <v>22346030</v>
      </c>
      <c r="U16884" s="29" t="s">
        <v>3967</v>
      </c>
      <c r="V16884" s="30">
        <v>133100000</v>
      </c>
    </row>
    <row r="16885" spans="20:23" ht="24.75" thickBot="1" x14ac:dyDescent="0.25">
      <c r="T16885" s="28">
        <v>22346032</v>
      </c>
      <c r="U16885" s="29" t="s">
        <v>3968</v>
      </c>
      <c r="V16885" s="30">
        <v>140300000</v>
      </c>
    </row>
    <row r="16886" spans="20:23" ht="24.75" thickBot="1" x14ac:dyDescent="0.25">
      <c r="T16886" s="28">
        <v>22346034</v>
      </c>
      <c r="U16886" s="29" t="s">
        <v>3969</v>
      </c>
      <c r="V16886" s="30">
        <v>130600000</v>
      </c>
    </row>
    <row r="16887" spans="20:23" ht="24.75" thickBot="1" x14ac:dyDescent="0.25">
      <c r="T16887" s="28">
        <v>22346036</v>
      </c>
      <c r="U16887" s="29" t="s">
        <v>3970</v>
      </c>
      <c r="V16887" s="30">
        <v>130600000</v>
      </c>
    </row>
    <row r="16888" spans="20:23" ht="13.5" thickBot="1" x14ac:dyDescent="0.25">
      <c r="T16888" s="28">
        <v>22353005</v>
      </c>
      <c r="U16888" s="29" t="s">
        <v>3971</v>
      </c>
      <c r="V16888" s="30">
        <v>1100000</v>
      </c>
    </row>
    <row r="16889" spans="20:23" ht="24.75" thickBot="1" x14ac:dyDescent="0.25">
      <c r="T16889" s="28">
        <v>22800001</v>
      </c>
      <c r="U16889" s="29" t="s">
        <v>3972</v>
      </c>
      <c r="V16889" s="30">
        <v>375700000</v>
      </c>
    </row>
    <row r="16890" spans="20:23" ht="13.5" thickBot="1" x14ac:dyDescent="0.25"/>
    <row r="16891" spans="20:23" ht="13.5" thickBot="1" x14ac:dyDescent="0.25">
      <c r="T16891" s="25" t="s">
        <v>2795</v>
      </c>
      <c r="U16891" s="26" t="s">
        <v>2796</v>
      </c>
      <c r="V16891" s="27" t="s">
        <v>2797</v>
      </c>
      <c r="W16891" s="25" t="s">
        <v>2795</v>
      </c>
    </row>
    <row r="16892" spans="20:23" ht="13.5" thickBot="1" x14ac:dyDescent="0.25">
      <c r="T16892" s="28">
        <v>23000001</v>
      </c>
      <c r="U16892" s="29" t="s">
        <v>1040</v>
      </c>
      <c r="V16892" s="30">
        <v>12900</v>
      </c>
      <c r="W16892" s="28">
        <v>23000001</v>
      </c>
    </row>
    <row r="16893" spans="20:23" ht="13.5" thickBot="1" x14ac:dyDescent="0.25">
      <c r="T16893" s="28">
        <v>23000002</v>
      </c>
      <c r="U16893" s="29" t="s">
        <v>1041</v>
      </c>
      <c r="V16893" s="30">
        <v>12100</v>
      </c>
      <c r="W16893" s="28">
        <v>23000002</v>
      </c>
    </row>
    <row r="16894" spans="20:23" ht="13.5" thickBot="1" x14ac:dyDescent="0.25">
      <c r="T16894" s="28">
        <v>23000003</v>
      </c>
      <c r="U16894" s="29" t="s">
        <v>1042</v>
      </c>
      <c r="V16894" s="30">
        <v>15000</v>
      </c>
      <c r="W16894" s="28">
        <v>23000003</v>
      </c>
    </row>
    <row r="16895" spans="20:23" ht="13.5" thickBot="1" x14ac:dyDescent="0.25">
      <c r="T16895" s="28">
        <v>23000004</v>
      </c>
      <c r="U16895" s="29" t="s">
        <v>1043</v>
      </c>
      <c r="V16895" s="30">
        <v>15000</v>
      </c>
      <c r="W16895" s="28">
        <v>23000004</v>
      </c>
    </row>
    <row r="16896" spans="20:23" ht="13.5" thickBot="1" x14ac:dyDescent="0.25">
      <c r="T16896" s="28">
        <v>23000005</v>
      </c>
      <c r="U16896" s="29" t="s">
        <v>1044</v>
      </c>
      <c r="V16896" s="30">
        <v>6800</v>
      </c>
      <c r="W16896" s="28">
        <v>23000005</v>
      </c>
    </row>
    <row r="16897" spans="20:23" ht="13.5" thickBot="1" x14ac:dyDescent="0.25">
      <c r="T16897" s="28">
        <v>23000006</v>
      </c>
      <c r="U16897" s="29" t="s">
        <v>1045</v>
      </c>
      <c r="V16897" s="30">
        <v>15000</v>
      </c>
      <c r="W16897" s="28">
        <v>23000006</v>
      </c>
    </row>
    <row r="16898" spans="20:23" ht="13.5" thickBot="1" x14ac:dyDescent="0.25">
      <c r="T16898" s="28">
        <v>23000007</v>
      </c>
      <c r="U16898" s="29" t="s">
        <v>1046</v>
      </c>
      <c r="V16898" s="30">
        <v>6800</v>
      </c>
      <c r="W16898" s="28">
        <v>23000007</v>
      </c>
    </row>
    <row r="16899" spans="20:23" ht="13.5" thickBot="1" x14ac:dyDescent="0.25">
      <c r="T16899" s="28">
        <v>23000008</v>
      </c>
      <c r="U16899" s="29" t="s">
        <v>1047</v>
      </c>
      <c r="V16899" s="30">
        <v>12000</v>
      </c>
      <c r="W16899" s="28">
        <v>23000008</v>
      </c>
    </row>
    <row r="16900" spans="20:23" ht="13.5" thickBot="1" x14ac:dyDescent="0.25">
      <c r="T16900" s="28">
        <v>23000009</v>
      </c>
      <c r="U16900" s="29" t="s">
        <v>1048</v>
      </c>
      <c r="V16900" s="30">
        <v>11000</v>
      </c>
      <c r="W16900" s="28">
        <v>23000009</v>
      </c>
    </row>
    <row r="16901" spans="20:23" ht="13.5" thickBot="1" x14ac:dyDescent="0.25">
      <c r="T16901" s="28">
        <v>23000010</v>
      </c>
      <c r="U16901" s="29" t="s">
        <v>1049</v>
      </c>
      <c r="V16901" s="30">
        <v>11000</v>
      </c>
      <c r="W16901" s="28">
        <v>23000010</v>
      </c>
    </row>
    <row r="16902" spans="20:23" ht="13.5" thickBot="1" x14ac:dyDescent="0.25">
      <c r="T16902" s="28">
        <v>23000011</v>
      </c>
      <c r="U16902" s="29" t="s">
        <v>1050</v>
      </c>
      <c r="V16902" s="30">
        <v>15000</v>
      </c>
      <c r="W16902" s="28">
        <v>23000011</v>
      </c>
    </row>
    <row r="16903" spans="20:23" ht="13.5" thickBot="1" x14ac:dyDescent="0.25">
      <c r="T16903" s="28">
        <v>23000012</v>
      </c>
      <c r="U16903" s="29" t="s">
        <v>1051</v>
      </c>
      <c r="V16903" s="30">
        <v>2700</v>
      </c>
      <c r="W16903" s="28">
        <v>23000012</v>
      </c>
    </row>
    <row r="16904" spans="20:23" ht="24.75" thickBot="1" x14ac:dyDescent="0.25">
      <c r="T16904" s="28">
        <v>23000013</v>
      </c>
      <c r="U16904" s="29" t="s">
        <v>1052</v>
      </c>
      <c r="V16904" s="30">
        <v>15000</v>
      </c>
      <c r="W16904" s="28">
        <v>23000013</v>
      </c>
    </row>
    <row r="16905" spans="20:23" ht="13.5" thickBot="1" x14ac:dyDescent="0.25">
      <c r="T16905" s="28">
        <v>23000014</v>
      </c>
      <c r="U16905" s="29" t="s">
        <v>1053</v>
      </c>
      <c r="V16905" s="30">
        <v>3300</v>
      </c>
      <c r="W16905" s="28">
        <v>23000014</v>
      </c>
    </row>
    <row r="16906" spans="20:23" ht="13.5" thickBot="1" x14ac:dyDescent="0.25">
      <c r="T16906" s="28">
        <v>23000025</v>
      </c>
      <c r="U16906" s="29" t="s">
        <v>3973</v>
      </c>
      <c r="V16906" s="30">
        <v>15000</v>
      </c>
      <c r="W16906" s="28">
        <v>23000025</v>
      </c>
    </row>
    <row r="16907" spans="20:23" ht="13.5" thickBot="1" x14ac:dyDescent="0.25">
      <c r="T16907" s="28">
        <v>23000028</v>
      </c>
      <c r="U16907" s="29" t="s">
        <v>1054</v>
      </c>
      <c r="V16907" s="30">
        <v>15000</v>
      </c>
      <c r="W16907" s="28">
        <v>23000028</v>
      </c>
    </row>
    <row r="16908" spans="20:23" ht="13.5" thickBot="1" x14ac:dyDescent="0.25">
      <c r="T16908" s="28">
        <v>23000029</v>
      </c>
      <c r="U16908" s="29" t="s">
        <v>1055</v>
      </c>
      <c r="V16908" s="30">
        <v>15000</v>
      </c>
      <c r="W16908" s="28">
        <v>23000029</v>
      </c>
    </row>
    <row r="16909" spans="20:23" ht="13.5" thickBot="1" x14ac:dyDescent="0.25">
      <c r="T16909" s="28">
        <v>23000031</v>
      </c>
      <c r="U16909" s="29" t="s">
        <v>1056</v>
      </c>
      <c r="V16909" s="30">
        <v>15000</v>
      </c>
      <c r="W16909" s="28">
        <v>23000031</v>
      </c>
    </row>
    <row r="16910" spans="20:23" ht="13.5" thickBot="1" x14ac:dyDescent="0.25">
      <c r="T16910" s="28">
        <v>23000032</v>
      </c>
      <c r="U16910" s="29" t="s">
        <v>1057</v>
      </c>
      <c r="V16910" s="30">
        <v>10000</v>
      </c>
      <c r="W16910" s="28">
        <v>23000032</v>
      </c>
    </row>
    <row r="16911" spans="20:23" ht="13.5" thickBot="1" x14ac:dyDescent="0.25">
      <c r="T16911" s="28">
        <v>23000033</v>
      </c>
      <c r="U16911" s="29" t="s">
        <v>1058</v>
      </c>
      <c r="V16911" s="30">
        <v>15000</v>
      </c>
      <c r="W16911" s="28">
        <v>23000033</v>
      </c>
    </row>
    <row r="16912" spans="20:23" ht="13.5" thickBot="1" x14ac:dyDescent="0.25">
      <c r="T16912" s="28">
        <v>23000038</v>
      </c>
      <c r="U16912" s="29" t="s">
        <v>3974</v>
      </c>
      <c r="V16912" s="30">
        <v>9900</v>
      </c>
      <c r="W16912" s="28">
        <v>23000038</v>
      </c>
    </row>
    <row r="16913" spans="20:23" ht="13.5" thickBot="1" x14ac:dyDescent="0.25">
      <c r="T16913" s="28">
        <v>23100001</v>
      </c>
      <c r="U16913" s="29" t="s">
        <v>3975</v>
      </c>
      <c r="V16913" s="30">
        <v>6000</v>
      </c>
      <c r="W16913" s="28">
        <v>23100001</v>
      </c>
    </row>
    <row r="16914" spans="20:23" ht="13.5" thickBot="1" x14ac:dyDescent="0.25">
      <c r="T16914" s="28">
        <v>23100004</v>
      </c>
      <c r="U16914" s="29" t="s">
        <v>3976</v>
      </c>
      <c r="V16914" s="30">
        <v>6000</v>
      </c>
      <c r="W16914" s="28">
        <v>23100004</v>
      </c>
    </row>
    <row r="16915" spans="20:23" ht="13.5" thickBot="1" x14ac:dyDescent="0.25">
      <c r="T16915" s="28">
        <v>23100009</v>
      </c>
      <c r="U16915" s="29" t="s">
        <v>3977</v>
      </c>
      <c r="V16915" s="30">
        <v>6000</v>
      </c>
      <c r="W16915" s="28">
        <v>23100009</v>
      </c>
    </row>
    <row r="16916" spans="20:23" ht="13.5" thickBot="1" x14ac:dyDescent="0.25">
      <c r="T16916" s="28">
        <v>23100011</v>
      </c>
      <c r="U16916" s="29" t="s">
        <v>3978</v>
      </c>
      <c r="V16916" s="30">
        <v>5000</v>
      </c>
      <c r="W16916" s="28">
        <v>23100011</v>
      </c>
    </row>
    <row r="16917" spans="20:23" ht="13.5" thickBot="1" x14ac:dyDescent="0.25">
      <c r="T16917" s="28">
        <v>23100012</v>
      </c>
      <c r="U16917" s="29" t="s">
        <v>3979</v>
      </c>
      <c r="V16917" s="30">
        <v>6000</v>
      </c>
      <c r="W16917" s="28">
        <v>23100012</v>
      </c>
    </row>
    <row r="16918" spans="20:23" ht="13.5" thickBot="1" x14ac:dyDescent="0.25">
      <c r="T16918" s="28">
        <v>23100016</v>
      </c>
      <c r="U16918" s="29" t="s">
        <v>3980</v>
      </c>
      <c r="V16918" s="30">
        <v>28000</v>
      </c>
      <c r="W16918" s="28">
        <v>23100016</v>
      </c>
    </row>
    <row r="16919" spans="20:23" ht="13.5" thickBot="1" x14ac:dyDescent="0.25">
      <c r="T16919" s="28">
        <v>23100020</v>
      </c>
      <c r="U16919" s="29" t="s">
        <v>1059</v>
      </c>
      <c r="V16919" s="30">
        <v>6000</v>
      </c>
      <c r="W16919" s="28">
        <v>23100020</v>
      </c>
    </row>
    <row r="16920" spans="20:23" ht="13.5" thickBot="1" x14ac:dyDescent="0.25">
      <c r="T16920" s="28">
        <v>23100021</v>
      </c>
      <c r="U16920" s="29" t="s">
        <v>1060</v>
      </c>
      <c r="V16920" s="30">
        <v>6000</v>
      </c>
      <c r="W16920" s="28">
        <v>23100021</v>
      </c>
    </row>
    <row r="16921" spans="20:23" ht="13.5" thickBot="1" x14ac:dyDescent="0.25">
      <c r="T16921" s="28">
        <v>23100022</v>
      </c>
      <c r="U16921" s="29" t="s">
        <v>3981</v>
      </c>
      <c r="V16921" s="30">
        <v>11000</v>
      </c>
      <c r="W16921" s="28">
        <v>23100022</v>
      </c>
    </row>
    <row r="16922" spans="20:23" ht="13.5" thickBot="1" x14ac:dyDescent="0.25">
      <c r="T16922" s="28">
        <v>23100023</v>
      </c>
      <c r="U16922" s="29" t="s">
        <v>1061</v>
      </c>
      <c r="V16922" s="30">
        <v>12000</v>
      </c>
      <c r="W16922" s="28">
        <v>23100023</v>
      </c>
    </row>
    <row r="16923" spans="20:23" ht="13.5" thickBot="1" x14ac:dyDescent="0.25">
      <c r="T16923" s="28">
        <v>23100024</v>
      </c>
      <c r="U16923" s="29" t="s">
        <v>3982</v>
      </c>
      <c r="V16923" s="30">
        <v>24000</v>
      </c>
      <c r="W16923" s="28">
        <v>23100024</v>
      </c>
    </row>
    <row r="16924" spans="20:23" ht="13.5" thickBot="1" x14ac:dyDescent="0.25">
      <c r="T16924" s="28">
        <v>23100025</v>
      </c>
      <c r="U16924" s="29" t="s">
        <v>1062</v>
      </c>
      <c r="V16924" s="30">
        <v>6000</v>
      </c>
      <c r="W16924" s="28">
        <v>23100025</v>
      </c>
    </row>
    <row r="16925" spans="20:23" ht="13.5" thickBot="1" x14ac:dyDescent="0.25">
      <c r="T16925" s="28">
        <v>23100026</v>
      </c>
      <c r="U16925" s="29" t="s">
        <v>1063</v>
      </c>
      <c r="V16925" s="30">
        <v>6000</v>
      </c>
      <c r="W16925" s="28">
        <v>23100026</v>
      </c>
    </row>
    <row r="16926" spans="20:23" ht="13.5" thickBot="1" x14ac:dyDescent="0.25">
      <c r="T16926" s="28">
        <v>23100027</v>
      </c>
      <c r="U16926" s="29" t="s">
        <v>3983</v>
      </c>
      <c r="V16926" s="30">
        <v>11000</v>
      </c>
      <c r="W16926" s="28">
        <v>23100027</v>
      </c>
    </row>
    <row r="16927" spans="20:23" ht="13.5" thickBot="1" x14ac:dyDescent="0.25">
      <c r="T16927" s="28">
        <v>23100028</v>
      </c>
      <c r="U16927" s="29" t="s">
        <v>3984</v>
      </c>
      <c r="V16927" s="30">
        <v>12000</v>
      </c>
      <c r="W16927" s="28">
        <v>23100028</v>
      </c>
    </row>
    <row r="16928" spans="20:23" ht="13.5" thickBot="1" x14ac:dyDescent="0.25">
      <c r="T16928" s="28">
        <v>23100029</v>
      </c>
      <c r="U16928" s="29" t="s">
        <v>3985</v>
      </c>
      <c r="V16928" s="30">
        <v>22000</v>
      </c>
      <c r="W16928" s="28">
        <v>23100029</v>
      </c>
    </row>
    <row r="16929" spans="20:23" ht="13.5" thickBot="1" x14ac:dyDescent="0.25">
      <c r="T16929" s="28">
        <v>23100030</v>
      </c>
      <c r="U16929" s="29" t="s">
        <v>1064</v>
      </c>
      <c r="V16929" s="30">
        <v>7000</v>
      </c>
      <c r="W16929" s="28">
        <v>23100030</v>
      </c>
    </row>
    <row r="16930" spans="20:23" ht="13.5" thickBot="1" x14ac:dyDescent="0.25">
      <c r="T16930" s="28">
        <v>23100031</v>
      </c>
      <c r="U16930" s="29" t="s">
        <v>1065</v>
      </c>
      <c r="V16930" s="30">
        <v>13000</v>
      </c>
      <c r="W16930" s="28">
        <v>23100031</v>
      </c>
    </row>
    <row r="16931" spans="20:23" ht="13.5" thickBot="1" x14ac:dyDescent="0.25">
      <c r="T16931" s="28">
        <v>23100032</v>
      </c>
      <c r="U16931" s="29" t="s">
        <v>1066</v>
      </c>
      <c r="V16931" s="30">
        <v>11000</v>
      </c>
      <c r="W16931" s="28">
        <v>23100032</v>
      </c>
    </row>
    <row r="16932" spans="20:23" ht="13.5" thickBot="1" x14ac:dyDescent="0.25">
      <c r="T16932" s="28">
        <v>23100033</v>
      </c>
      <c r="U16932" s="29" t="s">
        <v>1067</v>
      </c>
      <c r="V16932" s="30">
        <v>13000</v>
      </c>
      <c r="W16932" s="28">
        <v>23100033</v>
      </c>
    </row>
    <row r="16933" spans="20:23" ht="13.5" thickBot="1" x14ac:dyDescent="0.25">
      <c r="T16933" s="28">
        <v>23100034</v>
      </c>
      <c r="U16933" s="29" t="s">
        <v>1068</v>
      </c>
      <c r="V16933" s="30">
        <v>11000</v>
      </c>
      <c r="W16933" s="28">
        <v>23100034</v>
      </c>
    </row>
    <row r="16934" spans="20:23" ht="13.5" thickBot="1" x14ac:dyDescent="0.25">
      <c r="T16934" s="28">
        <v>23100035</v>
      </c>
      <c r="U16934" s="29" t="s">
        <v>1069</v>
      </c>
      <c r="V16934" s="30">
        <v>13000</v>
      </c>
      <c r="W16934" s="28">
        <v>23100035</v>
      </c>
    </row>
    <row r="16935" spans="20:23" ht="13.5" thickBot="1" x14ac:dyDescent="0.25">
      <c r="T16935" s="28">
        <v>23100036</v>
      </c>
      <c r="U16935" s="29" t="s">
        <v>1070</v>
      </c>
      <c r="V16935" s="30">
        <v>7000</v>
      </c>
      <c r="W16935" s="28">
        <v>23100036</v>
      </c>
    </row>
    <row r="16936" spans="20:23" ht="13.5" thickBot="1" x14ac:dyDescent="0.25">
      <c r="T16936" s="28">
        <v>23100037</v>
      </c>
      <c r="U16936" s="29" t="s">
        <v>1071</v>
      </c>
      <c r="V16936" s="30">
        <v>12000</v>
      </c>
      <c r="W16936" s="28">
        <v>23100037</v>
      </c>
    </row>
    <row r="16937" spans="20:23" ht="13.5" thickBot="1" x14ac:dyDescent="0.25">
      <c r="T16937" s="28">
        <v>23100038</v>
      </c>
      <c r="U16937" s="29" t="s">
        <v>1072</v>
      </c>
      <c r="V16937" s="30">
        <v>12000</v>
      </c>
      <c r="W16937" s="28">
        <v>23100038</v>
      </c>
    </row>
    <row r="16938" spans="20:23" ht="13.5" thickBot="1" x14ac:dyDescent="0.25">
      <c r="T16938" s="28">
        <v>23100039</v>
      </c>
      <c r="U16938" s="29" t="s">
        <v>1073</v>
      </c>
      <c r="V16938" s="30">
        <v>12000</v>
      </c>
      <c r="W16938" s="28">
        <v>23100039</v>
      </c>
    </row>
    <row r="16939" spans="20:23" ht="13.5" thickBot="1" x14ac:dyDescent="0.25">
      <c r="T16939" s="28">
        <v>23100040</v>
      </c>
      <c r="U16939" s="29" t="s">
        <v>1074</v>
      </c>
      <c r="V16939" s="30">
        <v>12000</v>
      </c>
      <c r="W16939" s="28">
        <v>23100040</v>
      </c>
    </row>
    <row r="16940" spans="20:23" ht="13.5" thickBot="1" x14ac:dyDescent="0.25">
      <c r="T16940" s="28">
        <v>23100041</v>
      </c>
      <c r="U16940" s="29" t="s">
        <v>1075</v>
      </c>
      <c r="V16940" s="30">
        <v>12000</v>
      </c>
      <c r="W16940" s="28">
        <v>23100041</v>
      </c>
    </row>
    <row r="16941" spans="20:23" ht="13.5" thickBot="1" x14ac:dyDescent="0.25">
      <c r="T16941" s="28">
        <v>23100042</v>
      </c>
      <c r="U16941" s="29" t="s">
        <v>1076</v>
      </c>
      <c r="V16941" s="30">
        <v>12000</v>
      </c>
      <c r="W16941" s="28">
        <v>23100042</v>
      </c>
    </row>
    <row r="16942" spans="20:23" ht="13.5" thickBot="1" x14ac:dyDescent="0.25">
      <c r="T16942" s="28">
        <v>23100043</v>
      </c>
      <c r="U16942" s="29" t="s">
        <v>1077</v>
      </c>
      <c r="V16942" s="30">
        <v>6000</v>
      </c>
      <c r="W16942" s="28">
        <v>23100043</v>
      </c>
    </row>
    <row r="16943" spans="20:23" ht="13.5" thickBot="1" x14ac:dyDescent="0.25">
      <c r="T16943" s="28">
        <v>23100044</v>
      </c>
      <c r="U16943" s="29" t="s">
        <v>1078</v>
      </c>
      <c r="V16943" s="30">
        <v>6000</v>
      </c>
      <c r="W16943" s="28">
        <v>23100044</v>
      </c>
    </row>
    <row r="16944" spans="20:23" ht="13.5" thickBot="1" x14ac:dyDescent="0.25">
      <c r="T16944" s="28">
        <v>23100045</v>
      </c>
      <c r="U16944" s="29" t="s">
        <v>1079</v>
      </c>
      <c r="V16944" s="30">
        <v>7000</v>
      </c>
      <c r="W16944" s="28">
        <v>23100045</v>
      </c>
    </row>
    <row r="16945" spans="20:23" ht="13.5" thickBot="1" x14ac:dyDescent="0.25">
      <c r="T16945" s="28">
        <v>23100046</v>
      </c>
      <c r="U16945" s="29" t="s">
        <v>1080</v>
      </c>
      <c r="V16945" s="30">
        <v>11000</v>
      </c>
      <c r="W16945" s="28">
        <v>23100046</v>
      </c>
    </row>
    <row r="16946" spans="20:23" ht="13.5" thickBot="1" x14ac:dyDescent="0.25">
      <c r="T16946" s="28">
        <v>23100047</v>
      </c>
      <c r="U16946" s="29" t="s">
        <v>1081</v>
      </c>
      <c r="V16946" s="30">
        <v>22000</v>
      </c>
      <c r="W16946" s="28">
        <v>23100047</v>
      </c>
    </row>
    <row r="16947" spans="20:23" ht="13.5" thickBot="1" x14ac:dyDescent="0.25">
      <c r="T16947" s="28">
        <v>23100048</v>
      </c>
      <c r="U16947" s="29" t="s">
        <v>1082</v>
      </c>
      <c r="V16947" s="30">
        <v>7000</v>
      </c>
      <c r="W16947" s="28">
        <v>23100048</v>
      </c>
    </row>
    <row r="16948" spans="20:23" ht="13.5" thickBot="1" x14ac:dyDescent="0.25">
      <c r="T16948" s="28">
        <v>23100049</v>
      </c>
      <c r="U16948" s="29" t="s">
        <v>1083</v>
      </c>
      <c r="V16948" s="30">
        <v>13000</v>
      </c>
      <c r="W16948" s="28">
        <v>23100049</v>
      </c>
    </row>
    <row r="16949" spans="20:23" ht="13.5" thickBot="1" x14ac:dyDescent="0.25">
      <c r="T16949" s="28">
        <v>23100050</v>
      </c>
      <c r="U16949" s="29" t="s">
        <v>1084</v>
      </c>
      <c r="V16949" s="30">
        <v>21000</v>
      </c>
      <c r="W16949" s="28">
        <v>23100050</v>
      </c>
    </row>
    <row r="16950" spans="20:23" ht="13.5" thickBot="1" x14ac:dyDescent="0.25">
      <c r="T16950" s="28">
        <v>23100051</v>
      </c>
      <c r="U16950" s="29" t="s">
        <v>1085</v>
      </c>
      <c r="V16950" s="30">
        <v>6000</v>
      </c>
      <c r="W16950" s="28">
        <v>23100051</v>
      </c>
    </row>
    <row r="16951" spans="20:23" ht="13.5" thickBot="1" x14ac:dyDescent="0.25">
      <c r="T16951" s="28">
        <v>23100052</v>
      </c>
      <c r="U16951" s="29" t="s">
        <v>1086</v>
      </c>
      <c r="V16951" s="30">
        <v>11000</v>
      </c>
      <c r="W16951" s="28">
        <v>23100052</v>
      </c>
    </row>
    <row r="16952" spans="20:23" ht="13.5" thickBot="1" x14ac:dyDescent="0.25">
      <c r="T16952" s="28">
        <v>23100053</v>
      </c>
      <c r="U16952" s="29" t="s">
        <v>1087</v>
      </c>
      <c r="V16952" s="30">
        <v>20000</v>
      </c>
      <c r="W16952" s="28">
        <v>23100053</v>
      </c>
    </row>
    <row r="16953" spans="20:23" ht="13.5" thickBot="1" x14ac:dyDescent="0.25">
      <c r="T16953" s="28">
        <v>23200020</v>
      </c>
      <c r="U16953" s="29" t="s">
        <v>3986</v>
      </c>
      <c r="V16953" s="30">
        <v>6000</v>
      </c>
      <c r="W16953" s="28">
        <v>23200020</v>
      </c>
    </row>
    <row r="16954" spans="20:23" ht="13.5" thickBot="1" x14ac:dyDescent="0.25">
      <c r="T16954" s="28">
        <v>23200029</v>
      </c>
      <c r="U16954" s="29" t="s">
        <v>3987</v>
      </c>
      <c r="V16954" s="30">
        <v>15000</v>
      </c>
      <c r="W16954" s="28">
        <v>23200029</v>
      </c>
    </row>
    <row r="16955" spans="20:23" ht="13.5" thickBot="1" x14ac:dyDescent="0.25">
      <c r="T16955" s="28">
        <v>23320000</v>
      </c>
      <c r="U16955" s="29" t="s">
        <v>3988</v>
      </c>
      <c r="V16955" s="30">
        <v>6000</v>
      </c>
      <c r="W16955" s="28">
        <v>23320000</v>
      </c>
    </row>
    <row r="16956" spans="20:23" ht="13.5" thickBot="1" x14ac:dyDescent="0.25">
      <c r="T16956" s="28">
        <v>23320001</v>
      </c>
      <c r="U16956" s="29" t="s">
        <v>1375</v>
      </c>
      <c r="V16956" s="30">
        <v>11000</v>
      </c>
      <c r="W16956" s="28">
        <v>23320001</v>
      </c>
    </row>
    <row r="16957" spans="20:23" ht="13.5" thickBot="1" x14ac:dyDescent="0.25">
      <c r="T16957" s="28">
        <v>23320002</v>
      </c>
      <c r="U16957" s="29" t="s">
        <v>1376</v>
      </c>
      <c r="V16957" s="30">
        <v>21000</v>
      </c>
      <c r="W16957" s="28">
        <v>23320002</v>
      </c>
    </row>
    <row r="16958" spans="20:23" ht="13.5" thickBot="1" x14ac:dyDescent="0.25">
      <c r="T16958" s="28">
        <v>23320003</v>
      </c>
      <c r="U16958" s="29" t="s">
        <v>1377</v>
      </c>
      <c r="V16958" s="30">
        <v>83000</v>
      </c>
      <c r="W16958" s="28">
        <v>23320003</v>
      </c>
    </row>
    <row r="16959" spans="20:23" ht="13.5" thickBot="1" x14ac:dyDescent="0.25">
      <c r="T16959" s="28">
        <v>23320004</v>
      </c>
      <c r="U16959" s="29" t="s">
        <v>1378</v>
      </c>
      <c r="V16959" s="30">
        <v>315000</v>
      </c>
      <c r="W16959" s="28">
        <v>23320004</v>
      </c>
    </row>
    <row r="16960" spans="20:23" ht="13.5" thickBot="1" x14ac:dyDescent="0.25">
      <c r="T16960" s="28">
        <v>23320005</v>
      </c>
      <c r="U16960" s="29" t="s">
        <v>1379</v>
      </c>
      <c r="V16960" s="30">
        <v>382000</v>
      </c>
      <c r="W16960" s="28">
        <v>23320005</v>
      </c>
    </row>
    <row r="16961" spans="20:23" ht="24.75" thickBot="1" x14ac:dyDescent="0.25">
      <c r="T16961" s="28">
        <v>23320006</v>
      </c>
      <c r="U16961" s="29" t="s">
        <v>3989</v>
      </c>
      <c r="V16961" s="30">
        <v>458000</v>
      </c>
      <c r="W16961" s="28">
        <v>23320006</v>
      </c>
    </row>
    <row r="16962" spans="20:23" ht="24.75" thickBot="1" x14ac:dyDescent="0.25">
      <c r="T16962" s="28">
        <v>23320007</v>
      </c>
      <c r="U16962" s="29" t="s">
        <v>3990</v>
      </c>
      <c r="V16962" s="30">
        <v>11000</v>
      </c>
      <c r="W16962" s="28">
        <v>23320007</v>
      </c>
    </row>
    <row r="16963" spans="20:23" ht="13.5" thickBot="1" x14ac:dyDescent="0.25">
      <c r="T16963" s="28">
        <v>23320008</v>
      </c>
      <c r="U16963" s="29" t="s">
        <v>3991</v>
      </c>
      <c r="V16963" s="30">
        <v>24000</v>
      </c>
      <c r="W16963" s="28">
        <v>23320008</v>
      </c>
    </row>
    <row r="16964" spans="20:23" ht="13.5" thickBot="1" x14ac:dyDescent="0.25">
      <c r="T16964" s="28">
        <v>23320009</v>
      </c>
      <c r="U16964" s="29" t="s">
        <v>3992</v>
      </c>
      <c r="V16964" s="30">
        <v>87000</v>
      </c>
      <c r="W16964" s="28">
        <v>23320009</v>
      </c>
    </row>
    <row r="16965" spans="20:23" ht="24.75" thickBot="1" x14ac:dyDescent="0.25">
      <c r="T16965" s="28">
        <v>23320010</v>
      </c>
      <c r="U16965" s="29" t="s">
        <v>3993</v>
      </c>
      <c r="V16965" s="30">
        <v>22000</v>
      </c>
      <c r="W16965" s="28">
        <v>23320010</v>
      </c>
    </row>
    <row r="16966" spans="20:23" ht="13.5" thickBot="1" x14ac:dyDescent="0.25">
      <c r="T16966" s="28">
        <v>23320011</v>
      </c>
      <c r="U16966" s="29" t="s">
        <v>3994</v>
      </c>
      <c r="V16966" s="30">
        <v>11000</v>
      </c>
      <c r="W16966" s="28">
        <v>23320011</v>
      </c>
    </row>
    <row r="16967" spans="20:23" ht="13.5" thickBot="1" x14ac:dyDescent="0.25">
      <c r="T16967" s="28">
        <v>23320012</v>
      </c>
      <c r="U16967" s="29" t="s">
        <v>3995</v>
      </c>
      <c r="V16967" s="30">
        <v>11000</v>
      </c>
      <c r="W16967" s="28">
        <v>23320012</v>
      </c>
    </row>
    <row r="16968" spans="20:23" ht="24.75" thickBot="1" x14ac:dyDescent="0.25">
      <c r="T16968" s="28">
        <v>23320013</v>
      </c>
      <c r="U16968" s="29" t="s">
        <v>3996</v>
      </c>
      <c r="V16968" s="30">
        <v>11000</v>
      </c>
      <c r="W16968" s="28">
        <v>23320013</v>
      </c>
    </row>
    <row r="16969" spans="20:23" ht="24.75" thickBot="1" x14ac:dyDescent="0.25">
      <c r="T16969" s="28">
        <v>23320014</v>
      </c>
      <c r="U16969" s="29" t="s">
        <v>3997</v>
      </c>
      <c r="V16969" s="30">
        <v>11000</v>
      </c>
      <c r="W16969" s="28">
        <v>23320014</v>
      </c>
    </row>
    <row r="16970" spans="20:23" ht="24.75" thickBot="1" x14ac:dyDescent="0.25">
      <c r="T16970" s="28">
        <v>23320015</v>
      </c>
      <c r="U16970" s="29" t="s">
        <v>3998</v>
      </c>
      <c r="V16970" s="30">
        <v>11000</v>
      </c>
      <c r="W16970" s="28">
        <v>23320015</v>
      </c>
    </row>
    <row r="16971" spans="20:23" ht="13.5" thickBot="1" x14ac:dyDescent="0.25">
      <c r="T16971" s="28">
        <v>23320016</v>
      </c>
      <c r="U16971" s="29" t="s">
        <v>3999</v>
      </c>
      <c r="V16971" s="30">
        <v>5000</v>
      </c>
      <c r="W16971" s="28">
        <v>23320016</v>
      </c>
    </row>
    <row r="16972" spans="20:23" ht="24.75" thickBot="1" x14ac:dyDescent="0.25">
      <c r="T16972" s="28">
        <v>23320017</v>
      </c>
      <c r="U16972" s="29" t="s">
        <v>4000</v>
      </c>
      <c r="V16972" s="30">
        <v>11000</v>
      </c>
      <c r="W16972" s="28">
        <v>23320017</v>
      </c>
    </row>
    <row r="16973" spans="20:23" ht="24.75" thickBot="1" x14ac:dyDescent="0.25">
      <c r="T16973" s="28">
        <v>23320018</v>
      </c>
      <c r="U16973" s="29" t="s">
        <v>4001</v>
      </c>
      <c r="V16973" s="30">
        <v>11000</v>
      </c>
      <c r="W16973" s="28">
        <v>23320018</v>
      </c>
    </row>
    <row r="16974" spans="20:23" ht="24.75" thickBot="1" x14ac:dyDescent="0.25">
      <c r="T16974" s="28">
        <v>23320019</v>
      </c>
      <c r="U16974" s="29" t="s">
        <v>4002</v>
      </c>
      <c r="V16974" s="30">
        <v>11000</v>
      </c>
      <c r="W16974" s="28">
        <v>23320019</v>
      </c>
    </row>
    <row r="16975" spans="20:23" ht="24.75" thickBot="1" x14ac:dyDescent="0.25">
      <c r="T16975" s="28">
        <v>23320020</v>
      </c>
      <c r="U16975" s="29" t="s">
        <v>4003</v>
      </c>
      <c r="V16975" s="30">
        <v>11000</v>
      </c>
      <c r="W16975" s="28">
        <v>23320020</v>
      </c>
    </row>
    <row r="16976" spans="20:23" ht="13.5" thickBot="1" x14ac:dyDescent="0.25">
      <c r="T16976" s="28">
        <v>23320021</v>
      </c>
      <c r="U16976" s="29" t="s">
        <v>4004</v>
      </c>
      <c r="V16976" s="30">
        <v>11000</v>
      </c>
      <c r="W16976" s="28">
        <v>23320021</v>
      </c>
    </row>
    <row r="16977" spans="20:23" ht="13.5" thickBot="1" x14ac:dyDescent="0.25">
      <c r="T16977" s="28">
        <v>23320022</v>
      </c>
      <c r="U16977" s="29" t="s">
        <v>4005</v>
      </c>
      <c r="V16977" s="30">
        <v>11000</v>
      </c>
      <c r="W16977" s="28">
        <v>23320022</v>
      </c>
    </row>
    <row r="16978" spans="20:23" ht="24.75" thickBot="1" x14ac:dyDescent="0.25">
      <c r="T16978" s="28">
        <v>23320023</v>
      </c>
      <c r="U16978" s="29" t="s">
        <v>4006</v>
      </c>
      <c r="V16978" s="30">
        <v>11000</v>
      </c>
      <c r="W16978" s="28">
        <v>23320023</v>
      </c>
    </row>
    <row r="16979" spans="20:23" ht="24.75" thickBot="1" x14ac:dyDescent="0.25">
      <c r="T16979" s="28">
        <v>23320024</v>
      </c>
      <c r="U16979" s="29" t="s">
        <v>4007</v>
      </c>
      <c r="V16979" s="30">
        <v>11000</v>
      </c>
      <c r="W16979" s="28">
        <v>23320024</v>
      </c>
    </row>
    <row r="16980" spans="20:23" ht="13.5" thickBot="1" x14ac:dyDescent="0.25">
      <c r="T16980" s="28">
        <v>23320025</v>
      </c>
      <c r="U16980" s="29" t="s">
        <v>4008</v>
      </c>
      <c r="V16980" s="30">
        <v>11000</v>
      </c>
      <c r="W16980" s="28">
        <v>23320025</v>
      </c>
    </row>
    <row r="16981" spans="20:23" ht="13.5" thickBot="1" x14ac:dyDescent="0.25">
      <c r="T16981" s="28">
        <v>23320026</v>
      </c>
      <c r="U16981" s="29" t="s">
        <v>4009</v>
      </c>
      <c r="V16981" s="30">
        <v>11000</v>
      </c>
      <c r="W16981" s="28">
        <v>23320026</v>
      </c>
    </row>
    <row r="16982" spans="20:23" ht="24.75" thickBot="1" x14ac:dyDescent="0.25">
      <c r="T16982" s="28">
        <v>23320027</v>
      </c>
      <c r="U16982" s="29" t="s">
        <v>4010</v>
      </c>
      <c r="V16982" s="30">
        <v>11000</v>
      </c>
      <c r="W16982" s="28">
        <v>23320027</v>
      </c>
    </row>
    <row r="16983" spans="20:23" ht="13.5" thickBot="1" x14ac:dyDescent="0.25">
      <c r="T16983" s="28">
        <v>23320028</v>
      </c>
      <c r="U16983" s="29" t="s">
        <v>4011</v>
      </c>
      <c r="V16983" s="30">
        <v>11000</v>
      </c>
      <c r="W16983" s="28">
        <v>23320028</v>
      </c>
    </row>
    <row r="16984" spans="20:23" ht="24.75" thickBot="1" x14ac:dyDescent="0.25">
      <c r="T16984" s="28">
        <v>23320029</v>
      </c>
      <c r="U16984" s="29" t="s">
        <v>4012</v>
      </c>
      <c r="V16984" s="30">
        <v>11000</v>
      </c>
      <c r="W16984" s="28">
        <v>23320029</v>
      </c>
    </row>
    <row r="16985" spans="20:23" ht="24.75" thickBot="1" x14ac:dyDescent="0.25">
      <c r="T16985" s="28">
        <v>23320030</v>
      </c>
      <c r="U16985" s="29" t="s">
        <v>4013</v>
      </c>
      <c r="V16985" s="30">
        <v>11000</v>
      </c>
      <c r="W16985" s="28">
        <v>23320030</v>
      </c>
    </row>
    <row r="16986" spans="20:23" ht="24.75" thickBot="1" x14ac:dyDescent="0.25">
      <c r="T16986" s="28">
        <v>23320031</v>
      </c>
      <c r="U16986" s="29" t="s">
        <v>4014</v>
      </c>
      <c r="V16986" s="30">
        <v>11000</v>
      </c>
      <c r="W16986" s="28">
        <v>23320031</v>
      </c>
    </row>
    <row r="16987" spans="20:23" ht="24.75" thickBot="1" x14ac:dyDescent="0.25">
      <c r="T16987" s="28">
        <v>23320032</v>
      </c>
      <c r="U16987" s="29" t="s">
        <v>4015</v>
      </c>
      <c r="V16987" s="30">
        <v>11000</v>
      </c>
      <c r="W16987" s="28">
        <v>23320032</v>
      </c>
    </row>
    <row r="16988" spans="20:23" ht="13.5" thickBot="1" x14ac:dyDescent="0.25">
      <c r="T16988" s="28">
        <v>23320033</v>
      </c>
      <c r="U16988" s="29" t="s">
        <v>4016</v>
      </c>
      <c r="V16988" s="30">
        <v>11000</v>
      </c>
      <c r="W16988" s="28">
        <v>23320033</v>
      </c>
    </row>
    <row r="16989" spans="20:23" ht="13.5" thickBot="1" x14ac:dyDescent="0.25">
      <c r="T16989" s="28">
        <v>23320034</v>
      </c>
      <c r="U16989" s="29" t="s">
        <v>4017</v>
      </c>
      <c r="V16989" s="30">
        <v>11000</v>
      </c>
      <c r="W16989" s="28">
        <v>23320034</v>
      </c>
    </row>
    <row r="16990" spans="20:23" ht="13.5" thickBot="1" x14ac:dyDescent="0.25">
      <c r="T16990" s="28">
        <v>23320035</v>
      </c>
      <c r="U16990" s="29" t="s">
        <v>4018</v>
      </c>
      <c r="V16990" s="30">
        <v>11000</v>
      </c>
      <c r="W16990" s="28">
        <v>23320035</v>
      </c>
    </row>
    <row r="16991" spans="20:23" ht="13.5" thickBot="1" x14ac:dyDescent="0.25">
      <c r="T16991" s="28">
        <v>23320036</v>
      </c>
      <c r="U16991" s="29" t="s">
        <v>4019</v>
      </c>
      <c r="V16991" s="30">
        <v>11000</v>
      </c>
      <c r="W16991" s="28">
        <v>23320036</v>
      </c>
    </row>
    <row r="16992" spans="20:23" ht="13.5" thickBot="1" x14ac:dyDescent="0.25">
      <c r="T16992" s="28">
        <v>23320037</v>
      </c>
      <c r="U16992" s="29" t="s">
        <v>4020</v>
      </c>
      <c r="V16992" s="30">
        <v>11000</v>
      </c>
      <c r="W16992" s="28">
        <v>23320037</v>
      </c>
    </row>
    <row r="16993" spans="20:23" ht="13.5" thickBot="1" x14ac:dyDescent="0.25">
      <c r="T16993" s="28">
        <v>23320038</v>
      </c>
      <c r="U16993" s="29" t="s">
        <v>4021</v>
      </c>
      <c r="V16993" s="30">
        <v>11000</v>
      </c>
      <c r="W16993" s="28">
        <v>23320038</v>
      </c>
    </row>
    <row r="16994" spans="20:23" ht="13.5" thickBot="1" x14ac:dyDescent="0.25">
      <c r="T16994" s="28">
        <v>23320039</v>
      </c>
      <c r="U16994" s="29" t="s">
        <v>4022</v>
      </c>
      <c r="V16994" s="30">
        <v>11000</v>
      </c>
      <c r="W16994" s="28">
        <v>23320039</v>
      </c>
    </row>
    <row r="16995" spans="20:23" ht="13.5" thickBot="1" x14ac:dyDescent="0.25">
      <c r="T16995" s="28">
        <v>23320040</v>
      </c>
      <c r="U16995" s="29" t="s">
        <v>4023</v>
      </c>
      <c r="V16995" s="30">
        <v>11000</v>
      </c>
      <c r="W16995" s="28">
        <v>23320040</v>
      </c>
    </row>
    <row r="16996" spans="20:23" ht="13.5" thickBot="1" x14ac:dyDescent="0.25">
      <c r="T16996" s="28">
        <v>23320041</v>
      </c>
      <c r="U16996" s="29" t="s">
        <v>3668</v>
      </c>
      <c r="V16996" s="30">
        <v>11000</v>
      </c>
      <c r="W16996" s="28">
        <v>23320041</v>
      </c>
    </row>
    <row r="16997" spans="20:23" ht="24.75" thickBot="1" x14ac:dyDescent="0.25">
      <c r="T16997" s="28">
        <v>23320042</v>
      </c>
      <c r="U16997" s="29" t="s">
        <v>4024</v>
      </c>
      <c r="V16997" s="30">
        <v>11000</v>
      </c>
      <c r="W16997" s="28">
        <v>23320042</v>
      </c>
    </row>
    <row r="16998" spans="20:23" ht="24.75" thickBot="1" x14ac:dyDescent="0.25">
      <c r="T16998" s="28">
        <v>23320043</v>
      </c>
      <c r="U16998" s="29" t="s">
        <v>4025</v>
      </c>
      <c r="V16998" s="30">
        <v>11000</v>
      </c>
      <c r="W16998" s="28">
        <v>23320043</v>
      </c>
    </row>
    <row r="16999" spans="20:23" ht="13.5" thickBot="1" x14ac:dyDescent="0.25">
      <c r="T16999" s="28">
        <v>23320044</v>
      </c>
      <c r="U16999" s="29" t="s">
        <v>4026</v>
      </c>
      <c r="V16999" s="30">
        <v>11000</v>
      </c>
      <c r="W16999" s="28">
        <v>23320044</v>
      </c>
    </row>
    <row r="17000" spans="20:23" ht="24.75" thickBot="1" x14ac:dyDescent="0.25">
      <c r="T17000" s="28">
        <v>23320045</v>
      </c>
      <c r="U17000" s="29" t="s">
        <v>4027</v>
      </c>
      <c r="V17000" s="30">
        <v>11000</v>
      </c>
      <c r="W17000" s="28">
        <v>23320045</v>
      </c>
    </row>
    <row r="17001" spans="20:23" ht="24.75" thickBot="1" x14ac:dyDescent="0.25">
      <c r="T17001" s="28">
        <v>23320046</v>
      </c>
      <c r="U17001" s="29" t="s">
        <v>4028</v>
      </c>
      <c r="V17001" s="30">
        <v>11000</v>
      </c>
      <c r="W17001" s="28">
        <v>23320046</v>
      </c>
    </row>
    <row r="17002" spans="20:23" ht="13.5" thickBot="1" x14ac:dyDescent="0.25">
      <c r="T17002" s="28">
        <v>23320047</v>
      </c>
      <c r="U17002" s="29" t="s">
        <v>4029</v>
      </c>
      <c r="V17002" s="30">
        <v>11000</v>
      </c>
      <c r="W17002" s="28">
        <v>23320047</v>
      </c>
    </row>
    <row r="17003" spans="20:23" ht="13.5" thickBot="1" x14ac:dyDescent="0.25">
      <c r="T17003" s="28">
        <v>23320048</v>
      </c>
      <c r="U17003" s="29" t="s">
        <v>4030</v>
      </c>
      <c r="V17003" s="30">
        <v>11000</v>
      </c>
      <c r="W17003" s="28">
        <v>23320048</v>
      </c>
    </row>
    <row r="17004" spans="20:23" ht="13.5" thickBot="1" x14ac:dyDescent="0.25">
      <c r="T17004" s="28">
        <v>23320049</v>
      </c>
      <c r="U17004" s="29" t="s">
        <v>4031</v>
      </c>
      <c r="V17004" s="30">
        <v>11000</v>
      </c>
      <c r="W17004" s="28">
        <v>23320049</v>
      </c>
    </row>
    <row r="17005" spans="20:23" ht="13.5" thickBot="1" x14ac:dyDescent="0.25">
      <c r="T17005" s="28">
        <v>23320050</v>
      </c>
      <c r="U17005" s="29" t="s">
        <v>4032</v>
      </c>
      <c r="V17005" s="30">
        <v>11000</v>
      </c>
      <c r="W17005" s="28">
        <v>23320050</v>
      </c>
    </row>
    <row r="17006" spans="20:23" ht="24.75" thickBot="1" x14ac:dyDescent="0.25">
      <c r="T17006" s="28">
        <v>23320051</v>
      </c>
      <c r="U17006" s="29" t="s">
        <v>4033</v>
      </c>
      <c r="V17006" s="30">
        <v>11000</v>
      </c>
      <c r="W17006" s="28">
        <v>23320051</v>
      </c>
    </row>
    <row r="17007" spans="20:23" ht="13.5" thickBot="1" x14ac:dyDescent="0.25">
      <c r="T17007" s="28">
        <v>23320052</v>
      </c>
      <c r="U17007" s="29" t="s">
        <v>4034</v>
      </c>
      <c r="V17007" s="30">
        <v>11000</v>
      </c>
      <c r="W17007" s="28">
        <v>23320052</v>
      </c>
    </row>
    <row r="17008" spans="20:23" ht="13.5" thickBot="1" x14ac:dyDescent="0.25">
      <c r="T17008" s="28">
        <v>23320053</v>
      </c>
      <c r="U17008" s="29" t="s">
        <v>4035</v>
      </c>
      <c r="V17008" s="30">
        <v>11000</v>
      </c>
      <c r="W17008" s="28">
        <v>23320053</v>
      </c>
    </row>
    <row r="17009" spans="20:23" ht="24.75" thickBot="1" x14ac:dyDescent="0.25">
      <c r="T17009" s="28">
        <v>23320054</v>
      </c>
      <c r="U17009" s="29" t="s">
        <v>4036</v>
      </c>
      <c r="V17009" s="30">
        <v>11000</v>
      </c>
      <c r="W17009" s="28">
        <v>23320054</v>
      </c>
    </row>
    <row r="17010" spans="20:23" ht="24.75" thickBot="1" x14ac:dyDescent="0.25">
      <c r="T17010" s="28">
        <v>23320055</v>
      </c>
      <c r="U17010" s="29" t="s">
        <v>4037</v>
      </c>
      <c r="V17010" s="30">
        <v>11000</v>
      </c>
      <c r="W17010" s="28">
        <v>23320055</v>
      </c>
    </row>
    <row r="17011" spans="20:23" ht="24.75" thickBot="1" x14ac:dyDescent="0.25">
      <c r="T17011" s="28">
        <v>23320056</v>
      </c>
      <c r="U17011" s="29" t="s">
        <v>4038</v>
      </c>
      <c r="V17011" s="30">
        <v>11000</v>
      </c>
      <c r="W17011" s="28">
        <v>23320056</v>
      </c>
    </row>
    <row r="17012" spans="20:23" ht="13.5" thickBot="1" x14ac:dyDescent="0.25">
      <c r="T17012" s="28">
        <v>23320057</v>
      </c>
      <c r="U17012" s="29" t="s">
        <v>4039</v>
      </c>
      <c r="V17012" s="30">
        <v>11000</v>
      </c>
      <c r="W17012" s="28">
        <v>23320057</v>
      </c>
    </row>
    <row r="17013" spans="20:23" ht="24.75" thickBot="1" x14ac:dyDescent="0.25">
      <c r="T17013" s="28">
        <v>23320058</v>
      </c>
      <c r="U17013" s="29" t="s">
        <v>4040</v>
      </c>
      <c r="V17013" s="30">
        <v>11000</v>
      </c>
      <c r="W17013" s="28">
        <v>23320058</v>
      </c>
    </row>
    <row r="17014" spans="20:23" ht="24.75" thickBot="1" x14ac:dyDescent="0.25">
      <c r="T17014" s="28">
        <v>23320059</v>
      </c>
      <c r="U17014" s="29" t="s">
        <v>4041</v>
      </c>
      <c r="V17014" s="30">
        <v>11000</v>
      </c>
      <c r="W17014" s="28">
        <v>23320059</v>
      </c>
    </row>
    <row r="17015" spans="20:23" ht="24.75" thickBot="1" x14ac:dyDescent="0.25">
      <c r="T17015" s="28">
        <v>23320060</v>
      </c>
      <c r="U17015" s="29" t="s">
        <v>4042</v>
      </c>
      <c r="V17015" s="30">
        <v>11000</v>
      </c>
      <c r="W17015" s="28">
        <v>23320060</v>
      </c>
    </row>
    <row r="17016" spans="20:23" ht="24.75" thickBot="1" x14ac:dyDescent="0.25">
      <c r="T17016" s="28">
        <v>23320061</v>
      </c>
      <c r="U17016" s="29" t="s">
        <v>4043</v>
      </c>
      <c r="V17016" s="30">
        <v>11000</v>
      </c>
      <c r="W17016" s="28">
        <v>23320061</v>
      </c>
    </row>
    <row r="17017" spans="20:23" ht="24.75" thickBot="1" x14ac:dyDescent="0.25">
      <c r="T17017" s="28">
        <v>23320062</v>
      </c>
      <c r="U17017" s="29" t="s">
        <v>4044</v>
      </c>
      <c r="V17017" s="30">
        <v>11000</v>
      </c>
      <c r="W17017" s="28">
        <v>23320062</v>
      </c>
    </row>
    <row r="17018" spans="20:23" ht="13.5" thickBot="1" x14ac:dyDescent="0.25">
      <c r="T17018" s="28">
        <v>23320063</v>
      </c>
      <c r="U17018" s="29" t="s">
        <v>4045</v>
      </c>
      <c r="V17018" s="30">
        <v>11000</v>
      </c>
      <c r="W17018" s="28">
        <v>23320063</v>
      </c>
    </row>
    <row r="17019" spans="20:23" ht="13.5" thickBot="1" x14ac:dyDescent="0.25">
      <c r="T17019" s="28">
        <v>23320064</v>
      </c>
      <c r="U17019" s="29" t="s">
        <v>4046</v>
      </c>
      <c r="V17019" s="30">
        <v>11000</v>
      </c>
      <c r="W17019" s="28">
        <v>23320064</v>
      </c>
    </row>
    <row r="17020" spans="20:23" ht="13.5" thickBot="1" x14ac:dyDescent="0.25">
      <c r="T17020" s="28">
        <v>23320065</v>
      </c>
      <c r="U17020" s="29" t="s">
        <v>4047</v>
      </c>
      <c r="V17020" s="30">
        <v>11000</v>
      </c>
      <c r="W17020" s="28">
        <v>23320065</v>
      </c>
    </row>
    <row r="17021" spans="20:23" ht="13.5" thickBot="1" x14ac:dyDescent="0.25">
      <c r="T17021" s="28">
        <v>23320066</v>
      </c>
      <c r="U17021" s="29" t="s">
        <v>4048</v>
      </c>
      <c r="V17021" s="30">
        <v>11000</v>
      </c>
      <c r="W17021" s="28">
        <v>23320066</v>
      </c>
    </row>
    <row r="17022" spans="20:23" ht="13.5" thickBot="1" x14ac:dyDescent="0.25">
      <c r="T17022" s="28">
        <v>23320067</v>
      </c>
      <c r="U17022" s="29" t="s">
        <v>4049</v>
      </c>
      <c r="V17022" s="30">
        <v>11000</v>
      </c>
      <c r="W17022" s="28">
        <v>23320067</v>
      </c>
    </row>
    <row r="17023" spans="20:23" ht="13.5" thickBot="1" x14ac:dyDescent="0.25">
      <c r="T17023" s="28">
        <v>23320068</v>
      </c>
      <c r="U17023" s="29" t="s">
        <v>4050</v>
      </c>
      <c r="V17023" s="30">
        <v>11000</v>
      </c>
      <c r="W17023" s="28">
        <v>23320068</v>
      </c>
    </row>
    <row r="17024" spans="20:23" ht="24.75" thickBot="1" x14ac:dyDescent="0.25">
      <c r="T17024" s="28">
        <v>23320069</v>
      </c>
      <c r="U17024" s="29" t="s">
        <v>4051</v>
      </c>
      <c r="V17024" s="30">
        <v>11000</v>
      </c>
      <c r="W17024" s="28">
        <v>23320069</v>
      </c>
    </row>
    <row r="17025" spans="20:23" ht="24.75" thickBot="1" x14ac:dyDescent="0.25">
      <c r="T17025" s="28">
        <v>23320070</v>
      </c>
      <c r="U17025" s="29" t="s">
        <v>4052</v>
      </c>
      <c r="V17025" s="30">
        <v>11000</v>
      </c>
      <c r="W17025" s="28">
        <v>23320070</v>
      </c>
    </row>
    <row r="17026" spans="20:23" ht="13.5" thickBot="1" x14ac:dyDescent="0.25">
      <c r="T17026" s="28">
        <v>23320071</v>
      </c>
      <c r="U17026" s="29" t="s">
        <v>4053</v>
      </c>
      <c r="V17026" s="30">
        <v>11000</v>
      </c>
      <c r="W17026" s="28">
        <v>23320071</v>
      </c>
    </row>
    <row r="17027" spans="20:23" ht="24.75" thickBot="1" x14ac:dyDescent="0.25">
      <c r="T17027" s="28">
        <v>23320072</v>
      </c>
      <c r="U17027" s="29" t="s">
        <v>4054</v>
      </c>
      <c r="V17027" s="30">
        <v>11000</v>
      </c>
      <c r="W17027" s="28">
        <v>23320072</v>
      </c>
    </row>
    <row r="17028" spans="20:23" ht="13.5" thickBot="1" x14ac:dyDescent="0.25">
      <c r="T17028" s="28">
        <v>23320073</v>
      </c>
      <c r="U17028" s="29" t="s">
        <v>4055</v>
      </c>
      <c r="V17028" s="30">
        <v>11000</v>
      </c>
      <c r="W17028" s="28">
        <v>23320073</v>
      </c>
    </row>
    <row r="17029" spans="20:23" ht="13.5" thickBot="1" x14ac:dyDescent="0.25">
      <c r="T17029" s="28">
        <v>23320074</v>
      </c>
      <c r="U17029" s="29" t="s">
        <v>4056</v>
      </c>
      <c r="V17029" s="30">
        <v>11000</v>
      </c>
      <c r="W17029" s="28">
        <v>23320074</v>
      </c>
    </row>
    <row r="17030" spans="20:23" ht="24.75" thickBot="1" x14ac:dyDescent="0.25">
      <c r="T17030" s="28">
        <v>23320075</v>
      </c>
      <c r="U17030" s="29" t="s">
        <v>4057</v>
      </c>
      <c r="V17030" s="30">
        <v>11000</v>
      </c>
      <c r="W17030" s="28">
        <v>23320075</v>
      </c>
    </row>
    <row r="17031" spans="20:23" ht="13.5" thickBot="1" x14ac:dyDescent="0.25">
      <c r="T17031" s="28">
        <v>23320076</v>
      </c>
      <c r="U17031" s="29" t="s">
        <v>4058</v>
      </c>
      <c r="V17031" s="30">
        <v>11000</v>
      </c>
      <c r="W17031" s="28">
        <v>23320076</v>
      </c>
    </row>
    <row r="17032" spans="20:23" ht="13.5" thickBot="1" x14ac:dyDescent="0.25">
      <c r="T17032" s="28">
        <v>23320077</v>
      </c>
      <c r="U17032" s="29" t="s">
        <v>4059</v>
      </c>
      <c r="V17032" s="30">
        <v>11000</v>
      </c>
      <c r="W17032" s="28">
        <v>23320077</v>
      </c>
    </row>
    <row r="17033" spans="20:23" ht="24.75" thickBot="1" x14ac:dyDescent="0.25">
      <c r="T17033" s="28">
        <v>23320078</v>
      </c>
      <c r="U17033" s="29" t="s">
        <v>4060</v>
      </c>
      <c r="V17033" s="30">
        <v>11000</v>
      </c>
      <c r="W17033" s="28">
        <v>23320078</v>
      </c>
    </row>
    <row r="17034" spans="20:23" ht="24.75" thickBot="1" x14ac:dyDescent="0.25">
      <c r="T17034" s="28">
        <v>23320079</v>
      </c>
      <c r="U17034" s="29" t="s">
        <v>4061</v>
      </c>
      <c r="V17034" s="30">
        <v>11000</v>
      </c>
      <c r="W17034" s="28">
        <v>23320079</v>
      </c>
    </row>
    <row r="17035" spans="20:23" ht="13.5" thickBot="1" x14ac:dyDescent="0.25">
      <c r="T17035" s="28">
        <v>23320080</v>
      </c>
      <c r="U17035" s="29" t="s">
        <v>4062</v>
      </c>
      <c r="V17035" s="30">
        <v>11000</v>
      </c>
      <c r="W17035" s="28">
        <v>23320080</v>
      </c>
    </row>
    <row r="17036" spans="20:23" ht="24.75" thickBot="1" x14ac:dyDescent="0.25">
      <c r="T17036" s="28">
        <v>23320081</v>
      </c>
      <c r="U17036" s="29" t="s">
        <v>4063</v>
      </c>
      <c r="V17036" s="30">
        <v>11000</v>
      </c>
      <c r="W17036" s="28">
        <v>23320081</v>
      </c>
    </row>
    <row r="17037" spans="20:23" ht="24.75" thickBot="1" x14ac:dyDescent="0.25">
      <c r="T17037" s="28">
        <v>23320082</v>
      </c>
      <c r="U17037" s="29" t="s">
        <v>4064</v>
      </c>
      <c r="V17037" s="30">
        <v>11000</v>
      </c>
      <c r="W17037" s="28">
        <v>23320082</v>
      </c>
    </row>
    <row r="17038" spans="20:23" ht="24.75" thickBot="1" x14ac:dyDescent="0.25">
      <c r="T17038" s="28">
        <v>23320083</v>
      </c>
      <c r="U17038" s="29" t="s">
        <v>4065</v>
      </c>
      <c r="V17038" s="30">
        <v>11000</v>
      </c>
      <c r="W17038" s="28">
        <v>23320083</v>
      </c>
    </row>
    <row r="17039" spans="20:23" ht="24.75" thickBot="1" x14ac:dyDescent="0.25">
      <c r="T17039" s="28">
        <v>23320084</v>
      </c>
      <c r="U17039" s="29" t="s">
        <v>4066</v>
      </c>
      <c r="V17039" s="30">
        <v>11000</v>
      </c>
      <c r="W17039" s="28">
        <v>23320084</v>
      </c>
    </row>
    <row r="17040" spans="20:23" ht="13.5" thickBot="1" x14ac:dyDescent="0.25">
      <c r="T17040" s="28">
        <v>23320085</v>
      </c>
      <c r="U17040" s="29" t="s">
        <v>4067</v>
      </c>
      <c r="V17040" s="30">
        <v>11000</v>
      </c>
      <c r="W17040" s="28">
        <v>23320085</v>
      </c>
    </row>
    <row r="17041" spans="20:23" ht="24.75" thickBot="1" x14ac:dyDescent="0.25">
      <c r="T17041" s="28">
        <v>23320086</v>
      </c>
      <c r="U17041" s="29" t="s">
        <v>4068</v>
      </c>
      <c r="V17041" s="30">
        <v>11000</v>
      </c>
      <c r="W17041" s="28">
        <v>23320086</v>
      </c>
    </row>
    <row r="17042" spans="20:23" ht="13.5" thickBot="1" x14ac:dyDescent="0.25">
      <c r="T17042" s="28">
        <v>23320087</v>
      </c>
      <c r="U17042" s="29" t="s">
        <v>4069</v>
      </c>
      <c r="V17042" s="30">
        <v>11000</v>
      </c>
      <c r="W17042" s="28">
        <v>23320087</v>
      </c>
    </row>
    <row r="17043" spans="20:23" ht="13.5" thickBot="1" x14ac:dyDescent="0.25">
      <c r="T17043" s="28">
        <v>23320088</v>
      </c>
      <c r="U17043" s="29" t="s">
        <v>4070</v>
      </c>
      <c r="V17043" s="30">
        <v>11000</v>
      </c>
      <c r="W17043" s="28">
        <v>23320088</v>
      </c>
    </row>
    <row r="17044" spans="20:23" ht="24.75" thickBot="1" x14ac:dyDescent="0.25">
      <c r="T17044" s="28">
        <v>23320089</v>
      </c>
      <c r="U17044" s="29" t="s">
        <v>4071</v>
      </c>
      <c r="V17044" s="30">
        <v>11000</v>
      </c>
      <c r="W17044" s="28">
        <v>23320089</v>
      </c>
    </row>
    <row r="17045" spans="20:23" ht="13.5" thickBot="1" x14ac:dyDescent="0.25">
      <c r="T17045" s="28">
        <v>23320090</v>
      </c>
      <c r="U17045" s="29" t="s">
        <v>4072</v>
      </c>
      <c r="V17045" s="30">
        <v>11000</v>
      </c>
      <c r="W17045" s="28">
        <v>23320090</v>
      </c>
    </row>
    <row r="17046" spans="20:23" ht="13.5" thickBot="1" x14ac:dyDescent="0.25">
      <c r="T17046" s="28">
        <v>23320091</v>
      </c>
      <c r="U17046" s="29" t="s">
        <v>4073</v>
      </c>
      <c r="V17046" s="30">
        <v>11000</v>
      </c>
      <c r="W17046" s="28">
        <v>23320091</v>
      </c>
    </row>
    <row r="17047" spans="20:23" ht="13.5" thickBot="1" x14ac:dyDescent="0.25">
      <c r="T17047" s="28">
        <v>23320092</v>
      </c>
      <c r="U17047" s="29" t="s">
        <v>4074</v>
      </c>
      <c r="V17047" s="30">
        <v>11000</v>
      </c>
      <c r="W17047" s="28">
        <v>23320092</v>
      </c>
    </row>
    <row r="17048" spans="20:23" ht="13.5" thickBot="1" x14ac:dyDescent="0.25">
      <c r="T17048" s="28">
        <v>23320093</v>
      </c>
      <c r="U17048" s="29" t="s">
        <v>4075</v>
      </c>
      <c r="V17048" s="30">
        <v>11000</v>
      </c>
      <c r="W17048" s="28">
        <v>23320093</v>
      </c>
    </row>
    <row r="17049" spans="20:23" ht="13.5" thickBot="1" x14ac:dyDescent="0.25">
      <c r="T17049" s="28">
        <v>23320094</v>
      </c>
      <c r="U17049" s="29" t="s">
        <v>4076</v>
      </c>
      <c r="V17049" s="30">
        <v>6000</v>
      </c>
      <c r="W17049" s="28">
        <v>23320094</v>
      </c>
    </row>
    <row r="17050" spans="20:23" ht="13.5" thickBot="1" x14ac:dyDescent="0.25">
      <c r="T17050" s="28">
        <v>23347001</v>
      </c>
      <c r="U17050" s="29" t="s">
        <v>4077</v>
      </c>
      <c r="V17050" s="30">
        <v>2220000</v>
      </c>
      <c r="W17050" s="28">
        <v>23347001</v>
      </c>
    </row>
    <row r="17051" spans="20:23" ht="13.5" thickBot="1" x14ac:dyDescent="0.25">
      <c r="T17051" s="28">
        <v>23347002</v>
      </c>
      <c r="U17051" s="29" t="s">
        <v>4078</v>
      </c>
      <c r="V17051" s="30">
        <v>411000</v>
      </c>
      <c r="W17051" s="28">
        <v>23347002</v>
      </c>
    </row>
    <row r="17052" spans="20:23" ht="13.5" thickBot="1" x14ac:dyDescent="0.25">
      <c r="T17052" s="28">
        <v>23347003</v>
      </c>
      <c r="U17052" s="29" t="s">
        <v>4079</v>
      </c>
      <c r="V17052" s="30">
        <v>64200</v>
      </c>
      <c r="W17052" s="28">
        <v>23347003</v>
      </c>
    </row>
    <row r="17053" spans="20:23" ht="13.5" thickBot="1" x14ac:dyDescent="0.25">
      <c r="T17053" s="28">
        <v>23347004</v>
      </c>
      <c r="U17053" s="29" t="s">
        <v>4080</v>
      </c>
      <c r="V17053" s="30">
        <v>8080</v>
      </c>
      <c r="W17053" s="28">
        <v>23347004</v>
      </c>
    </row>
    <row r="17054" spans="20:23" ht="13.5" thickBot="1" x14ac:dyDescent="0.25">
      <c r="T17054" s="28">
        <v>23347005</v>
      </c>
      <c r="U17054" s="29" t="s">
        <v>4081</v>
      </c>
      <c r="V17054" s="30">
        <v>14800000</v>
      </c>
      <c r="W17054" s="28">
        <v>23347005</v>
      </c>
    </row>
    <row r="17055" spans="20:23" ht="13.5" thickBot="1" x14ac:dyDescent="0.25">
      <c r="T17055" s="28">
        <v>23347006</v>
      </c>
      <c r="U17055" s="29" t="s">
        <v>4082</v>
      </c>
      <c r="V17055" s="30">
        <v>2750000</v>
      </c>
      <c r="W17055" s="28">
        <v>23347006</v>
      </c>
    </row>
    <row r="17056" spans="20:23" ht="13.5" thickBot="1" x14ac:dyDescent="0.25">
      <c r="T17056" s="28">
        <v>23347007</v>
      </c>
      <c r="U17056" s="29" t="s">
        <v>4083</v>
      </c>
      <c r="V17056" s="30">
        <v>428000</v>
      </c>
      <c r="W17056" s="28">
        <v>23347007</v>
      </c>
    </row>
    <row r="17057" spans="20:23" ht="13.5" thickBot="1" x14ac:dyDescent="0.25">
      <c r="T17057" s="28">
        <v>23347008</v>
      </c>
      <c r="U17057" s="29" t="s">
        <v>4084</v>
      </c>
      <c r="V17057" s="30">
        <v>57000</v>
      </c>
      <c r="W17057" s="28">
        <v>23347008</v>
      </c>
    </row>
    <row r="17058" spans="20:23" ht="24.75" thickBot="1" x14ac:dyDescent="0.25">
      <c r="T17058" s="28">
        <v>23347010</v>
      </c>
      <c r="U17058" s="29" t="s">
        <v>4085</v>
      </c>
      <c r="V17058" s="30">
        <v>5000</v>
      </c>
      <c r="W17058" s="28">
        <v>23347010</v>
      </c>
    </row>
    <row r="17059" spans="20:23" ht="13.5" thickBot="1" x14ac:dyDescent="0.25">
      <c r="T17059" s="28">
        <v>23347015</v>
      </c>
      <c r="U17059" s="29" t="s">
        <v>4086</v>
      </c>
      <c r="V17059" s="30">
        <v>5000</v>
      </c>
      <c r="W17059" s="28">
        <v>23347015</v>
      </c>
    </row>
    <row r="17060" spans="20:23" ht="13.5" thickBot="1" x14ac:dyDescent="0.25">
      <c r="T17060" s="28">
        <v>23347019</v>
      </c>
      <c r="U17060" s="29" t="s">
        <v>4087</v>
      </c>
      <c r="V17060" s="30">
        <v>5000</v>
      </c>
      <c r="W17060" s="28">
        <v>23347019</v>
      </c>
    </row>
    <row r="17061" spans="20:23" ht="24.75" thickBot="1" x14ac:dyDescent="0.25">
      <c r="T17061" s="28">
        <v>23347026</v>
      </c>
      <c r="U17061" s="29" t="s">
        <v>4088</v>
      </c>
      <c r="V17061" s="30">
        <v>5000</v>
      </c>
      <c r="W17061" s="28">
        <v>23347026</v>
      </c>
    </row>
    <row r="17062" spans="20:23" ht="13.5" thickBot="1" x14ac:dyDescent="0.25">
      <c r="T17062" s="28">
        <v>23347027</v>
      </c>
      <c r="U17062" s="29" t="s">
        <v>4089</v>
      </c>
      <c r="V17062" s="30">
        <v>5000</v>
      </c>
      <c r="W17062" s="28">
        <v>23347027</v>
      </c>
    </row>
    <row r="17063" spans="20:23" ht="24.75" thickBot="1" x14ac:dyDescent="0.25">
      <c r="T17063" s="28">
        <v>23347029</v>
      </c>
      <c r="U17063" s="29" t="s">
        <v>4090</v>
      </c>
      <c r="V17063" s="30">
        <v>5000</v>
      </c>
      <c r="W17063" s="28">
        <v>23347029</v>
      </c>
    </row>
    <row r="17064" spans="20:23" ht="24.75" thickBot="1" x14ac:dyDescent="0.25">
      <c r="T17064" s="28">
        <v>23347030</v>
      </c>
      <c r="U17064" s="29" t="s">
        <v>4091</v>
      </c>
      <c r="V17064" s="30">
        <v>5000</v>
      </c>
      <c r="W17064" s="28">
        <v>23347030</v>
      </c>
    </row>
    <row r="17065" spans="20:23" ht="13.5" thickBot="1" x14ac:dyDescent="0.25">
      <c r="T17065" s="28">
        <v>23347034</v>
      </c>
      <c r="U17065" s="29" t="s">
        <v>4092</v>
      </c>
      <c r="V17065" s="30">
        <v>5000</v>
      </c>
      <c r="W17065" s="28">
        <v>23347034</v>
      </c>
    </row>
    <row r="17066" spans="20:23" ht="13.5" thickBot="1" x14ac:dyDescent="0.25">
      <c r="T17066" s="28">
        <v>23347044</v>
      </c>
      <c r="U17066" s="29" t="s">
        <v>4093</v>
      </c>
      <c r="V17066" s="30">
        <v>5000</v>
      </c>
      <c r="W17066" s="28">
        <v>23347044</v>
      </c>
    </row>
    <row r="17067" spans="20:23" ht="13.5" thickBot="1" x14ac:dyDescent="0.25">
      <c r="T17067" s="28">
        <v>23347045</v>
      </c>
      <c r="U17067" s="29" t="s">
        <v>4094</v>
      </c>
      <c r="V17067" s="30">
        <v>5000</v>
      </c>
      <c r="W17067" s="28">
        <v>23347045</v>
      </c>
    </row>
    <row r="17068" spans="20:23" ht="13.5" thickBot="1" x14ac:dyDescent="0.25">
      <c r="T17068" s="28">
        <v>23347048</v>
      </c>
      <c r="U17068" s="29" t="s">
        <v>4095</v>
      </c>
      <c r="V17068" s="30">
        <v>5000</v>
      </c>
      <c r="W17068" s="28">
        <v>23347048</v>
      </c>
    </row>
    <row r="17069" spans="20:23" ht="13.5" thickBot="1" x14ac:dyDescent="0.25">
      <c r="T17069" s="28">
        <v>23347051</v>
      </c>
      <c r="U17069" s="29" t="s">
        <v>4096</v>
      </c>
      <c r="V17069" s="30">
        <v>5000</v>
      </c>
      <c r="W17069" s="28">
        <v>23347051</v>
      </c>
    </row>
    <row r="17070" spans="20:23" ht="13.5" thickBot="1" x14ac:dyDescent="0.25">
      <c r="T17070" s="28">
        <v>23347053</v>
      </c>
      <c r="U17070" s="29" t="s">
        <v>4097</v>
      </c>
      <c r="V17070" s="30">
        <v>5000</v>
      </c>
      <c r="W17070" s="28">
        <v>23347053</v>
      </c>
    </row>
    <row r="17071" spans="20:23" ht="13.5" thickBot="1" x14ac:dyDescent="0.25">
      <c r="T17071" s="28">
        <v>23347054</v>
      </c>
      <c r="U17071" s="29" t="s">
        <v>4098</v>
      </c>
      <c r="V17071" s="30">
        <v>5000</v>
      </c>
      <c r="W17071" s="28">
        <v>23347054</v>
      </c>
    </row>
    <row r="17072" spans="20:23" ht="13.5" thickBot="1" x14ac:dyDescent="0.25">
      <c r="T17072" s="28">
        <v>23347055</v>
      </c>
      <c r="U17072" s="29" t="s">
        <v>4099</v>
      </c>
      <c r="V17072" s="30">
        <v>5000</v>
      </c>
      <c r="W17072" s="28">
        <v>23347055</v>
      </c>
    </row>
    <row r="17073" spans="20:23" ht="13.5" thickBot="1" x14ac:dyDescent="0.25">
      <c r="T17073" s="28">
        <v>23347061</v>
      </c>
      <c r="U17073" s="29" t="s">
        <v>4100</v>
      </c>
      <c r="V17073" s="30">
        <v>5000</v>
      </c>
      <c r="W17073" s="28">
        <v>23347061</v>
      </c>
    </row>
    <row r="17074" spans="20:23" ht="13.5" thickBot="1" x14ac:dyDescent="0.25">
      <c r="T17074" s="28">
        <v>23347072</v>
      </c>
      <c r="U17074" s="29" t="s">
        <v>4101</v>
      </c>
      <c r="V17074" s="30">
        <v>5000</v>
      </c>
      <c r="W17074" s="28">
        <v>23347072</v>
      </c>
    </row>
    <row r="17075" spans="20:23" ht="13.5" thickBot="1" x14ac:dyDescent="0.25">
      <c r="T17075" s="28">
        <v>23347080</v>
      </c>
      <c r="U17075" s="29" t="s">
        <v>4102</v>
      </c>
      <c r="V17075" s="30">
        <v>5000</v>
      </c>
      <c r="W17075" s="28">
        <v>23347080</v>
      </c>
    </row>
    <row r="17076" spans="20:23" ht="13.5" thickBot="1" x14ac:dyDescent="0.25">
      <c r="T17076" s="28">
        <v>23347089</v>
      </c>
      <c r="U17076" s="29" t="s">
        <v>4103</v>
      </c>
      <c r="V17076" s="30">
        <v>5000</v>
      </c>
      <c r="W17076" s="28">
        <v>23347089</v>
      </c>
    </row>
    <row r="17077" spans="20:23" ht="13.5" thickBot="1" x14ac:dyDescent="0.25">
      <c r="T17077" s="28">
        <v>23347112</v>
      </c>
      <c r="U17077" s="29" t="s">
        <v>4104</v>
      </c>
      <c r="V17077" s="30">
        <v>5000</v>
      </c>
      <c r="W17077" s="28">
        <v>23347112</v>
      </c>
    </row>
    <row r="17078" spans="20:23" ht="24.75" thickBot="1" x14ac:dyDescent="0.25">
      <c r="T17078" s="28">
        <v>23347118</v>
      </c>
      <c r="U17078" s="29" t="s">
        <v>4105</v>
      </c>
      <c r="V17078" s="30">
        <v>5000</v>
      </c>
      <c r="W17078" s="28">
        <v>23347118</v>
      </c>
    </row>
    <row r="17079" spans="20:23" ht="13.5" thickBot="1" x14ac:dyDescent="0.25">
      <c r="T17079" s="28">
        <v>23347167</v>
      </c>
      <c r="U17079" s="29" t="s">
        <v>4106</v>
      </c>
      <c r="V17079" s="30">
        <v>5000</v>
      </c>
      <c r="W17079" s="28">
        <v>23347167</v>
      </c>
    </row>
    <row r="17080" spans="20:23" ht="13.5" thickBot="1" x14ac:dyDescent="0.25">
      <c r="T17080" s="28">
        <v>23347168</v>
      </c>
      <c r="U17080" s="29" t="s">
        <v>4107</v>
      </c>
      <c r="V17080" s="30">
        <v>5000</v>
      </c>
      <c r="W17080" s="28">
        <v>23347168</v>
      </c>
    </row>
    <row r="17081" spans="20:23" ht="13.5" thickBot="1" x14ac:dyDescent="0.25">
      <c r="T17081" s="28">
        <v>23347169</v>
      </c>
      <c r="U17081" s="29" t="s">
        <v>4108</v>
      </c>
      <c r="V17081" s="30">
        <v>5000</v>
      </c>
      <c r="W17081" s="28">
        <v>23347169</v>
      </c>
    </row>
    <row r="17082" spans="20:23" ht="13.5" thickBot="1" x14ac:dyDescent="0.25">
      <c r="T17082" s="28">
        <v>23347172</v>
      </c>
      <c r="U17082" s="29" t="s">
        <v>4109</v>
      </c>
      <c r="V17082" s="30">
        <v>5000</v>
      </c>
      <c r="W17082" s="28">
        <v>23347172</v>
      </c>
    </row>
    <row r="17083" spans="20:23" ht="13.5" thickBot="1" x14ac:dyDescent="0.25">
      <c r="T17083" s="28">
        <v>23347174</v>
      </c>
      <c r="U17083" s="29" t="s">
        <v>4110</v>
      </c>
      <c r="V17083" s="30">
        <v>5000</v>
      </c>
      <c r="W17083" s="28">
        <v>23347174</v>
      </c>
    </row>
    <row r="17084" spans="20:23" ht="13.5" thickBot="1" x14ac:dyDescent="0.25">
      <c r="T17084" s="28">
        <v>23347175</v>
      </c>
      <c r="U17084" s="29" t="s">
        <v>4111</v>
      </c>
      <c r="V17084" s="30">
        <v>5000</v>
      </c>
      <c r="W17084" s="28">
        <v>23347175</v>
      </c>
    </row>
    <row r="17085" spans="20:23" ht="13.5" thickBot="1" x14ac:dyDescent="0.25">
      <c r="T17085" s="28">
        <v>23347204</v>
      </c>
      <c r="U17085" s="29" t="s">
        <v>4112</v>
      </c>
      <c r="V17085" s="30">
        <v>5000</v>
      </c>
      <c r="W17085" s="28">
        <v>23347204</v>
      </c>
    </row>
    <row r="17086" spans="20:23" ht="13.5" thickBot="1" x14ac:dyDescent="0.25">
      <c r="T17086" s="28">
        <v>23347206</v>
      </c>
      <c r="U17086" s="29" t="s">
        <v>4113</v>
      </c>
      <c r="V17086" s="30">
        <v>5000</v>
      </c>
      <c r="W17086" s="28">
        <v>23347206</v>
      </c>
    </row>
    <row r="17087" spans="20:23" ht="13.5" thickBot="1" x14ac:dyDescent="0.25">
      <c r="T17087" s="28">
        <v>23347216</v>
      </c>
      <c r="U17087" s="29" t="s">
        <v>4114</v>
      </c>
      <c r="V17087" s="30">
        <v>5000</v>
      </c>
      <c r="W17087" s="28">
        <v>23347216</v>
      </c>
    </row>
    <row r="17088" spans="20:23" ht="24.75" thickBot="1" x14ac:dyDescent="0.25">
      <c r="T17088" s="28">
        <v>23347221</v>
      </c>
      <c r="U17088" s="29" t="s">
        <v>4115</v>
      </c>
      <c r="V17088" s="30">
        <v>5000</v>
      </c>
      <c r="W17088" s="28">
        <v>23347221</v>
      </c>
    </row>
    <row r="17089" spans="20:23" ht="13.5" thickBot="1" x14ac:dyDescent="0.25">
      <c r="T17089" s="28">
        <v>23347229</v>
      </c>
      <c r="U17089" s="29" t="s">
        <v>4116</v>
      </c>
      <c r="V17089" s="30">
        <v>5000</v>
      </c>
      <c r="W17089" s="28">
        <v>23347229</v>
      </c>
    </row>
    <row r="17090" spans="20:23" ht="13.5" thickBot="1" x14ac:dyDescent="0.25">
      <c r="T17090" s="28">
        <v>23347236</v>
      </c>
      <c r="U17090" s="29" t="s">
        <v>4117</v>
      </c>
      <c r="V17090" s="30">
        <v>5000</v>
      </c>
      <c r="W17090" s="28">
        <v>23347236</v>
      </c>
    </row>
    <row r="17091" spans="20:23" ht="13.5" thickBot="1" x14ac:dyDescent="0.25">
      <c r="T17091" s="28">
        <v>23347258</v>
      </c>
      <c r="U17091" s="29" t="s">
        <v>4118</v>
      </c>
      <c r="V17091" s="30">
        <v>5000</v>
      </c>
      <c r="W17091" s="28">
        <v>23347258</v>
      </c>
    </row>
    <row r="17092" spans="20:23" ht="13.5" thickBot="1" x14ac:dyDescent="0.25">
      <c r="T17092" s="28">
        <v>23347261</v>
      </c>
      <c r="U17092" s="29" t="s">
        <v>4119</v>
      </c>
      <c r="V17092" s="30">
        <v>5000</v>
      </c>
      <c r="W17092" s="28">
        <v>23347261</v>
      </c>
    </row>
    <row r="17093" spans="20:23" ht="13.5" thickBot="1" x14ac:dyDescent="0.25">
      <c r="T17093" s="28">
        <v>23347270</v>
      </c>
      <c r="U17093" s="29" t="s">
        <v>4120</v>
      </c>
      <c r="V17093" s="30">
        <v>5000</v>
      </c>
      <c r="W17093" s="28">
        <v>23347270</v>
      </c>
    </row>
    <row r="17094" spans="20:23" ht="24.75" thickBot="1" x14ac:dyDescent="0.25">
      <c r="T17094" s="28">
        <v>23347271</v>
      </c>
      <c r="U17094" s="29" t="s">
        <v>4121</v>
      </c>
      <c r="V17094" s="30">
        <v>5000</v>
      </c>
      <c r="W17094" s="28">
        <v>23347271</v>
      </c>
    </row>
    <row r="17095" spans="20:23" ht="24.75" thickBot="1" x14ac:dyDescent="0.25">
      <c r="T17095" s="28">
        <v>23347324</v>
      </c>
      <c r="U17095" s="29" t="s">
        <v>4122</v>
      </c>
      <c r="V17095" s="30">
        <v>5000</v>
      </c>
      <c r="W17095" s="28">
        <v>23347324</v>
      </c>
    </row>
    <row r="17096" spans="20:23" ht="13.5" thickBot="1" x14ac:dyDescent="0.25">
      <c r="T17096" s="28">
        <v>23347332</v>
      </c>
      <c r="U17096" s="29" t="s">
        <v>4123</v>
      </c>
      <c r="V17096" s="30">
        <v>5000</v>
      </c>
      <c r="W17096" s="28">
        <v>23347332</v>
      </c>
    </row>
    <row r="17097" spans="20:23" ht="24.75" thickBot="1" x14ac:dyDescent="0.25">
      <c r="T17097" s="28">
        <v>23347622</v>
      </c>
      <c r="U17097" s="29" t="s">
        <v>4124</v>
      </c>
      <c r="V17097" s="30">
        <v>5000</v>
      </c>
      <c r="W17097" s="28">
        <v>23347622</v>
      </c>
    </row>
    <row r="17098" spans="20:23" ht="24.75" thickBot="1" x14ac:dyDescent="0.25">
      <c r="T17098" s="28">
        <v>23348000</v>
      </c>
      <c r="U17098" s="29" t="s">
        <v>4125</v>
      </c>
      <c r="V17098" s="30">
        <v>19200000</v>
      </c>
      <c r="W17098" s="28">
        <v>23348000</v>
      </c>
    </row>
    <row r="17099" spans="20:23" ht="24.75" thickBot="1" x14ac:dyDescent="0.25">
      <c r="T17099" s="28">
        <v>23348001</v>
      </c>
      <c r="U17099" s="29" t="s">
        <v>4126</v>
      </c>
      <c r="V17099" s="30">
        <v>19200000</v>
      </c>
      <c r="W17099" s="28">
        <v>23348001</v>
      </c>
    </row>
    <row r="17100" spans="20:23" ht="24.75" thickBot="1" x14ac:dyDescent="0.25">
      <c r="T17100" s="28">
        <v>23348002</v>
      </c>
      <c r="U17100" s="29" t="s">
        <v>4127</v>
      </c>
      <c r="V17100" s="30">
        <v>19200000</v>
      </c>
      <c r="W17100" s="28">
        <v>23348002</v>
      </c>
    </row>
    <row r="17101" spans="20:23" ht="24.75" thickBot="1" x14ac:dyDescent="0.25">
      <c r="T17101" s="28">
        <v>23348003</v>
      </c>
      <c r="U17101" s="29" t="s">
        <v>4128</v>
      </c>
      <c r="V17101" s="30">
        <v>19200000</v>
      </c>
      <c r="W17101" s="28">
        <v>23348003</v>
      </c>
    </row>
    <row r="17102" spans="20:23" ht="24.75" thickBot="1" x14ac:dyDescent="0.25">
      <c r="T17102" s="28">
        <v>23348004</v>
      </c>
      <c r="U17102" s="29" t="s">
        <v>4129</v>
      </c>
      <c r="V17102" s="30">
        <v>19200000</v>
      </c>
      <c r="W17102" s="28">
        <v>23348004</v>
      </c>
    </row>
    <row r="17103" spans="20:23" ht="24.75" thickBot="1" x14ac:dyDescent="0.25">
      <c r="T17103" s="28">
        <v>23348005</v>
      </c>
      <c r="U17103" s="29" t="s">
        <v>4130</v>
      </c>
      <c r="V17103" s="30">
        <v>15100000</v>
      </c>
      <c r="W17103" s="28">
        <v>23348005</v>
      </c>
    </row>
    <row r="17104" spans="20:23" ht="24.75" thickBot="1" x14ac:dyDescent="0.25">
      <c r="T17104" s="28">
        <v>23348006</v>
      </c>
      <c r="U17104" s="29" t="s">
        <v>4131</v>
      </c>
      <c r="V17104" s="30">
        <v>15100000</v>
      </c>
      <c r="W17104" s="28">
        <v>23348006</v>
      </c>
    </row>
    <row r="17105" spans="20:23" ht="24.75" thickBot="1" x14ac:dyDescent="0.25">
      <c r="T17105" s="28">
        <v>23348007</v>
      </c>
      <c r="U17105" s="29" t="s">
        <v>4132</v>
      </c>
      <c r="V17105" s="30">
        <v>15100000</v>
      </c>
      <c r="W17105" s="28">
        <v>23348007</v>
      </c>
    </row>
    <row r="17106" spans="20:23" ht="24.75" thickBot="1" x14ac:dyDescent="0.25">
      <c r="T17106" s="28">
        <v>23348008</v>
      </c>
      <c r="U17106" s="29" t="s">
        <v>4133</v>
      </c>
      <c r="V17106" s="30">
        <v>15100000</v>
      </c>
      <c r="W17106" s="28">
        <v>23348008</v>
      </c>
    </row>
    <row r="17107" spans="20:23" ht="24.75" thickBot="1" x14ac:dyDescent="0.25">
      <c r="T17107" s="28">
        <v>23348009</v>
      </c>
      <c r="U17107" s="29" t="s">
        <v>4134</v>
      </c>
      <c r="V17107" s="30">
        <v>19200000</v>
      </c>
      <c r="W17107" s="28">
        <v>23348009</v>
      </c>
    </row>
    <row r="17108" spans="20:23" ht="24.75" thickBot="1" x14ac:dyDescent="0.25">
      <c r="T17108" s="28">
        <v>23348010</v>
      </c>
      <c r="U17108" s="29" t="s">
        <v>4135</v>
      </c>
      <c r="V17108" s="30">
        <v>19200000</v>
      </c>
      <c r="W17108" s="28">
        <v>23348010</v>
      </c>
    </row>
    <row r="17109" spans="20:23" ht="24.75" thickBot="1" x14ac:dyDescent="0.25">
      <c r="T17109" s="28">
        <v>23348011</v>
      </c>
      <c r="U17109" s="29" t="s">
        <v>4136</v>
      </c>
      <c r="V17109" s="30">
        <v>3000000</v>
      </c>
      <c r="W17109" s="28">
        <v>23348011</v>
      </c>
    </row>
    <row r="17110" spans="20:23" ht="13.5" thickBot="1" x14ac:dyDescent="0.25">
      <c r="T17110" s="28">
        <v>23348012</v>
      </c>
      <c r="U17110" s="29" t="s">
        <v>4137</v>
      </c>
      <c r="V17110" s="30">
        <v>2360000</v>
      </c>
      <c r="W17110" s="28">
        <v>23348012</v>
      </c>
    </row>
    <row r="17111" spans="20:23" ht="13.5" thickBot="1" x14ac:dyDescent="0.25">
      <c r="T17111" s="28">
        <v>23348013</v>
      </c>
      <c r="U17111" s="29" t="s">
        <v>4138</v>
      </c>
      <c r="V17111" s="30">
        <v>3000000</v>
      </c>
      <c r="W17111" s="28">
        <v>23348013</v>
      </c>
    </row>
    <row r="17112" spans="20:23" ht="24.75" thickBot="1" x14ac:dyDescent="0.25">
      <c r="T17112" s="28">
        <v>23348014</v>
      </c>
      <c r="U17112" s="29" t="s">
        <v>4139</v>
      </c>
      <c r="V17112" s="30">
        <v>3000000</v>
      </c>
      <c r="W17112" s="28">
        <v>23348014</v>
      </c>
    </row>
    <row r="17113" spans="20:23" ht="24.75" thickBot="1" x14ac:dyDescent="0.25">
      <c r="T17113" s="28">
        <v>23348015</v>
      </c>
      <c r="U17113" s="29" t="s">
        <v>4140</v>
      </c>
      <c r="V17113" s="30">
        <v>3000000</v>
      </c>
      <c r="W17113" s="28">
        <v>23348015</v>
      </c>
    </row>
    <row r="17114" spans="20:23" ht="24.75" thickBot="1" x14ac:dyDescent="0.25">
      <c r="T17114" s="28">
        <v>23348016</v>
      </c>
      <c r="U17114" s="29" t="s">
        <v>4141</v>
      </c>
      <c r="V17114" s="30">
        <v>3000000</v>
      </c>
      <c r="W17114" s="28">
        <v>23348016</v>
      </c>
    </row>
    <row r="17115" spans="20:23" ht="24.75" thickBot="1" x14ac:dyDescent="0.25">
      <c r="T17115" s="28">
        <v>23348017</v>
      </c>
      <c r="U17115" s="29" t="s">
        <v>4142</v>
      </c>
      <c r="V17115" s="30">
        <v>3000000</v>
      </c>
      <c r="W17115" s="28">
        <v>23348017</v>
      </c>
    </row>
    <row r="17116" spans="20:23" ht="24.75" thickBot="1" x14ac:dyDescent="0.25">
      <c r="T17116" s="28">
        <v>23348018</v>
      </c>
      <c r="U17116" s="29" t="s">
        <v>4143</v>
      </c>
      <c r="V17116" s="30">
        <v>3000000</v>
      </c>
      <c r="W17116" s="28">
        <v>23348018</v>
      </c>
    </row>
    <row r="17117" spans="20:23" ht="24.75" thickBot="1" x14ac:dyDescent="0.25">
      <c r="T17117" s="28">
        <v>23348019</v>
      </c>
      <c r="U17117" s="29" t="s">
        <v>4144</v>
      </c>
      <c r="V17117" s="30">
        <v>3000000</v>
      </c>
      <c r="W17117" s="28">
        <v>23348019</v>
      </c>
    </row>
    <row r="17118" spans="20:23" ht="24.75" thickBot="1" x14ac:dyDescent="0.25">
      <c r="T17118" s="28">
        <v>23348020</v>
      </c>
      <c r="U17118" s="29" t="s">
        <v>4145</v>
      </c>
      <c r="V17118" s="30">
        <v>3000000</v>
      </c>
      <c r="W17118" s="28">
        <v>23348020</v>
      </c>
    </row>
    <row r="17119" spans="20:23" ht="24.75" thickBot="1" x14ac:dyDescent="0.25">
      <c r="T17119" s="28">
        <v>23348021</v>
      </c>
      <c r="U17119" s="29" t="s">
        <v>4146</v>
      </c>
      <c r="V17119" s="30">
        <v>3000000</v>
      </c>
      <c r="W17119" s="28">
        <v>23348021</v>
      </c>
    </row>
    <row r="17120" spans="20:23" ht="13.5" thickBot="1" x14ac:dyDescent="0.25">
      <c r="T17120" s="28">
        <v>23348022</v>
      </c>
      <c r="U17120" s="29" t="s">
        <v>4147</v>
      </c>
      <c r="V17120" s="30">
        <v>3000000</v>
      </c>
      <c r="W17120" s="28">
        <v>23348022</v>
      </c>
    </row>
    <row r="17121" spans="20:23" ht="24.75" thickBot="1" x14ac:dyDescent="0.25">
      <c r="T17121" s="28">
        <v>23348023</v>
      </c>
      <c r="U17121" s="29" t="s">
        <v>4148</v>
      </c>
      <c r="V17121" s="30">
        <v>3000000</v>
      </c>
      <c r="W17121" s="28">
        <v>23348023</v>
      </c>
    </row>
    <row r="17122" spans="20:23" ht="24.75" thickBot="1" x14ac:dyDescent="0.25">
      <c r="T17122" s="28">
        <v>23348024</v>
      </c>
      <c r="U17122" s="29" t="s">
        <v>4149</v>
      </c>
      <c r="V17122" s="30">
        <v>3000000</v>
      </c>
      <c r="W17122" s="28">
        <v>23348024</v>
      </c>
    </row>
    <row r="17123" spans="20:23" ht="13.5" thickBot="1" x14ac:dyDescent="0.25">
      <c r="T17123" s="28">
        <v>23348025</v>
      </c>
      <c r="U17123" s="29" t="s">
        <v>4150</v>
      </c>
      <c r="V17123" s="30">
        <v>3000000</v>
      </c>
      <c r="W17123" s="28">
        <v>23348025</v>
      </c>
    </row>
    <row r="17124" spans="20:23" ht="24.75" thickBot="1" x14ac:dyDescent="0.25">
      <c r="T17124" s="28">
        <v>23348026</v>
      </c>
      <c r="U17124" s="29" t="s">
        <v>4151</v>
      </c>
      <c r="V17124" s="30">
        <v>3000000</v>
      </c>
      <c r="W17124" s="28">
        <v>23348026</v>
      </c>
    </row>
    <row r="17125" spans="20:23" ht="13.5" thickBot="1" x14ac:dyDescent="0.25">
      <c r="T17125" s="28">
        <v>23348027</v>
      </c>
      <c r="U17125" s="29" t="s">
        <v>4152</v>
      </c>
      <c r="V17125" s="30">
        <v>3000000</v>
      </c>
      <c r="W17125" s="28">
        <v>23348027</v>
      </c>
    </row>
    <row r="17126" spans="20:23" ht="13.5" thickBot="1" x14ac:dyDescent="0.25">
      <c r="T17126" s="28">
        <v>23348028</v>
      </c>
      <c r="U17126" s="29" t="s">
        <v>4153</v>
      </c>
      <c r="V17126" s="30">
        <v>3000000</v>
      </c>
      <c r="W17126" s="28">
        <v>23348028</v>
      </c>
    </row>
    <row r="17127" spans="20:23" ht="24.75" thickBot="1" x14ac:dyDescent="0.25">
      <c r="T17127" s="28">
        <v>23348029</v>
      </c>
      <c r="U17127" s="29" t="s">
        <v>4154</v>
      </c>
      <c r="V17127" s="30">
        <v>3000000</v>
      </c>
      <c r="W17127" s="28">
        <v>23348029</v>
      </c>
    </row>
    <row r="17128" spans="20:23" ht="24.75" thickBot="1" x14ac:dyDescent="0.25">
      <c r="T17128" s="28">
        <v>23348030</v>
      </c>
      <c r="U17128" s="29" t="s">
        <v>4155</v>
      </c>
      <c r="V17128" s="30">
        <v>3000000</v>
      </c>
      <c r="W17128" s="28">
        <v>23348030</v>
      </c>
    </row>
    <row r="17129" spans="20:23" ht="24.75" thickBot="1" x14ac:dyDescent="0.25">
      <c r="T17129" s="28">
        <v>23348031</v>
      </c>
      <c r="U17129" s="29" t="s">
        <v>4156</v>
      </c>
      <c r="V17129" s="30">
        <v>3000000</v>
      </c>
      <c r="W17129" s="28">
        <v>23348031</v>
      </c>
    </row>
    <row r="17130" spans="20:23" ht="13.5" thickBot="1" x14ac:dyDescent="0.25">
      <c r="T17130" s="28">
        <v>23348032</v>
      </c>
      <c r="U17130" s="29" t="s">
        <v>4157</v>
      </c>
      <c r="V17130" s="30">
        <v>3000000</v>
      </c>
      <c r="W17130" s="28">
        <v>23348032</v>
      </c>
    </row>
    <row r="17131" spans="20:23" ht="24.75" thickBot="1" x14ac:dyDescent="0.25">
      <c r="T17131" s="28">
        <v>23348033</v>
      </c>
      <c r="U17131" s="29" t="s">
        <v>4158</v>
      </c>
      <c r="V17131" s="30">
        <v>3000000</v>
      </c>
      <c r="W17131" s="28">
        <v>23348033</v>
      </c>
    </row>
    <row r="17132" spans="20:23" ht="24.75" thickBot="1" x14ac:dyDescent="0.25">
      <c r="T17132" s="28">
        <v>23348034</v>
      </c>
      <c r="U17132" s="29" t="s">
        <v>4159</v>
      </c>
      <c r="V17132" s="30">
        <v>3000000</v>
      </c>
      <c r="W17132" s="28">
        <v>23348034</v>
      </c>
    </row>
    <row r="17133" spans="20:23" ht="13.5" thickBot="1" x14ac:dyDescent="0.25">
      <c r="T17133" s="28">
        <v>23348035</v>
      </c>
      <c r="U17133" s="29" t="s">
        <v>4160</v>
      </c>
      <c r="V17133" s="30">
        <v>2360000</v>
      </c>
      <c r="W17133" s="28">
        <v>23348035</v>
      </c>
    </row>
    <row r="17134" spans="20:23" ht="13.5" thickBot="1" x14ac:dyDescent="0.25">
      <c r="T17134" s="28">
        <v>23348036</v>
      </c>
      <c r="U17134" s="29" t="s">
        <v>4161</v>
      </c>
      <c r="V17134" s="30">
        <v>3000000</v>
      </c>
      <c r="W17134" s="28">
        <v>23348036</v>
      </c>
    </row>
    <row r="17135" spans="20:23" ht="24.75" thickBot="1" x14ac:dyDescent="0.25">
      <c r="T17135" s="28">
        <v>23348037</v>
      </c>
      <c r="U17135" s="29" t="s">
        <v>4162</v>
      </c>
      <c r="V17135" s="30">
        <v>2360000</v>
      </c>
      <c r="W17135" s="28">
        <v>23348037</v>
      </c>
    </row>
    <row r="17136" spans="20:23" ht="13.5" thickBot="1" x14ac:dyDescent="0.25">
      <c r="T17136" s="28">
        <v>23348038</v>
      </c>
      <c r="U17136" s="29" t="s">
        <v>4163</v>
      </c>
      <c r="V17136" s="30">
        <v>2360000</v>
      </c>
      <c r="W17136" s="28">
        <v>23348038</v>
      </c>
    </row>
    <row r="17137" spans="20:23" ht="24.75" thickBot="1" x14ac:dyDescent="0.25">
      <c r="T17137" s="28">
        <v>23348039</v>
      </c>
      <c r="U17137" s="29" t="s">
        <v>4164</v>
      </c>
      <c r="V17137" s="30">
        <v>3000000</v>
      </c>
      <c r="W17137" s="28">
        <v>23348039</v>
      </c>
    </row>
    <row r="17138" spans="20:23" ht="24.75" thickBot="1" x14ac:dyDescent="0.25">
      <c r="T17138" s="28">
        <v>23348040</v>
      </c>
      <c r="U17138" s="29" t="s">
        <v>4165</v>
      </c>
      <c r="V17138" s="30">
        <v>2360000</v>
      </c>
      <c r="W17138" s="28">
        <v>23348040</v>
      </c>
    </row>
    <row r="17139" spans="20:23" ht="13.5" thickBot="1" x14ac:dyDescent="0.25">
      <c r="T17139" s="28">
        <v>23348041</v>
      </c>
      <c r="U17139" s="29" t="s">
        <v>4166</v>
      </c>
      <c r="V17139" s="30">
        <v>2360000</v>
      </c>
      <c r="W17139" s="28">
        <v>23348041</v>
      </c>
    </row>
    <row r="17140" spans="20:23" ht="13.5" thickBot="1" x14ac:dyDescent="0.25">
      <c r="T17140" s="28">
        <v>23348042</v>
      </c>
      <c r="U17140" s="29" t="s">
        <v>4167</v>
      </c>
      <c r="V17140" s="30">
        <v>2360000</v>
      </c>
      <c r="W17140" s="28">
        <v>23348042</v>
      </c>
    </row>
    <row r="17141" spans="20:23" ht="24.75" thickBot="1" x14ac:dyDescent="0.25">
      <c r="T17141" s="28">
        <v>23348043</v>
      </c>
      <c r="U17141" s="29" t="s">
        <v>4168</v>
      </c>
      <c r="V17141" s="30">
        <v>2360000</v>
      </c>
      <c r="W17141" s="28">
        <v>23348043</v>
      </c>
    </row>
    <row r="17142" spans="20:23" ht="24.75" thickBot="1" x14ac:dyDescent="0.25">
      <c r="T17142" s="28">
        <v>23348044</v>
      </c>
      <c r="U17142" s="29" t="s">
        <v>4169</v>
      </c>
      <c r="V17142" s="30">
        <v>2360000</v>
      </c>
      <c r="W17142" s="28">
        <v>23348044</v>
      </c>
    </row>
    <row r="17143" spans="20:23" ht="24.75" thickBot="1" x14ac:dyDescent="0.25">
      <c r="T17143" s="28">
        <v>23348045</v>
      </c>
      <c r="U17143" s="29" t="s">
        <v>4170</v>
      </c>
      <c r="V17143" s="30">
        <v>290000</v>
      </c>
      <c r="W17143" s="28">
        <v>23348045</v>
      </c>
    </row>
    <row r="17144" spans="20:23" ht="13.5" thickBot="1" x14ac:dyDescent="0.25">
      <c r="T17144" s="28">
        <v>23348046</v>
      </c>
      <c r="U17144" s="29" t="s">
        <v>4171</v>
      </c>
      <c r="V17144" s="30">
        <v>290000</v>
      </c>
      <c r="W17144" s="28">
        <v>23348046</v>
      </c>
    </row>
    <row r="17145" spans="20:23" ht="24.75" thickBot="1" x14ac:dyDescent="0.25">
      <c r="T17145" s="28">
        <v>23348047</v>
      </c>
      <c r="U17145" s="29" t="s">
        <v>4172</v>
      </c>
      <c r="V17145" s="30">
        <v>290000</v>
      </c>
      <c r="W17145" s="28">
        <v>23348047</v>
      </c>
    </row>
    <row r="17146" spans="20:23" ht="13.5" thickBot="1" x14ac:dyDescent="0.25">
      <c r="T17146" s="28">
        <v>23348048</v>
      </c>
      <c r="U17146" s="29" t="s">
        <v>4173</v>
      </c>
      <c r="V17146" s="30">
        <v>290000</v>
      </c>
      <c r="W17146" s="28">
        <v>23348048</v>
      </c>
    </row>
    <row r="17147" spans="20:23" ht="24.75" thickBot="1" x14ac:dyDescent="0.25">
      <c r="T17147" s="28">
        <v>23348049</v>
      </c>
      <c r="U17147" s="29" t="s">
        <v>4174</v>
      </c>
      <c r="V17147" s="30">
        <v>290000</v>
      </c>
      <c r="W17147" s="28">
        <v>23348049</v>
      </c>
    </row>
    <row r="17148" spans="20:23" ht="24.75" thickBot="1" x14ac:dyDescent="0.25">
      <c r="T17148" s="28">
        <v>23348050</v>
      </c>
      <c r="U17148" s="29" t="s">
        <v>4175</v>
      </c>
      <c r="V17148" s="30">
        <v>290000</v>
      </c>
      <c r="W17148" s="28">
        <v>23348050</v>
      </c>
    </row>
    <row r="17149" spans="20:23" ht="24.75" thickBot="1" x14ac:dyDescent="0.25">
      <c r="T17149" s="28">
        <v>23348051</v>
      </c>
      <c r="U17149" s="29" t="s">
        <v>4176</v>
      </c>
      <c r="V17149" s="30">
        <v>290000</v>
      </c>
      <c r="W17149" s="28">
        <v>23348051</v>
      </c>
    </row>
    <row r="17150" spans="20:23" ht="13.5" thickBot="1" x14ac:dyDescent="0.25">
      <c r="T17150" s="28">
        <v>23348052</v>
      </c>
      <c r="U17150" s="29" t="s">
        <v>4177</v>
      </c>
      <c r="V17150" s="30">
        <v>290000</v>
      </c>
      <c r="W17150" s="28">
        <v>23348052</v>
      </c>
    </row>
    <row r="17151" spans="20:23" ht="13.5" thickBot="1" x14ac:dyDescent="0.25">
      <c r="T17151" s="28">
        <v>23348053</v>
      </c>
      <c r="U17151" s="29" t="s">
        <v>4178</v>
      </c>
      <c r="V17151" s="30">
        <v>290000</v>
      </c>
      <c r="W17151" s="28">
        <v>23348053</v>
      </c>
    </row>
    <row r="17152" spans="20:23" ht="13.5" thickBot="1" x14ac:dyDescent="0.25">
      <c r="T17152" s="28">
        <v>23348054</v>
      </c>
      <c r="U17152" s="29" t="s">
        <v>4179</v>
      </c>
      <c r="V17152" s="30">
        <v>290000</v>
      </c>
      <c r="W17152" s="28">
        <v>23348054</v>
      </c>
    </row>
    <row r="17153" spans="20:23" ht="13.5" thickBot="1" x14ac:dyDescent="0.25">
      <c r="T17153" s="28">
        <v>23348055</v>
      </c>
      <c r="U17153" s="29" t="s">
        <v>4180</v>
      </c>
      <c r="V17153" s="30">
        <v>290000</v>
      </c>
      <c r="W17153" s="28">
        <v>23348055</v>
      </c>
    </row>
    <row r="17154" spans="20:23" ht="13.5" thickBot="1" x14ac:dyDescent="0.25">
      <c r="T17154" s="28">
        <v>23348056</v>
      </c>
      <c r="U17154" s="29" t="s">
        <v>4181</v>
      </c>
      <c r="V17154" s="30">
        <v>290000</v>
      </c>
      <c r="W17154" s="28">
        <v>23348056</v>
      </c>
    </row>
    <row r="17155" spans="20:23" ht="24.75" thickBot="1" x14ac:dyDescent="0.25">
      <c r="T17155" s="28">
        <v>23348057</v>
      </c>
      <c r="U17155" s="29" t="s">
        <v>4182</v>
      </c>
      <c r="V17155" s="30">
        <v>290000</v>
      </c>
      <c r="W17155" s="28">
        <v>23348057</v>
      </c>
    </row>
    <row r="17156" spans="20:23" ht="24.75" thickBot="1" x14ac:dyDescent="0.25">
      <c r="T17156" s="28">
        <v>23348058</v>
      </c>
      <c r="U17156" s="29" t="s">
        <v>4183</v>
      </c>
      <c r="V17156" s="30">
        <v>290000</v>
      </c>
      <c r="W17156" s="28">
        <v>23348058</v>
      </c>
    </row>
    <row r="17157" spans="20:23" ht="24.75" thickBot="1" x14ac:dyDescent="0.25">
      <c r="T17157" s="28">
        <v>23348059</v>
      </c>
      <c r="U17157" s="29" t="s">
        <v>4184</v>
      </c>
      <c r="V17157" s="30">
        <v>290000</v>
      </c>
      <c r="W17157" s="28">
        <v>23348059</v>
      </c>
    </row>
    <row r="17158" spans="20:23" ht="13.5" thickBot="1" x14ac:dyDescent="0.25">
      <c r="T17158" s="28">
        <v>23348060</v>
      </c>
      <c r="U17158" s="29" t="s">
        <v>4185</v>
      </c>
      <c r="V17158" s="30">
        <v>290000</v>
      </c>
      <c r="W17158" s="28">
        <v>23348060</v>
      </c>
    </row>
    <row r="17159" spans="20:23" ht="24.75" thickBot="1" x14ac:dyDescent="0.25">
      <c r="T17159" s="28">
        <v>23348061</v>
      </c>
      <c r="U17159" s="29" t="s">
        <v>4186</v>
      </c>
      <c r="V17159" s="30">
        <v>290000</v>
      </c>
      <c r="W17159" s="28">
        <v>23348061</v>
      </c>
    </row>
    <row r="17160" spans="20:23" ht="24.75" thickBot="1" x14ac:dyDescent="0.25">
      <c r="T17160" s="28">
        <v>23348062</v>
      </c>
      <c r="U17160" s="29" t="s">
        <v>4187</v>
      </c>
      <c r="V17160" s="30">
        <v>290000</v>
      </c>
      <c r="W17160" s="28">
        <v>23348062</v>
      </c>
    </row>
    <row r="17161" spans="20:23" ht="13.5" thickBot="1" x14ac:dyDescent="0.25">
      <c r="T17161" s="28">
        <v>23348063</v>
      </c>
      <c r="U17161" s="29" t="s">
        <v>4188</v>
      </c>
      <c r="V17161" s="30">
        <v>290000</v>
      </c>
      <c r="W17161" s="28">
        <v>23348063</v>
      </c>
    </row>
    <row r="17162" spans="20:23" ht="13.5" thickBot="1" x14ac:dyDescent="0.25">
      <c r="T17162" s="28">
        <v>23348064</v>
      </c>
      <c r="U17162" s="29" t="s">
        <v>4189</v>
      </c>
      <c r="V17162" s="30">
        <v>290000</v>
      </c>
      <c r="W17162" s="28">
        <v>23348064</v>
      </c>
    </row>
    <row r="17163" spans="20:23" ht="24.75" thickBot="1" x14ac:dyDescent="0.25">
      <c r="T17163" s="28">
        <v>23348065</v>
      </c>
      <c r="U17163" s="29" t="s">
        <v>4190</v>
      </c>
      <c r="V17163" s="30">
        <v>290000</v>
      </c>
      <c r="W17163" s="28">
        <v>23348065</v>
      </c>
    </row>
    <row r="17164" spans="20:23" ht="13.5" thickBot="1" x14ac:dyDescent="0.25">
      <c r="T17164" s="28">
        <v>23348066</v>
      </c>
      <c r="U17164" s="29" t="s">
        <v>4191</v>
      </c>
      <c r="V17164" s="30">
        <v>103300000</v>
      </c>
      <c r="W17164" s="28">
        <v>23348066</v>
      </c>
    </row>
    <row r="17165" spans="20:23" ht="24.75" thickBot="1" x14ac:dyDescent="0.25">
      <c r="T17165" s="28">
        <v>23348067</v>
      </c>
      <c r="U17165" s="29" t="s">
        <v>4192</v>
      </c>
      <c r="V17165" s="30">
        <v>81200000</v>
      </c>
      <c r="W17165" s="28">
        <v>23348067</v>
      </c>
    </row>
    <row r="17166" spans="20:23" ht="24.75" thickBot="1" x14ac:dyDescent="0.25">
      <c r="T17166" s="28">
        <v>23348068</v>
      </c>
      <c r="U17166" s="29" t="s">
        <v>4193</v>
      </c>
      <c r="V17166" s="30">
        <v>103300000</v>
      </c>
      <c r="W17166" s="28">
        <v>23348068</v>
      </c>
    </row>
    <row r="17167" spans="20:23" ht="24.75" thickBot="1" x14ac:dyDescent="0.25">
      <c r="T17167" s="28">
        <v>23348069</v>
      </c>
      <c r="U17167" s="29" t="s">
        <v>4194</v>
      </c>
      <c r="V17167" s="30">
        <v>103300000</v>
      </c>
      <c r="W17167" s="28">
        <v>23348069</v>
      </c>
    </row>
    <row r="17168" spans="20:23" ht="24.75" thickBot="1" x14ac:dyDescent="0.25">
      <c r="T17168" s="28">
        <v>23348070</v>
      </c>
      <c r="U17168" s="29" t="s">
        <v>4195</v>
      </c>
      <c r="V17168" s="30">
        <v>103300000</v>
      </c>
      <c r="W17168" s="28">
        <v>23348070</v>
      </c>
    </row>
    <row r="17169" spans="20:23" ht="24.75" thickBot="1" x14ac:dyDescent="0.25">
      <c r="T17169" s="28">
        <v>23348071</v>
      </c>
      <c r="U17169" s="29" t="s">
        <v>4196</v>
      </c>
      <c r="V17169" s="30">
        <v>81200000</v>
      </c>
      <c r="W17169" s="28">
        <v>23348071</v>
      </c>
    </row>
    <row r="17170" spans="20:23" ht="24.75" thickBot="1" x14ac:dyDescent="0.25">
      <c r="T17170" s="28">
        <v>23348072</v>
      </c>
      <c r="U17170" s="29" t="s">
        <v>4197</v>
      </c>
      <c r="V17170" s="30">
        <v>103300000</v>
      </c>
      <c r="W17170" s="28">
        <v>23348072</v>
      </c>
    </row>
    <row r="17171" spans="20:23" ht="24.75" thickBot="1" x14ac:dyDescent="0.25">
      <c r="T17171" s="28">
        <v>23348073</v>
      </c>
      <c r="U17171" s="29" t="s">
        <v>4198</v>
      </c>
      <c r="V17171" s="30">
        <v>103300000</v>
      </c>
      <c r="W17171" s="28">
        <v>23348073</v>
      </c>
    </row>
    <row r="17172" spans="20:23" ht="24.75" thickBot="1" x14ac:dyDescent="0.25">
      <c r="T17172" s="28">
        <v>23348074</v>
      </c>
      <c r="U17172" s="29" t="s">
        <v>4199</v>
      </c>
      <c r="V17172" s="30">
        <v>81200000</v>
      </c>
      <c r="W17172" s="28">
        <v>23348074</v>
      </c>
    </row>
    <row r="17173" spans="20:23" ht="13.5" thickBot="1" x14ac:dyDescent="0.25">
      <c r="T17173" s="28">
        <v>23348075</v>
      </c>
      <c r="U17173" s="29" t="s">
        <v>4200</v>
      </c>
      <c r="V17173" s="30">
        <v>103300000</v>
      </c>
      <c r="W17173" s="28">
        <v>23348075</v>
      </c>
    </row>
    <row r="17174" spans="20:23" ht="24.75" thickBot="1" x14ac:dyDescent="0.25">
      <c r="T17174" s="28">
        <v>23348076</v>
      </c>
      <c r="U17174" s="29" t="s">
        <v>4201</v>
      </c>
      <c r="V17174" s="30">
        <v>81200000</v>
      </c>
      <c r="W17174" s="28">
        <v>23348076</v>
      </c>
    </row>
    <row r="17175" spans="20:23" ht="13.5" thickBot="1" x14ac:dyDescent="0.25">
      <c r="T17175" s="28">
        <v>23348077</v>
      </c>
      <c r="U17175" s="29" t="s">
        <v>4202</v>
      </c>
      <c r="V17175" s="30">
        <v>103300000</v>
      </c>
      <c r="W17175" s="28">
        <v>23348077</v>
      </c>
    </row>
    <row r="17176" spans="20:23" ht="13.5" thickBot="1" x14ac:dyDescent="0.25">
      <c r="T17176" s="28">
        <v>23348078</v>
      </c>
      <c r="U17176" s="29" t="s">
        <v>4203</v>
      </c>
      <c r="V17176" s="30">
        <v>103300000</v>
      </c>
      <c r="W17176" s="28">
        <v>23348078</v>
      </c>
    </row>
    <row r="17177" spans="20:23" ht="24.75" thickBot="1" x14ac:dyDescent="0.25">
      <c r="T17177" s="28">
        <v>23348079</v>
      </c>
      <c r="U17177" s="29" t="s">
        <v>4204</v>
      </c>
      <c r="V17177" s="30">
        <v>81200000</v>
      </c>
      <c r="W17177" s="28">
        <v>23348079</v>
      </c>
    </row>
    <row r="17178" spans="20:23" ht="24.75" thickBot="1" x14ac:dyDescent="0.25">
      <c r="T17178" s="28">
        <v>23348080</v>
      </c>
      <c r="U17178" s="29" t="s">
        <v>4205</v>
      </c>
      <c r="V17178" s="30">
        <v>81200000</v>
      </c>
      <c r="W17178" s="28">
        <v>23348080</v>
      </c>
    </row>
    <row r="17179" spans="20:23" ht="24.75" thickBot="1" x14ac:dyDescent="0.25">
      <c r="T17179" s="28">
        <v>23348081</v>
      </c>
      <c r="U17179" s="29" t="s">
        <v>4206</v>
      </c>
      <c r="V17179" s="30">
        <v>103300000</v>
      </c>
      <c r="W17179" s="28">
        <v>23348081</v>
      </c>
    </row>
    <row r="17180" spans="20:23" ht="24.75" thickBot="1" x14ac:dyDescent="0.25">
      <c r="T17180" s="28">
        <v>23348082</v>
      </c>
      <c r="U17180" s="29" t="s">
        <v>4207</v>
      </c>
      <c r="V17180" s="30">
        <v>2360000</v>
      </c>
      <c r="W17180" s="28">
        <v>23348082</v>
      </c>
    </row>
    <row r="17181" spans="20:23" ht="13.5" thickBot="1" x14ac:dyDescent="0.25">
      <c r="T17181" s="28">
        <v>23348083</v>
      </c>
      <c r="U17181" s="29" t="s">
        <v>4208</v>
      </c>
      <c r="V17181" s="30">
        <v>2360000</v>
      </c>
      <c r="W17181" s="28">
        <v>23348083</v>
      </c>
    </row>
    <row r="17182" spans="20:23" ht="13.5" thickBot="1" x14ac:dyDescent="0.25">
      <c r="T17182" s="28">
        <v>23348084</v>
      </c>
      <c r="U17182" s="29" t="s">
        <v>4209</v>
      </c>
      <c r="V17182" s="30">
        <v>19200000</v>
      </c>
      <c r="W17182" s="28">
        <v>23348084</v>
      </c>
    </row>
    <row r="17183" spans="20:23" ht="13.5" thickBot="1" x14ac:dyDescent="0.25">
      <c r="T17183" s="28">
        <v>23348085</v>
      </c>
      <c r="U17183" s="29" t="s">
        <v>4210</v>
      </c>
      <c r="V17183" s="30">
        <v>19200000</v>
      </c>
      <c r="W17183" s="28">
        <v>23348085</v>
      </c>
    </row>
    <row r="17184" spans="20:23" ht="13.5" thickBot="1" x14ac:dyDescent="0.25">
      <c r="T17184" s="28">
        <v>23348086</v>
      </c>
      <c r="U17184" s="29" t="s">
        <v>4211</v>
      </c>
      <c r="V17184" s="30">
        <v>19200000</v>
      </c>
      <c r="W17184" s="28">
        <v>23348086</v>
      </c>
    </row>
    <row r="17185" spans="20:23" ht="13.5" thickBot="1" x14ac:dyDescent="0.25">
      <c r="T17185" s="28">
        <v>23348087</v>
      </c>
      <c r="U17185" s="29" t="s">
        <v>4212</v>
      </c>
      <c r="V17185" s="30">
        <v>19200000</v>
      </c>
      <c r="W17185" s="28">
        <v>23348087</v>
      </c>
    </row>
    <row r="17186" spans="20:23" ht="24.75" thickBot="1" x14ac:dyDescent="0.25">
      <c r="T17186" s="28">
        <v>23348088</v>
      </c>
      <c r="U17186" s="29" t="s">
        <v>4213</v>
      </c>
      <c r="V17186" s="30">
        <v>103300000</v>
      </c>
      <c r="W17186" s="28">
        <v>23348088</v>
      </c>
    </row>
    <row r="17187" spans="20:23" ht="13.5" thickBot="1" x14ac:dyDescent="0.25">
      <c r="T17187" s="28">
        <v>23348089</v>
      </c>
      <c r="U17187" s="29" t="s">
        <v>4214</v>
      </c>
      <c r="V17187" s="30">
        <v>290000</v>
      </c>
      <c r="W17187" s="28">
        <v>23348089</v>
      </c>
    </row>
    <row r="17188" spans="20:23" ht="13.5" thickBot="1" x14ac:dyDescent="0.25">
      <c r="T17188" s="28">
        <v>23348090</v>
      </c>
      <c r="U17188" s="29" t="s">
        <v>4215</v>
      </c>
      <c r="V17188" s="30">
        <v>2360000</v>
      </c>
      <c r="W17188" s="28">
        <v>23348090</v>
      </c>
    </row>
    <row r="17189" spans="20:23" ht="13.5" thickBot="1" x14ac:dyDescent="0.25">
      <c r="T17189" s="28">
        <v>23348091</v>
      </c>
      <c r="U17189" s="29" t="s">
        <v>4216</v>
      </c>
      <c r="V17189" s="30">
        <v>290000</v>
      </c>
      <c r="W17189" s="28">
        <v>23348091</v>
      </c>
    </row>
    <row r="17190" spans="20:23" ht="13.5" thickBot="1" x14ac:dyDescent="0.25">
      <c r="T17190" s="28">
        <v>23348092</v>
      </c>
      <c r="U17190" s="29" t="s">
        <v>4217</v>
      </c>
      <c r="V17190" s="30">
        <v>290000</v>
      </c>
      <c r="W17190" s="28">
        <v>23348092</v>
      </c>
    </row>
    <row r="17191" spans="20:23" ht="13.5" thickBot="1" x14ac:dyDescent="0.25">
      <c r="T17191" s="28">
        <v>23348093</v>
      </c>
      <c r="U17191" s="29" t="s">
        <v>4218</v>
      </c>
      <c r="V17191" s="30">
        <v>2360000</v>
      </c>
      <c r="W17191" s="28">
        <v>23348093</v>
      </c>
    </row>
    <row r="17192" spans="20:23" ht="13.5" thickBot="1" x14ac:dyDescent="0.25">
      <c r="T17192" s="28">
        <v>23348094</v>
      </c>
      <c r="U17192" s="29" t="s">
        <v>4219</v>
      </c>
      <c r="V17192" s="30">
        <v>290000</v>
      </c>
      <c r="W17192" s="28">
        <v>23348094</v>
      </c>
    </row>
    <row r="17193" spans="20:23" ht="13.5" thickBot="1" x14ac:dyDescent="0.25">
      <c r="T17193" s="28">
        <v>23348095</v>
      </c>
      <c r="U17193" s="29" t="s">
        <v>4220</v>
      </c>
      <c r="V17193" s="30">
        <v>2360000</v>
      </c>
      <c r="W17193" s="28">
        <v>23348095</v>
      </c>
    </row>
    <row r="17194" spans="20:23" ht="13.5" thickBot="1" x14ac:dyDescent="0.25">
      <c r="T17194" s="28">
        <v>23348096</v>
      </c>
      <c r="U17194" s="29" t="s">
        <v>4221</v>
      </c>
      <c r="V17194" s="30">
        <v>290000</v>
      </c>
      <c r="W17194" s="28">
        <v>23348096</v>
      </c>
    </row>
    <row r="17195" spans="20:23" ht="13.5" thickBot="1" x14ac:dyDescent="0.25">
      <c r="T17195" s="28">
        <v>23348097</v>
      </c>
      <c r="U17195" s="29" t="s">
        <v>4222</v>
      </c>
      <c r="V17195" s="30">
        <v>2360000</v>
      </c>
      <c r="W17195" s="28">
        <v>23348097</v>
      </c>
    </row>
    <row r="17196" spans="20:23" ht="13.5" thickBot="1" x14ac:dyDescent="0.25">
      <c r="T17196" s="28">
        <v>23348098</v>
      </c>
      <c r="U17196" s="29" t="s">
        <v>4223</v>
      </c>
      <c r="V17196" s="30">
        <v>15100000</v>
      </c>
      <c r="W17196" s="28">
        <v>23348098</v>
      </c>
    </row>
    <row r="17197" spans="20:23" ht="24.75" thickBot="1" x14ac:dyDescent="0.25">
      <c r="T17197" s="28">
        <v>23348099</v>
      </c>
      <c r="U17197" s="29" t="s">
        <v>4224</v>
      </c>
      <c r="V17197" s="30">
        <v>290000</v>
      </c>
      <c r="W17197" s="28">
        <v>23348099</v>
      </c>
    </row>
    <row r="17198" spans="20:23" ht="13.5" thickBot="1" x14ac:dyDescent="0.25">
      <c r="T17198" s="28">
        <v>23348100</v>
      </c>
      <c r="U17198" s="29" t="s">
        <v>4225</v>
      </c>
      <c r="V17198" s="30">
        <v>290000</v>
      </c>
      <c r="W17198" s="28">
        <v>23348100</v>
      </c>
    </row>
    <row r="17199" spans="20:23" ht="24.75" thickBot="1" x14ac:dyDescent="0.25">
      <c r="T17199" s="28">
        <v>23348101</v>
      </c>
      <c r="U17199" s="29" t="s">
        <v>4226</v>
      </c>
      <c r="V17199" s="30">
        <v>290000</v>
      </c>
      <c r="W17199" s="28">
        <v>23348101</v>
      </c>
    </row>
    <row r="17200" spans="20:23" ht="13.5" thickBot="1" x14ac:dyDescent="0.25">
      <c r="T17200" s="28">
        <v>23348102</v>
      </c>
      <c r="U17200" s="29" t="s">
        <v>4227</v>
      </c>
      <c r="V17200" s="30">
        <v>371000</v>
      </c>
      <c r="W17200" s="28">
        <v>23348102</v>
      </c>
    </row>
    <row r="17201" spans="20:23" ht="24.75" thickBot="1" x14ac:dyDescent="0.25">
      <c r="T17201" s="28">
        <v>23348103</v>
      </c>
      <c r="U17201" s="29" t="s">
        <v>4228</v>
      </c>
      <c r="V17201" s="30">
        <v>103300000</v>
      </c>
      <c r="W17201" s="28">
        <v>23348103</v>
      </c>
    </row>
    <row r="17202" spans="20:23" ht="24.75" thickBot="1" x14ac:dyDescent="0.25">
      <c r="T17202" s="28">
        <v>23348500</v>
      </c>
      <c r="U17202" s="29" t="s">
        <v>4229</v>
      </c>
      <c r="V17202" s="30">
        <v>80800</v>
      </c>
      <c r="W17202" s="28">
        <v>23348500</v>
      </c>
    </row>
    <row r="17203" spans="20:23" ht="24.75" thickBot="1" x14ac:dyDescent="0.25">
      <c r="T17203" s="28">
        <v>23348501</v>
      </c>
      <c r="U17203" s="29" t="s">
        <v>4230</v>
      </c>
      <c r="V17203" s="30">
        <v>80800</v>
      </c>
      <c r="W17203" s="28">
        <v>23348501</v>
      </c>
    </row>
    <row r="17204" spans="20:23" ht="24.75" thickBot="1" x14ac:dyDescent="0.25">
      <c r="T17204" s="28">
        <v>23348502</v>
      </c>
      <c r="U17204" s="29" t="s">
        <v>4231</v>
      </c>
      <c r="V17204" s="30">
        <v>80800</v>
      </c>
      <c r="W17204" s="28">
        <v>23348502</v>
      </c>
    </row>
    <row r="17205" spans="20:23" ht="24.75" thickBot="1" x14ac:dyDescent="0.25">
      <c r="T17205" s="28">
        <v>23348503</v>
      </c>
      <c r="U17205" s="29" t="s">
        <v>4232</v>
      </c>
      <c r="V17205" s="30">
        <v>80800</v>
      </c>
      <c r="W17205" s="28">
        <v>23348503</v>
      </c>
    </row>
    <row r="17206" spans="20:23" ht="24.75" thickBot="1" x14ac:dyDescent="0.25">
      <c r="T17206" s="28">
        <v>23348504</v>
      </c>
      <c r="U17206" s="29" t="s">
        <v>4233</v>
      </c>
      <c r="V17206" s="30">
        <v>80800</v>
      </c>
      <c r="W17206" s="28">
        <v>23348504</v>
      </c>
    </row>
    <row r="17207" spans="20:23" ht="24.75" thickBot="1" x14ac:dyDescent="0.25">
      <c r="T17207" s="28">
        <v>23348505</v>
      </c>
      <c r="U17207" s="29" t="s">
        <v>4234</v>
      </c>
      <c r="V17207" s="30">
        <v>80800</v>
      </c>
      <c r="W17207" s="28">
        <v>23348505</v>
      </c>
    </row>
    <row r="17208" spans="20:23" ht="24.75" thickBot="1" x14ac:dyDescent="0.25">
      <c r="T17208" s="28">
        <v>23348506</v>
      </c>
      <c r="U17208" s="29" t="s">
        <v>4235</v>
      </c>
      <c r="V17208" s="30">
        <v>80800</v>
      </c>
      <c r="W17208" s="28">
        <v>23348506</v>
      </c>
    </row>
    <row r="17209" spans="20:23" ht="24.75" thickBot="1" x14ac:dyDescent="0.25">
      <c r="T17209" s="28">
        <v>23348507</v>
      </c>
      <c r="U17209" s="29" t="s">
        <v>4236</v>
      </c>
      <c r="V17209" s="30">
        <v>80800</v>
      </c>
      <c r="W17209" s="28">
        <v>23348507</v>
      </c>
    </row>
    <row r="17210" spans="20:23" ht="24.75" thickBot="1" x14ac:dyDescent="0.25">
      <c r="T17210" s="28">
        <v>23348508</v>
      </c>
      <c r="U17210" s="29" t="s">
        <v>4237</v>
      </c>
      <c r="V17210" s="30">
        <v>80800</v>
      </c>
      <c r="W17210" s="28">
        <v>23348508</v>
      </c>
    </row>
    <row r="17211" spans="20:23" ht="24.75" thickBot="1" x14ac:dyDescent="0.25">
      <c r="T17211" s="28">
        <v>23348509</v>
      </c>
      <c r="U17211" s="29" t="s">
        <v>4238</v>
      </c>
      <c r="V17211" s="30">
        <v>80800</v>
      </c>
      <c r="W17211" s="28">
        <v>23348509</v>
      </c>
    </row>
    <row r="17212" spans="20:23" ht="24.75" thickBot="1" x14ac:dyDescent="0.25">
      <c r="T17212" s="28">
        <v>23348510</v>
      </c>
      <c r="U17212" s="29" t="s">
        <v>4239</v>
      </c>
      <c r="V17212" s="30">
        <v>80800</v>
      </c>
      <c r="W17212" s="28">
        <v>23348510</v>
      </c>
    </row>
    <row r="17213" spans="20:23" ht="24.75" thickBot="1" x14ac:dyDescent="0.25">
      <c r="T17213" s="28">
        <v>23348511</v>
      </c>
      <c r="U17213" s="29" t="s">
        <v>4240</v>
      </c>
      <c r="V17213" s="30">
        <v>80800</v>
      </c>
      <c r="W17213" s="28">
        <v>23348511</v>
      </c>
    </row>
    <row r="17214" spans="20:23" ht="24.75" thickBot="1" x14ac:dyDescent="0.25">
      <c r="T17214" s="28">
        <v>23348512</v>
      </c>
      <c r="U17214" s="29" t="s">
        <v>4241</v>
      </c>
      <c r="V17214" s="30">
        <v>80800</v>
      </c>
      <c r="W17214" s="28">
        <v>23348512</v>
      </c>
    </row>
    <row r="17215" spans="20:23" ht="13.5" thickBot="1" x14ac:dyDescent="0.25">
      <c r="T17215" s="28">
        <v>23348513</v>
      </c>
      <c r="U17215" s="29" t="s">
        <v>4242</v>
      </c>
      <c r="V17215" s="30">
        <v>80800</v>
      </c>
      <c r="W17215" s="28">
        <v>23348513</v>
      </c>
    </row>
    <row r="17216" spans="20:23" ht="13.5" thickBot="1" x14ac:dyDescent="0.25">
      <c r="T17216" s="28">
        <v>23348514</v>
      </c>
      <c r="U17216" s="29" t="s">
        <v>4243</v>
      </c>
      <c r="V17216" s="30">
        <v>80800</v>
      </c>
      <c r="W17216" s="28">
        <v>23348514</v>
      </c>
    </row>
    <row r="17217" spans="20:23" ht="13.5" thickBot="1" x14ac:dyDescent="0.25">
      <c r="T17217" s="28">
        <v>23348515</v>
      </c>
      <c r="U17217" s="29" t="s">
        <v>4244</v>
      </c>
      <c r="V17217" s="30">
        <v>80800</v>
      </c>
      <c r="W17217" s="28">
        <v>23348515</v>
      </c>
    </row>
    <row r="17218" spans="20:23" ht="24.75" thickBot="1" x14ac:dyDescent="0.25">
      <c r="T17218" s="28">
        <v>23348516</v>
      </c>
      <c r="U17218" s="29" t="s">
        <v>4245</v>
      </c>
      <c r="V17218" s="30">
        <v>80800</v>
      </c>
      <c r="W17218" s="28">
        <v>23348516</v>
      </c>
    </row>
    <row r="17219" spans="20:23" ht="24.75" thickBot="1" x14ac:dyDescent="0.25">
      <c r="T17219" s="28">
        <v>23348517</v>
      </c>
      <c r="U17219" s="29" t="s">
        <v>4246</v>
      </c>
      <c r="V17219" s="30">
        <v>80800</v>
      </c>
      <c r="W17219" s="28">
        <v>23348517</v>
      </c>
    </row>
    <row r="17220" spans="20:23" ht="13.5" thickBot="1" x14ac:dyDescent="0.25">
      <c r="T17220" s="28">
        <v>23348518</v>
      </c>
      <c r="U17220" s="29" t="s">
        <v>4247</v>
      </c>
      <c r="V17220" s="30">
        <v>80800</v>
      </c>
      <c r="W17220" s="28">
        <v>23348518</v>
      </c>
    </row>
    <row r="17221" spans="20:23" ht="13.5" thickBot="1" x14ac:dyDescent="0.25">
      <c r="T17221" s="28">
        <v>23348519</v>
      </c>
      <c r="U17221" s="29" t="s">
        <v>4248</v>
      </c>
      <c r="V17221" s="30">
        <v>80800</v>
      </c>
      <c r="W17221" s="28">
        <v>23348519</v>
      </c>
    </row>
    <row r="17222" spans="20:23" ht="24.75" thickBot="1" x14ac:dyDescent="0.25">
      <c r="T17222" s="28">
        <v>23348520</v>
      </c>
      <c r="U17222" s="29" t="s">
        <v>4249</v>
      </c>
      <c r="V17222" s="30">
        <v>80800</v>
      </c>
      <c r="W17222" s="28">
        <v>23348520</v>
      </c>
    </row>
    <row r="17223" spans="20:23" ht="24.75" thickBot="1" x14ac:dyDescent="0.25">
      <c r="T17223" s="28">
        <v>23348521</v>
      </c>
      <c r="U17223" s="29" t="s">
        <v>4250</v>
      </c>
      <c r="V17223" s="30">
        <v>80800</v>
      </c>
      <c r="W17223" s="28">
        <v>23348521</v>
      </c>
    </row>
    <row r="17224" spans="20:23" ht="24.75" thickBot="1" x14ac:dyDescent="0.25">
      <c r="T17224" s="28">
        <v>23348522</v>
      </c>
      <c r="U17224" s="29" t="s">
        <v>4251</v>
      </c>
      <c r="V17224" s="30">
        <v>80800</v>
      </c>
      <c r="W17224" s="28">
        <v>23348522</v>
      </c>
    </row>
    <row r="17225" spans="20:23" ht="24.75" thickBot="1" x14ac:dyDescent="0.25">
      <c r="T17225" s="28">
        <v>23348523</v>
      </c>
      <c r="U17225" s="29" t="s">
        <v>4252</v>
      </c>
      <c r="V17225" s="30">
        <v>80800</v>
      </c>
      <c r="W17225" s="28">
        <v>23348523</v>
      </c>
    </row>
    <row r="17226" spans="20:23" ht="13.5" thickBot="1" x14ac:dyDescent="0.25">
      <c r="T17226" s="28">
        <v>23348524</v>
      </c>
      <c r="U17226" s="29" t="s">
        <v>4253</v>
      </c>
      <c r="V17226" s="30">
        <v>80800</v>
      </c>
      <c r="W17226" s="28">
        <v>23348524</v>
      </c>
    </row>
    <row r="17227" spans="20:23" ht="24.75" thickBot="1" x14ac:dyDescent="0.25">
      <c r="T17227" s="28">
        <v>23348525</v>
      </c>
      <c r="U17227" s="29" t="s">
        <v>4254</v>
      </c>
      <c r="V17227" s="30">
        <v>80800</v>
      </c>
      <c r="W17227" s="28">
        <v>23348525</v>
      </c>
    </row>
    <row r="17228" spans="20:23" ht="24.75" thickBot="1" x14ac:dyDescent="0.25">
      <c r="T17228" s="28">
        <v>23348526</v>
      </c>
      <c r="U17228" s="29" t="s">
        <v>4255</v>
      </c>
      <c r="V17228" s="30">
        <v>80800</v>
      </c>
      <c r="W17228" s="28">
        <v>23348526</v>
      </c>
    </row>
    <row r="17229" spans="20:23" ht="13.5" thickBot="1" x14ac:dyDescent="0.25">
      <c r="T17229" s="28">
        <v>23348527</v>
      </c>
      <c r="U17229" s="29" t="s">
        <v>4256</v>
      </c>
      <c r="V17229" s="30">
        <v>80800</v>
      </c>
      <c r="W17229" s="28">
        <v>23348527</v>
      </c>
    </row>
    <row r="17230" spans="20:23" ht="24.75" thickBot="1" x14ac:dyDescent="0.25">
      <c r="T17230" s="28">
        <v>23348528</v>
      </c>
      <c r="U17230" s="29" t="s">
        <v>4257</v>
      </c>
      <c r="V17230" s="30">
        <v>80800</v>
      </c>
      <c r="W17230" s="28">
        <v>23348528</v>
      </c>
    </row>
    <row r="17231" spans="20:23" ht="13.5" thickBot="1" x14ac:dyDescent="0.25">
      <c r="T17231" s="28">
        <v>23348529</v>
      </c>
      <c r="U17231" s="29" t="s">
        <v>4258</v>
      </c>
      <c r="V17231" s="30">
        <v>80800</v>
      </c>
      <c r="W17231" s="28">
        <v>23348529</v>
      </c>
    </row>
    <row r="17232" spans="20:23" ht="13.5" thickBot="1" x14ac:dyDescent="0.25">
      <c r="T17232" s="28">
        <v>23348530</v>
      </c>
      <c r="U17232" s="29" t="s">
        <v>4259</v>
      </c>
      <c r="V17232" s="30">
        <v>80800</v>
      </c>
      <c r="W17232" s="28">
        <v>23348530</v>
      </c>
    </row>
    <row r="17233" spans="20:23" ht="24.75" thickBot="1" x14ac:dyDescent="0.25">
      <c r="T17233" s="28">
        <v>23348531</v>
      </c>
      <c r="U17233" s="29" t="s">
        <v>4260</v>
      </c>
      <c r="V17233" s="30">
        <v>80800</v>
      </c>
      <c r="W17233" s="28">
        <v>23348531</v>
      </c>
    </row>
    <row r="17234" spans="20:23" ht="13.5" thickBot="1" x14ac:dyDescent="0.25">
      <c r="T17234" s="28">
        <v>23348532</v>
      </c>
      <c r="U17234" s="29" t="s">
        <v>4261</v>
      </c>
      <c r="V17234" s="30">
        <v>80800</v>
      </c>
      <c r="W17234" s="28">
        <v>23348532</v>
      </c>
    </row>
    <row r="17235" spans="20:23" ht="13.5" thickBot="1" x14ac:dyDescent="0.25">
      <c r="T17235" s="28">
        <v>23348533</v>
      </c>
      <c r="U17235" s="29" t="s">
        <v>4262</v>
      </c>
      <c r="V17235" s="30">
        <v>80800</v>
      </c>
      <c r="W17235" s="28">
        <v>23348533</v>
      </c>
    </row>
    <row r="17236" spans="20:23" ht="13.5" thickBot="1" x14ac:dyDescent="0.25">
      <c r="T17236" s="28">
        <v>23348534</v>
      </c>
      <c r="U17236" s="29" t="s">
        <v>4263</v>
      </c>
      <c r="V17236" s="30">
        <v>80800</v>
      </c>
      <c r="W17236" s="28">
        <v>23348534</v>
      </c>
    </row>
    <row r="17237" spans="20:23" ht="13.5" thickBot="1" x14ac:dyDescent="0.25">
      <c r="T17237" s="28">
        <v>23348535</v>
      </c>
      <c r="U17237" s="29" t="s">
        <v>4264</v>
      </c>
      <c r="V17237" s="30">
        <v>80800</v>
      </c>
      <c r="W17237" s="28">
        <v>23348535</v>
      </c>
    </row>
    <row r="17238" spans="20:23" ht="24.75" thickBot="1" x14ac:dyDescent="0.25">
      <c r="T17238" s="28">
        <v>23348536</v>
      </c>
      <c r="U17238" s="29" t="s">
        <v>4265</v>
      </c>
      <c r="V17238" s="30">
        <v>80800</v>
      </c>
      <c r="W17238" s="28">
        <v>23348536</v>
      </c>
    </row>
    <row r="17239" spans="20:23" ht="24.75" thickBot="1" x14ac:dyDescent="0.25">
      <c r="T17239" s="28">
        <v>23348537</v>
      </c>
      <c r="U17239" s="29" t="s">
        <v>4266</v>
      </c>
      <c r="V17239" s="30">
        <v>80800</v>
      </c>
      <c r="W17239" s="28">
        <v>23348537</v>
      </c>
    </row>
    <row r="17240" spans="20:23" ht="13.5" thickBot="1" x14ac:dyDescent="0.25">
      <c r="T17240" s="28">
        <v>23348538</v>
      </c>
      <c r="U17240" s="29" t="s">
        <v>4267</v>
      </c>
      <c r="V17240" s="30">
        <v>80800</v>
      </c>
      <c r="W17240" s="28">
        <v>23348538</v>
      </c>
    </row>
    <row r="17241" spans="20:23" ht="13.5" thickBot="1" x14ac:dyDescent="0.25">
      <c r="T17241" s="28">
        <v>23348539</v>
      </c>
      <c r="U17241" s="29" t="s">
        <v>4268</v>
      </c>
      <c r="V17241" s="30">
        <v>80800</v>
      </c>
      <c r="W17241" s="28">
        <v>23348539</v>
      </c>
    </row>
    <row r="17242" spans="20:23" ht="13.5" thickBot="1" x14ac:dyDescent="0.25">
      <c r="T17242" s="28">
        <v>23348540</v>
      </c>
      <c r="U17242" s="29" t="s">
        <v>4269</v>
      </c>
      <c r="V17242" s="30">
        <v>80800</v>
      </c>
      <c r="W17242" s="28">
        <v>23348540</v>
      </c>
    </row>
    <row r="17243" spans="20:23" ht="13.5" thickBot="1" x14ac:dyDescent="0.25">
      <c r="T17243" s="28">
        <v>23348541</v>
      </c>
      <c r="U17243" s="29" t="s">
        <v>4270</v>
      </c>
      <c r="V17243" s="30">
        <v>80800</v>
      </c>
      <c r="W17243" s="28">
        <v>23348541</v>
      </c>
    </row>
    <row r="17244" spans="20:23" ht="13.5" thickBot="1" x14ac:dyDescent="0.25">
      <c r="T17244" s="28">
        <v>23348542</v>
      </c>
      <c r="U17244" s="29" t="s">
        <v>4271</v>
      </c>
      <c r="V17244" s="30">
        <v>80800</v>
      </c>
      <c r="W17244" s="28">
        <v>23348542</v>
      </c>
    </row>
    <row r="17245" spans="20:23" ht="24.75" thickBot="1" x14ac:dyDescent="0.25">
      <c r="T17245" s="28">
        <v>23348543</v>
      </c>
      <c r="U17245" s="29" t="s">
        <v>4272</v>
      </c>
      <c r="V17245" s="30">
        <v>80800</v>
      </c>
      <c r="W17245" s="28">
        <v>23348543</v>
      </c>
    </row>
    <row r="17246" spans="20:23" ht="13.5" thickBot="1" x14ac:dyDescent="0.25">
      <c r="T17246" s="28">
        <v>23348544</v>
      </c>
      <c r="U17246" s="29" t="s">
        <v>4273</v>
      </c>
      <c r="V17246" s="30">
        <v>80800</v>
      </c>
      <c r="W17246" s="28">
        <v>23348544</v>
      </c>
    </row>
    <row r="17247" spans="20:23" ht="13.5" thickBot="1" x14ac:dyDescent="0.25">
      <c r="T17247" s="28">
        <v>23348545</v>
      </c>
      <c r="U17247" s="29" t="s">
        <v>4274</v>
      </c>
      <c r="V17247" s="30">
        <v>44300000</v>
      </c>
      <c r="W17247" s="28">
        <v>23348545</v>
      </c>
    </row>
    <row r="17248" spans="20:23" ht="24.75" thickBot="1" x14ac:dyDescent="0.25">
      <c r="T17248" s="28">
        <v>23348546</v>
      </c>
      <c r="U17248" s="29" t="s">
        <v>4275</v>
      </c>
      <c r="V17248" s="30">
        <v>44300000</v>
      </c>
      <c r="W17248" s="28">
        <v>23348546</v>
      </c>
    </row>
    <row r="17249" spans="20:23" ht="13.5" thickBot="1" x14ac:dyDescent="0.25">
      <c r="T17249" s="28">
        <v>23348547</v>
      </c>
      <c r="U17249" s="29" t="s">
        <v>4276</v>
      </c>
      <c r="V17249" s="30">
        <v>44300000</v>
      </c>
      <c r="W17249" s="28">
        <v>23348547</v>
      </c>
    </row>
    <row r="17250" spans="20:23" ht="13.5" thickBot="1" x14ac:dyDescent="0.25">
      <c r="T17250" s="28">
        <v>23348548</v>
      </c>
      <c r="U17250" s="29" t="s">
        <v>4277</v>
      </c>
      <c r="V17250" s="30">
        <v>44300000</v>
      </c>
      <c r="W17250" s="28">
        <v>23348548</v>
      </c>
    </row>
    <row r="17251" spans="20:23" ht="13.5" thickBot="1" x14ac:dyDescent="0.25">
      <c r="T17251" s="28">
        <v>23348549</v>
      </c>
      <c r="U17251" s="29" t="s">
        <v>4278</v>
      </c>
      <c r="V17251" s="30">
        <v>44300000</v>
      </c>
      <c r="W17251" s="28">
        <v>23348549</v>
      </c>
    </row>
    <row r="17252" spans="20:23" ht="24.75" thickBot="1" x14ac:dyDescent="0.25">
      <c r="T17252" s="28">
        <v>23348550</v>
      </c>
      <c r="U17252" s="29" t="s">
        <v>4279</v>
      </c>
      <c r="V17252" s="30">
        <v>44300000</v>
      </c>
      <c r="W17252" s="28">
        <v>23348550</v>
      </c>
    </row>
    <row r="17253" spans="20:23" ht="13.5" thickBot="1" x14ac:dyDescent="0.25">
      <c r="T17253" s="28">
        <v>23400000</v>
      </c>
      <c r="U17253" s="29" t="s">
        <v>1088</v>
      </c>
      <c r="V17253" s="30">
        <v>10000</v>
      </c>
      <c r="W17253" s="28">
        <v>23400000</v>
      </c>
    </row>
    <row r="17254" spans="20:23" ht="13.5" thickBot="1" x14ac:dyDescent="0.25">
      <c r="T17254" s="28">
        <v>23400001</v>
      </c>
      <c r="U17254" s="29" t="s">
        <v>1089</v>
      </c>
      <c r="V17254" s="30">
        <v>20000</v>
      </c>
      <c r="W17254" s="28">
        <v>23400001</v>
      </c>
    </row>
    <row r="17255" spans="20:23" ht="13.5" thickBot="1" x14ac:dyDescent="0.25">
      <c r="T17255" s="28">
        <v>23400002</v>
      </c>
      <c r="U17255" s="29" t="s">
        <v>1090</v>
      </c>
      <c r="V17255" s="30">
        <v>80000</v>
      </c>
      <c r="W17255" s="28">
        <v>23400002</v>
      </c>
    </row>
    <row r="17256" spans="20:23" ht="13.5" thickBot="1" x14ac:dyDescent="0.25">
      <c r="T17256" s="28">
        <v>23400003</v>
      </c>
      <c r="U17256" s="29" t="s">
        <v>4280</v>
      </c>
      <c r="V17256" s="30">
        <v>15000</v>
      </c>
      <c r="W17256" s="28">
        <v>23400003</v>
      </c>
    </row>
    <row r="17257" spans="20:23" ht="13.5" thickBot="1" x14ac:dyDescent="0.25">
      <c r="T17257" s="28">
        <v>23400004</v>
      </c>
      <c r="U17257" s="29" t="s">
        <v>4281</v>
      </c>
      <c r="V17257" s="30">
        <v>15000</v>
      </c>
      <c r="W17257" s="28">
        <v>23400004</v>
      </c>
    </row>
    <row r="17258" spans="20:23" ht="13.5" thickBot="1" x14ac:dyDescent="0.25">
      <c r="T17258" s="28">
        <v>23400005</v>
      </c>
      <c r="U17258" s="29" t="s">
        <v>4282</v>
      </c>
      <c r="V17258" s="30">
        <v>15000</v>
      </c>
      <c r="W17258" s="28">
        <v>23400005</v>
      </c>
    </row>
    <row r="17259" spans="20:23" ht="13.5" thickBot="1" x14ac:dyDescent="0.25">
      <c r="T17259" s="28">
        <v>23400006</v>
      </c>
      <c r="U17259" s="29" t="s">
        <v>4283</v>
      </c>
      <c r="V17259" s="30">
        <v>15000</v>
      </c>
      <c r="W17259" s="28">
        <v>23400006</v>
      </c>
    </row>
    <row r="17260" spans="20:23" ht="13.5" thickBot="1" x14ac:dyDescent="0.25">
      <c r="T17260" s="28">
        <v>23400007</v>
      </c>
      <c r="U17260" s="29" t="s">
        <v>4284</v>
      </c>
      <c r="V17260" s="30">
        <v>15000</v>
      </c>
      <c r="W17260" s="28">
        <v>23400007</v>
      </c>
    </row>
    <row r="17261" spans="20:23" ht="24.75" thickBot="1" x14ac:dyDescent="0.25">
      <c r="T17261" s="28">
        <v>23400008</v>
      </c>
      <c r="U17261" s="29" t="s">
        <v>4285</v>
      </c>
      <c r="V17261" s="30">
        <v>135000</v>
      </c>
      <c r="W17261" s="28">
        <v>23400008</v>
      </c>
    </row>
    <row r="17262" spans="20:23" ht="24.75" thickBot="1" x14ac:dyDescent="0.25">
      <c r="T17262" s="28">
        <v>23400009</v>
      </c>
      <c r="U17262" s="29" t="s">
        <v>4286</v>
      </c>
      <c r="V17262" s="30">
        <v>1860000</v>
      </c>
      <c r="W17262" s="28">
        <v>23400009</v>
      </c>
    </row>
    <row r="17263" spans="20:23" ht="24.75" thickBot="1" x14ac:dyDescent="0.25">
      <c r="T17263" s="28">
        <v>23400010</v>
      </c>
      <c r="U17263" s="29" t="s">
        <v>4287</v>
      </c>
      <c r="V17263" s="30">
        <v>28200000</v>
      </c>
      <c r="W17263" s="28">
        <v>23400010</v>
      </c>
    </row>
    <row r="17264" spans="20:23" ht="24.75" thickBot="1" x14ac:dyDescent="0.25">
      <c r="T17264" s="28">
        <v>23400011</v>
      </c>
      <c r="U17264" s="29" t="s">
        <v>4288</v>
      </c>
      <c r="V17264" s="30">
        <v>397700000</v>
      </c>
      <c r="W17264" s="28">
        <v>23400011</v>
      </c>
    </row>
    <row r="17265" spans="20:23" ht="13.5" thickBot="1" x14ac:dyDescent="0.25">
      <c r="T17265" s="28">
        <v>23400012</v>
      </c>
      <c r="U17265" s="29" t="s">
        <v>4289</v>
      </c>
      <c r="V17265" s="30">
        <v>15000</v>
      </c>
      <c r="W17265" s="28">
        <v>23400012</v>
      </c>
    </row>
    <row r="17266" spans="20:23" ht="24.75" thickBot="1" x14ac:dyDescent="0.25">
      <c r="T17266" s="28">
        <v>23400018</v>
      </c>
      <c r="U17266" s="29" t="s">
        <v>4290</v>
      </c>
      <c r="V17266" s="30">
        <v>15000</v>
      </c>
      <c r="W17266" s="28">
        <v>23400018</v>
      </c>
    </row>
    <row r="17267" spans="20:23" ht="24.75" thickBot="1" x14ac:dyDescent="0.25">
      <c r="T17267" s="28">
        <v>23400019</v>
      </c>
      <c r="U17267" s="29" t="s">
        <v>4291</v>
      </c>
      <c r="V17267" s="30">
        <v>30000</v>
      </c>
      <c r="W17267" s="28">
        <v>23400019</v>
      </c>
    </row>
    <row r="17268" spans="20:23" ht="24.75" thickBot="1" x14ac:dyDescent="0.25">
      <c r="T17268" s="28">
        <v>23400020</v>
      </c>
      <c r="U17268" s="29" t="s">
        <v>4292</v>
      </c>
      <c r="V17268" s="30">
        <v>120000</v>
      </c>
      <c r="W17268" s="28">
        <v>23400020</v>
      </c>
    </row>
    <row r="17269" spans="20:23" ht="24.75" thickBot="1" x14ac:dyDescent="0.25">
      <c r="T17269" s="28">
        <v>23400021</v>
      </c>
      <c r="U17269" s="29" t="s">
        <v>4293</v>
      </c>
      <c r="V17269" s="30">
        <v>458000</v>
      </c>
      <c r="W17269" s="28">
        <v>23400021</v>
      </c>
    </row>
    <row r="17270" spans="20:23" ht="13.5" thickBot="1" x14ac:dyDescent="0.25">
      <c r="T17270" s="28">
        <v>23400023</v>
      </c>
      <c r="U17270" s="29" t="s">
        <v>1102</v>
      </c>
      <c r="V17270" s="30">
        <v>15000</v>
      </c>
      <c r="W17270" s="28">
        <v>23400023</v>
      </c>
    </row>
    <row r="17271" spans="20:23" ht="13.5" thickBot="1" x14ac:dyDescent="0.25">
      <c r="T17271" s="28">
        <v>23400024</v>
      </c>
      <c r="U17271" s="29" t="s">
        <v>1103</v>
      </c>
      <c r="V17271" s="30">
        <v>30000</v>
      </c>
      <c r="W17271" s="28">
        <v>23400024</v>
      </c>
    </row>
    <row r="17272" spans="20:23" ht="13.5" thickBot="1" x14ac:dyDescent="0.25">
      <c r="T17272" s="28">
        <v>23400025</v>
      </c>
      <c r="U17272" s="29" t="s">
        <v>1104</v>
      </c>
      <c r="V17272" s="30">
        <v>120000</v>
      </c>
      <c r="W17272" s="28">
        <v>23400025</v>
      </c>
    </row>
    <row r="17273" spans="20:23" ht="13.5" thickBot="1" x14ac:dyDescent="0.25">
      <c r="T17273" s="28">
        <v>23400026</v>
      </c>
      <c r="U17273" s="29" t="s">
        <v>4294</v>
      </c>
      <c r="V17273" s="30">
        <v>458000</v>
      </c>
      <c r="W17273" s="28">
        <v>23400026</v>
      </c>
    </row>
    <row r="17274" spans="20:23" ht="24.75" thickBot="1" x14ac:dyDescent="0.25">
      <c r="T17274" s="28">
        <v>23400027</v>
      </c>
      <c r="U17274" s="29" t="s">
        <v>1091</v>
      </c>
      <c r="V17274" s="30">
        <v>305000</v>
      </c>
      <c r="W17274" s="28">
        <v>23400027</v>
      </c>
    </row>
    <row r="17275" spans="20:23" ht="13.5" thickBot="1" x14ac:dyDescent="0.25">
      <c r="T17275" s="28">
        <v>23400028</v>
      </c>
      <c r="U17275" s="29" t="s">
        <v>4295</v>
      </c>
      <c r="V17275" s="30">
        <v>11000</v>
      </c>
      <c r="W17275" s="28">
        <v>23400028</v>
      </c>
    </row>
    <row r="17276" spans="20:23" ht="13.5" thickBot="1" x14ac:dyDescent="0.25">
      <c r="T17276" s="28">
        <v>23405001</v>
      </c>
      <c r="U17276" s="29" t="s">
        <v>21</v>
      </c>
      <c r="V17276" s="31">
        <v>190</v>
      </c>
      <c r="W17276" s="28">
        <v>23405001</v>
      </c>
    </row>
    <row r="17277" spans="20:23" ht="13.5" thickBot="1" x14ac:dyDescent="0.25">
      <c r="T17277" s="28">
        <v>23405002</v>
      </c>
      <c r="U17277" s="29" t="s">
        <v>22</v>
      </c>
      <c r="V17277" s="31">
        <v>190</v>
      </c>
      <c r="W17277" s="28">
        <v>23405002</v>
      </c>
    </row>
    <row r="17278" spans="20:23" ht="13.5" thickBot="1" x14ac:dyDescent="0.25">
      <c r="T17278" s="28">
        <v>23405003</v>
      </c>
      <c r="U17278" s="29" t="s">
        <v>23</v>
      </c>
      <c r="V17278" s="31">
        <v>190</v>
      </c>
      <c r="W17278" s="28">
        <v>23405003</v>
      </c>
    </row>
    <row r="17279" spans="20:23" ht="24.75" thickBot="1" x14ac:dyDescent="0.25">
      <c r="T17279" s="28">
        <v>23405004</v>
      </c>
      <c r="U17279" s="29" t="s">
        <v>27</v>
      </c>
      <c r="V17279" s="30">
        <v>1190</v>
      </c>
      <c r="W17279" s="28">
        <v>23405004</v>
      </c>
    </row>
    <row r="17280" spans="20:23" ht="13.5" thickBot="1" x14ac:dyDescent="0.25">
      <c r="T17280" s="28">
        <v>23405005</v>
      </c>
      <c r="U17280" s="29" t="s">
        <v>1432</v>
      </c>
      <c r="V17280" s="31">
        <v>190</v>
      </c>
      <c r="W17280" s="28">
        <v>23405005</v>
      </c>
    </row>
    <row r="17281" spans="20:23" ht="13.5" thickBot="1" x14ac:dyDescent="0.25">
      <c r="T17281" s="28">
        <v>23405006</v>
      </c>
      <c r="U17281" s="29" t="s">
        <v>28</v>
      </c>
      <c r="V17281" s="30">
        <v>6750</v>
      </c>
      <c r="W17281" s="28">
        <v>23405006</v>
      </c>
    </row>
    <row r="17282" spans="20:23" ht="13.5" thickBot="1" x14ac:dyDescent="0.25">
      <c r="T17282" s="28">
        <v>23405007</v>
      </c>
      <c r="U17282" s="29" t="s">
        <v>24</v>
      </c>
      <c r="V17282" s="30">
        <v>1190</v>
      </c>
      <c r="W17282" s="28">
        <v>23405007</v>
      </c>
    </row>
    <row r="17283" spans="20:23" ht="24.75" thickBot="1" x14ac:dyDescent="0.25">
      <c r="T17283" s="28">
        <v>23405008</v>
      </c>
      <c r="U17283" s="29" t="s">
        <v>25</v>
      </c>
      <c r="V17283" s="30">
        <v>1190</v>
      </c>
      <c r="W17283" s="28">
        <v>23405008</v>
      </c>
    </row>
    <row r="17284" spans="20:23" ht="24.75" thickBot="1" x14ac:dyDescent="0.25">
      <c r="T17284" s="28">
        <v>23405009</v>
      </c>
      <c r="U17284" s="29" t="s">
        <v>26</v>
      </c>
      <c r="V17284" s="30">
        <v>1190</v>
      </c>
      <c r="W17284" s="28">
        <v>23405009</v>
      </c>
    </row>
    <row r="17285" spans="20:23" ht="13.5" thickBot="1" x14ac:dyDescent="0.25">
      <c r="T17285" s="28">
        <v>23405010</v>
      </c>
      <c r="U17285" s="29" t="s">
        <v>38</v>
      </c>
      <c r="V17285" s="30">
        <v>38600</v>
      </c>
      <c r="W17285" s="28">
        <v>23405010</v>
      </c>
    </row>
    <row r="17286" spans="20:23" ht="24.75" thickBot="1" x14ac:dyDescent="0.25">
      <c r="T17286" s="28">
        <v>23405011</v>
      </c>
      <c r="U17286" s="29" t="s">
        <v>31</v>
      </c>
      <c r="V17286" s="30">
        <v>2580</v>
      </c>
      <c r="W17286" s="28">
        <v>23405011</v>
      </c>
    </row>
    <row r="17287" spans="20:23" ht="24.75" thickBot="1" x14ac:dyDescent="0.25">
      <c r="T17287" s="28">
        <v>23405012</v>
      </c>
      <c r="U17287" s="29" t="s">
        <v>32</v>
      </c>
      <c r="V17287" s="30">
        <v>2580</v>
      </c>
      <c r="W17287" s="28">
        <v>23405012</v>
      </c>
    </row>
    <row r="17288" spans="20:23" ht="13.5" thickBot="1" x14ac:dyDescent="0.25">
      <c r="T17288" s="28">
        <v>23405013</v>
      </c>
      <c r="U17288" s="29" t="s">
        <v>33</v>
      </c>
      <c r="V17288" s="30">
        <v>6750</v>
      </c>
      <c r="W17288" s="28">
        <v>23405013</v>
      </c>
    </row>
    <row r="17289" spans="20:23" ht="13.5" thickBot="1" x14ac:dyDescent="0.25">
      <c r="T17289" s="28">
        <v>23405014</v>
      </c>
      <c r="U17289" s="29" t="s">
        <v>34</v>
      </c>
      <c r="V17289" s="30">
        <v>38600</v>
      </c>
      <c r="W17289" s="28">
        <v>23405014</v>
      </c>
    </row>
    <row r="17290" spans="20:23" ht="13.5" thickBot="1" x14ac:dyDescent="0.25">
      <c r="T17290" s="28">
        <v>23405015</v>
      </c>
      <c r="U17290" s="29" t="s">
        <v>39</v>
      </c>
      <c r="V17290" s="30">
        <v>49900</v>
      </c>
      <c r="W17290" s="28">
        <v>23405015</v>
      </c>
    </row>
    <row r="17291" spans="20:23" ht="24.75" thickBot="1" x14ac:dyDescent="0.25">
      <c r="T17291" s="28">
        <v>23405016</v>
      </c>
      <c r="U17291" s="29" t="s">
        <v>40</v>
      </c>
      <c r="V17291" s="30">
        <v>49900</v>
      </c>
      <c r="W17291" s="28">
        <v>23405016</v>
      </c>
    </row>
    <row r="17292" spans="20:23" ht="24.75" thickBot="1" x14ac:dyDescent="0.25">
      <c r="T17292" s="28">
        <v>23405017</v>
      </c>
      <c r="U17292" s="29" t="s">
        <v>35</v>
      </c>
      <c r="V17292" s="30">
        <v>2580</v>
      </c>
      <c r="W17292" s="28">
        <v>23405017</v>
      </c>
    </row>
    <row r="17293" spans="20:23" ht="13.5" thickBot="1" x14ac:dyDescent="0.25">
      <c r="T17293" s="28">
        <v>23405018</v>
      </c>
      <c r="U17293" s="29" t="s">
        <v>44</v>
      </c>
      <c r="V17293" s="30">
        <v>44000</v>
      </c>
      <c r="W17293" s="28">
        <v>23405018</v>
      </c>
    </row>
    <row r="17294" spans="20:23" ht="13.5" thickBot="1" x14ac:dyDescent="0.25">
      <c r="T17294" s="28">
        <v>23405019</v>
      </c>
      <c r="U17294" s="29" t="s">
        <v>36</v>
      </c>
      <c r="V17294" s="30">
        <v>6750</v>
      </c>
      <c r="W17294" s="28">
        <v>23405019</v>
      </c>
    </row>
    <row r="17295" spans="20:23" ht="13.5" thickBot="1" x14ac:dyDescent="0.25">
      <c r="T17295" s="28">
        <v>23405020</v>
      </c>
      <c r="U17295" s="29" t="s">
        <v>41</v>
      </c>
      <c r="V17295" s="30">
        <v>44000</v>
      </c>
      <c r="W17295" s="28">
        <v>23405020</v>
      </c>
    </row>
    <row r="17296" spans="20:23" ht="13.5" thickBot="1" x14ac:dyDescent="0.25">
      <c r="T17296" s="28">
        <v>23405021</v>
      </c>
      <c r="U17296" s="29" t="s">
        <v>29</v>
      </c>
      <c r="V17296" s="30">
        <v>44000</v>
      </c>
      <c r="W17296" s="28">
        <v>23405021</v>
      </c>
    </row>
    <row r="17297" spans="20:23" ht="13.5" thickBot="1" x14ac:dyDescent="0.25">
      <c r="T17297" s="28">
        <v>23405022</v>
      </c>
      <c r="U17297" s="29" t="s">
        <v>45</v>
      </c>
      <c r="V17297" s="30">
        <v>44000</v>
      </c>
      <c r="W17297" s="28">
        <v>23405022</v>
      </c>
    </row>
    <row r="17298" spans="20:23" ht="13.5" thickBot="1" x14ac:dyDescent="0.25">
      <c r="T17298" s="28">
        <v>23405023</v>
      </c>
      <c r="U17298" s="29" t="s">
        <v>46</v>
      </c>
      <c r="V17298" s="30">
        <v>38600</v>
      </c>
      <c r="W17298" s="28">
        <v>23405023</v>
      </c>
    </row>
    <row r="17299" spans="20:23" ht="13.5" thickBot="1" x14ac:dyDescent="0.25">
      <c r="T17299" s="28">
        <v>23405024</v>
      </c>
      <c r="U17299" s="29" t="s">
        <v>56</v>
      </c>
      <c r="V17299" s="30">
        <v>56300</v>
      </c>
      <c r="W17299" s="28">
        <v>23405024</v>
      </c>
    </row>
    <row r="17300" spans="20:23" ht="13.5" thickBot="1" x14ac:dyDescent="0.25">
      <c r="T17300" s="28">
        <v>23405025</v>
      </c>
      <c r="U17300" s="29" t="s">
        <v>47</v>
      </c>
      <c r="V17300" s="30">
        <v>49900</v>
      </c>
      <c r="W17300" s="28">
        <v>23405025</v>
      </c>
    </row>
    <row r="17301" spans="20:23" ht="13.5" thickBot="1" x14ac:dyDescent="0.25">
      <c r="T17301" s="28">
        <v>23405026</v>
      </c>
      <c r="U17301" s="29" t="s">
        <v>49</v>
      </c>
      <c r="V17301" s="30">
        <v>44000</v>
      </c>
      <c r="W17301" s="28">
        <v>23405026</v>
      </c>
    </row>
    <row r="17302" spans="20:23" ht="13.5" thickBot="1" x14ac:dyDescent="0.25">
      <c r="T17302" s="28">
        <v>23405027</v>
      </c>
      <c r="U17302" s="29" t="s">
        <v>42</v>
      </c>
      <c r="V17302" s="30">
        <v>2580</v>
      </c>
      <c r="W17302" s="28">
        <v>23405027</v>
      </c>
    </row>
    <row r="17303" spans="20:23" ht="13.5" thickBot="1" x14ac:dyDescent="0.25">
      <c r="T17303" s="28">
        <v>23405028</v>
      </c>
      <c r="U17303" s="29" t="s">
        <v>57</v>
      </c>
      <c r="V17303" s="30">
        <v>49900</v>
      </c>
      <c r="W17303" s="28">
        <v>23405028</v>
      </c>
    </row>
    <row r="17304" spans="20:23" ht="13.5" thickBot="1" x14ac:dyDescent="0.25">
      <c r="T17304" s="28">
        <v>23405029</v>
      </c>
      <c r="U17304" s="29" t="s">
        <v>48</v>
      </c>
      <c r="V17304" s="30">
        <v>38600</v>
      </c>
      <c r="W17304" s="28">
        <v>23405029</v>
      </c>
    </row>
    <row r="17305" spans="20:23" ht="13.5" thickBot="1" x14ac:dyDescent="0.25">
      <c r="T17305" s="28">
        <v>23405030</v>
      </c>
      <c r="U17305" s="29" t="s">
        <v>58</v>
      </c>
      <c r="V17305" s="30">
        <v>63200</v>
      </c>
      <c r="W17305" s="28">
        <v>23405030</v>
      </c>
    </row>
    <row r="17306" spans="20:23" ht="13.5" thickBot="1" x14ac:dyDescent="0.25">
      <c r="T17306" s="28">
        <v>23405031</v>
      </c>
      <c r="U17306" s="29" t="s">
        <v>59</v>
      </c>
      <c r="V17306" s="30">
        <v>56300</v>
      </c>
      <c r="W17306" s="28">
        <v>23405031</v>
      </c>
    </row>
    <row r="17307" spans="20:23" ht="13.5" thickBot="1" x14ac:dyDescent="0.25">
      <c r="T17307" s="28">
        <v>23405032</v>
      </c>
      <c r="U17307" s="29" t="s">
        <v>72</v>
      </c>
      <c r="V17307" s="30">
        <v>415000</v>
      </c>
      <c r="W17307" s="28">
        <v>23405032</v>
      </c>
    </row>
    <row r="17308" spans="20:23" ht="13.5" thickBot="1" x14ac:dyDescent="0.25">
      <c r="T17308" s="28">
        <v>23405033</v>
      </c>
      <c r="U17308" s="29" t="s">
        <v>50</v>
      </c>
      <c r="V17308" s="30">
        <v>70900</v>
      </c>
      <c r="W17308" s="28">
        <v>23405033</v>
      </c>
    </row>
    <row r="17309" spans="20:23" ht="13.5" thickBot="1" x14ac:dyDescent="0.25">
      <c r="T17309" s="28">
        <v>23405034</v>
      </c>
      <c r="U17309" s="29" t="s">
        <v>64</v>
      </c>
      <c r="V17309" s="30">
        <v>92700</v>
      </c>
      <c r="W17309" s="28">
        <v>23405034</v>
      </c>
    </row>
    <row r="17310" spans="20:23" ht="24.75" thickBot="1" x14ac:dyDescent="0.25">
      <c r="T17310" s="28">
        <v>23405035</v>
      </c>
      <c r="U17310" s="29" t="s">
        <v>425</v>
      </c>
      <c r="V17310" s="30">
        <v>92700</v>
      </c>
      <c r="W17310" s="28">
        <v>23405035</v>
      </c>
    </row>
    <row r="17311" spans="20:23" ht="24.75" thickBot="1" x14ac:dyDescent="0.25">
      <c r="T17311" s="28">
        <v>23405036</v>
      </c>
      <c r="U17311" s="29" t="s">
        <v>426</v>
      </c>
      <c r="V17311" s="30">
        <v>70900</v>
      </c>
      <c r="W17311" s="28">
        <v>23405036</v>
      </c>
    </row>
    <row r="17312" spans="20:23" ht="13.5" thickBot="1" x14ac:dyDescent="0.25">
      <c r="T17312" s="28">
        <v>23405037</v>
      </c>
      <c r="U17312" s="29" t="s">
        <v>60</v>
      </c>
      <c r="V17312" s="30">
        <v>56300</v>
      </c>
      <c r="W17312" s="28">
        <v>23405037</v>
      </c>
    </row>
    <row r="17313" spans="20:23" ht="13.5" thickBot="1" x14ac:dyDescent="0.25">
      <c r="T17313" s="28">
        <v>23405038</v>
      </c>
      <c r="U17313" s="29" t="s">
        <v>61</v>
      </c>
      <c r="V17313" s="30">
        <v>63200</v>
      </c>
      <c r="W17313" s="28">
        <v>23405038</v>
      </c>
    </row>
    <row r="17314" spans="20:23" ht="13.5" thickBot="1" x14ac:dyDescent="0.25">
      <c r="T17314" s="28">
        <v>23405039</v>
      </c>
      <c r="U17314" s="29" t="s">
        <v>427</v>
      </c>
      <c r="V17314" s="30">
        <v>80500</v>
      </c>
      <c r="W17314" s="28">
        <v>23405039</v>
      </c>
    </row>
    <row r="17315" spans="20:23" ht="13.5" thickBot="1" x14ac:dyDescent="0.25">
      <c r="T17315" s="28">
        <v>23405040</v>
      </c>
      <c r="U17315" s="29" t="s">
        <v>51</v>
      </c>
      <c r="V17315" s="30">
        <v>63200</v>
      </c>
      <c r="W17315" s="28">
        <v>23405040</v>
      </c>
    </row>
    <row r="17316" spans="20:23" ht="13.5" thickBot="1" x14ac:dyDescent="0.25">
      <c r="T17316" s="28">
        <v>23405041</v>
      </c>
      <c r="U17316" s="29" t="s">
        <v>52</v>
      </c>
      <c r="V17316" s="30">
        <v>63200</v>
      </c>
      <c r="W17316" s="28">
        <v>23405041</v>
      </c>
    </row>
    <row r="17317" spans="20:23" ht="13.5" thickBot="1" x14ac:dyDescent="0.25">
      <c r="T17317" s="28">
        <v>23405042</v>
      </c>
      <c r="U17317" s="29" t="s">
        <v>53</v>
      </c>
      <c r="V17317" s="30">
        <v>70900</v>
      </c>
      <c r="W17317" s="28">
        <v>23405042</v>
      </c>
    </row>
    <row r="17318" spans="20:23" ht="13.5" thickBot="1" x14ac:dyDescent="0.25">
      <c r="T17318" s="28">
        <v>23405043</v>
      </c>
      <c r="U17318" s="29" t="s">
        <v>66</v>
      </c>
      <c r="V17318" s="30">
        <v>415000</v>
      </c>
      <c r="W17318" s="28">
        <v>23405043</v>
      </c>
    </row>
    <row r="17319" spans="20:23" ht="13.5" thickBot="1" x14ac:dyDescent="0.25">
      <c r="T17319" s="28">
        <v>23405044</v>
      </c>
      <c r="U17319" s="29" t="s">
        <v>79</v>
      </c>
      <c r="V17319" s="30">
        <v>514000</v>
      </c>
      <c r="W17319" s="28">
        <v>23405044</v>
      </c>
    </row>
    <row r="17320" spans="20:23" ht="24.75" thickBot="1" x14ac:dyDescent="0.25">
      <c r="T17320" s="28">
        <v>23405045</v>
      </c>
      <c r="U17320" s="29" t="s">
        <v>80</v>
      </c>
      <c r="V17320" s="30">
        <v>541000</v>
      </c>
      <c r="W17320" s="28">
        <v>23405045</v>
      </c>
    </row>
    <row r="17321" spans="20:23" ht="13.5" thickBot="1" x14ac:dyDescent="0.25">
      <c r="T17321" s="28">
        <v>23405046</v>
      </c>
      <c r="U17321" s="29" t="s">
        <v>81</v>
      </c>
      <c r="V17321" s="30">
        <v>514000</v>
      </c>
      <c r="W17321" s="28">
        <v>23405046</v>
      </c>
    </row>
    <row r="17322" spans="20:23" ht="13.5" thickBot="1" x14ac:dyDescent="0.25">
      <c r="T17322" s="28">
        <v>23405047</v>
      </c>
      <c r="U17322" s="29" t="s">
        <v>82</v>
      </c>
      <c r="V17322" s="30">
        <v>514000</v>
      </c>
      <c r="W17322" s="28">
        <v>23405047</v>
      </c>
    </row>
    <row r="17323" spans="20:23" ht="13.5" thickBot="1" x14ac:dyDescent="0.25">
      <c r="T17323" s="28">
        <v>23405048</v>
      </c>
      <c r="U17323" s="29" t="s">
        <v>73</v>
      </c>
      <c r="V17323" s="30">
        <v>541000</v>
      </c>
      <c r="W17323" s="28">
        <v>23405048</v>
      </c>
    </row>
    <row r="17324" spans="20:23" ht="24.75" thickBot="1" x14ac:dyDescent="0.25">
      <c r="T17324" s="28">
        <v>23405049</v>
      </c>
      <c r="U17324" s="29" t="s">
        <v>74</v>
      </c>
      <c r="V17324" s="30">
        <v>541000</v>
      </c>
      <c r="W17324" s="28">
        <v>23405049</v>
      </c>
    </row>
    <row r="17325" spans="20:23" ht="13.5" thickBot="1" x14ac:dyDescent="0.25">
      <c r="T17325" s="28">
        <v>23405050</v>
      </c>
      <c r="U17325" s="29" t="s">
        <v>75</v>
      </c>
      <c r="V17325" s="30">
        <v>514000</v>
      </c>
      <c r="W17325" s="28">
        <v>23405050</v>
      </c>
    </row>
    <row r="17326" spans="20:23" ht="24.75" thickBot="1" x14ac:dyDescent="0.25">
      <c r="T17326" s="28">
        <v>23405051</v>
      </c>
      <c r="U17326" s="29" t="s">
        <v>433</v>
      </c>
      <c r="V17326" s="30">
        <v>645000</v>
      </c>
      <c r="W17326" s="28">
        <v>23405051</v>
      </c>
    </row>
    <row r="17327" spans="20:23" ht="24.75" thickBot="1" x14ac:dyDescent="0.25">
      <c r="T17327" s="28">
        <v>23405052</v>
      </c>
      <c r="U17327" s="29" t="s">
        <v>434</v>
      </c>
      <c r="V17327" s="30">
        <v>1240000</v>
      </c>
      <c r="W17327" s="28">
        <v>23405052</v>
      </c>
    </row>
    <row r="17328" spans="20:23" ht="13.5" thickBot="1" x14ac:dyDescent="0.25">
      <c r="T17328" s="28">
        <v>23405053</v>
      </c>
      <c r="U17328" s="29" t="s">
        <v>435</v>
      </c>
      <c r="V17328" s="30">
        <v>991000</v>
      </c>
      <c r="W17328" s="28">
        <v>23405053</v>
      </c>
    </row>
    <row r="17329" spans="20:23" ht="24.75" thickBot="1" x14ac:dyDescent="0.25">
      <c r="T17329" s="28">
        <v>23405054</v>
      </c>
      <c r="U17329" s="29" t="s">
        <v>83</v>
      </c>
      <c r="V17329" s="30">
        <v>455000</v>
      </c>
      <c r="W17329" s="28">
        <v>23405054</v>
      </c>
    </row>
    <row r="17330" spans="20:23" ht="24.75" thickBot="1" x14ac:dyDescent="0.25">
      <c r="T17330" s="28">
        <v>23405055</v>
      </c>
      <c r="U17330" s="29" t="s">
        <v>67</v>
      </c>
      <c r="V17330" s="30">
        <v>415000</v>
      </c>
      <c r="W17330" s="28">
        <v>23405055</v>
      </c>
    </row>
    <row r="17331" spans="20:23" ht="13.5" thickBot="1" x14ac:dyDescent="0.25">
      <c r="T17331" s="28">
        <v>23405056</v>
      </c>
      <c r="U17331" s="29" t="s">
        <v>76</v>
      </c>
      <c r="V17331" s="30">
        <v>455000</v>
      </c>
      <c r="W17331" s="28">
        <v>23405056</v>
      </c>
    </row>
    <row r="17332" spans="20:23" ht="13.5" thickBot="1" x14ac:dyDescent="0.25">
      <c r="T17332" s="28">
        <v>23405057</v>
      </c>
      <c r="U17332" s="29" t="s">
        <v>89</v>
      </c>
      <c r="V17332" s="30">
        <v>1240000</v>
      </c>
      <c r="W17332" s="28">
        <v>23405057</v>
      </c>
    </row>
    <row r="17333" spans="20:23" ht="13.5" thickBot="1" x14ac:dyDescent="0.25">
      <c r="T17333" s="28">
        <v>23405058</v>
      </c>
      <c r="U17333" s="29" t="s">
        <v>436</v>
      </c>
      <c r="V17333" s="30">
        <v>712000</v>
      </c>
      <c r="W17333" s="28">
        <v>23405058</v>
      </c>
    </row>
    <row r="17334" spans="20:23" ht="13.5" thickBot="1" x14ac:dyDescent="0.25">
      <c r="T17334" s="28">
        <v>23405059</v>
      </c>
      <c r="U17334" s="29" t="s">
        <v>97</v>
      </c>
      <c r="V17334" s="30">
        <v>13700000</v>
      </c>
      <c r="W17334" s="28">
        <v>23405059</v>
      </c>
    </row>
    <row r="17335" spans="20:23" ht="24.75" thickBot="1" x14ac:dyDescent="0.25">
      <c r="T17335" s="28">
        <v>23405060</v>
      </c>
      <c r="U17335" s="29" t="s">
        <v>91</v>
      </c>
      <c r="V17335" s="30">
        <v>8060000</v>
      </c>
      <c r="W17335" s="28">
        <v>23405060</v>
      </c>
    </row>
    <row r="17336" spans="20:23" ht="13.5" thickBot="1" x14ac:dyDescent="0.25">
      <c r="T17336" s="28">
        <v>23405061</v>
      </c>
      <c r="U17336" s="29" t="s">
        <v>98</v>
      </c>
      <c r="V17336" s="30">
        <v>10200000</v>
      </c>
      <c r="W17336" s="28">
        <v>23405061</v>
      </c>
    </row>
    <row r="17337" spans="20:23" ht="13.5" thickBot="1" x14ac:dyDescent="0.25">
      <c r="T17337" s="28">
        <v>23405062</v>
      </c>
      <c r="U17337" s="29" t="s">
        <v>92</v>
      </c>
      <c r="V17337" s="30">
        <v>9080000</v>
      </c>
      <c r="W17337" s="28">
        <v>23405062</v>
      </c>
    </row>
    <row r="17338" spans="20:23" ht="13.5" thickBot="1" x14ac:dyDescent="0.25">
      <c r="T17338" s="28">
        <v>23405063</v>
      </c>
      <c r="U17338" s="29" t="s">
        <v>99</v>
      </c>
      <c r="V17338" s="30">
        <v>8060000</v>
      </c>
      <c r="W17338" s="28">
        <v>23405063</v>
      </c>
    </row>
    <row r="17339" spans="20:23" ht="13.5" thickBot="1" x14ac:dyDescent="0.25">
      <c r="T17339" s="28">
        <v>23405064</v>
      </c>
      <c r="U17339" s="29" t="s">
        <v>103</v>
      </c>
      <c r="V17339" s="30">
        <v>15200000</v>
      </c>
      <c r="W17339" s="28">
        <v>23405064</v>
      </c>
    </row>
    <row r="17340" spans="20:23" ht="13.5" thickBot="1" x14ac:dyDescent="0.25">
      <c r="T17340" s="28">
        <v>23405065</v>
      </c>
      <c r="U17340" s="29" t="s">
        <v>104</v>
      </c>
      <c r="V17340" s="30">
        <v>12300000</v>
      </c>
      <c r="W17340" s="28">
        <v>23405065</v>
      </c>
    </row>
    <row r="17341" spans="20:23" ht="13.5" thickBot="1" x14ac:dyDescent="0.25">
      <c r="T17341" s="28">
        <v>23405066</v>
      </c>
      <c r="U17341" s="29" t="s">
        <v>94</v>
      </c>
      <c r="V17341" s="30">
        <v>1410000</v>
      </c>
      <c r="W17341" s="28">
        <v>23405066</v>
      </c>
    </row>
    <row r="17342" spans="20:23" ht="24.75" thickBot="1" x14ac:dyDescent="0.25">
      <c r="T17342" s="28">
        <v>23405067</v>
      </c>
      <c r="U17342" s="29" t="s">
        <v>473</v>
      </c>
      <c r="V17342" s="30">
        <v>1190</v>
      </c>
      <c r="W17342" s="28">
        <v>23405067</v>
      </c>
    </row>
    <row r="17343" spans="20:23" ht="13.5" thickBot="1" x14ac:dyDescent="0.25">
      <c r="T17343" s="28">
        <v>23405068</v>
      </c>
      <c r="U17343" s="29" t="s">
        <v>474</v>
      </c>
      <c r="V17343" s="30">
        <v>38600</v>
      </c>
      <c r="W17343" s="28">
        <v>23405068</v>
      </c>
    </row>
    <row r="17344" spans="20:23" ht="13.5" thickBot="1" x14ac:dyDescent="0.25">
      <c r="T17344" s="28">
        <v>23405069</v>
      </c>
      <c r="U17344" s="29" t="s">
        <v>37</v>
      </c>
      <c r="V17344" s="30">
        <v>6750</v>
      </c>
      <c r="W17344" s="28">
        <v>23405069</v>
      </c>
    </row>
    <row r="17345" spans="20:23" ht="13.5" thickBot="1" x14ac:dyDescent="0.25">
      <c r="T17345" s="28">
        <v>23405070</v>
      </c>
      <c r="U17345" s="29" t="s">
        <v>62</v>
      </c>
      <c r="V17345" s="30">
        <v>49900</v>
      </c>
      <c r="W17345" s="28">
        <v>23405070</v>
      </c>
    </row>
    <row r="17346" spans="20:23" ht="24.75" thickBot="1" x14ac:dyDescent="0.25">
      <c r="T17346" s="28">
        <v>23405071</v>
      </c>
      <c r="U17346" s="29" t="s">
        <v>428</v>
      </c>
      <c r="V17346" s="30">
        <v>92700</v>
      </c>
      <c r="W17346" s="28">
        <v>23405071</v>
      </c>
    </row>
    <row r="17347" spans="20:23" ht="24.75" thickBot="1" x14ac:dyDescent="0.25">
      <c r="T17347" s="28">
        <v>23405072</v>
      </c>
      <c r="U17347" s="29" t="s">
        <v>429</v>
      </c>
      <c r="V17347" s="30">
        <v>70900</v>
      </c>
      <c r="W17347" s="28">
        <v>23405072</v>
      </c>
    </row>
    <row r="17348" spans="20:23" ht="13.5" thickBot="1" x14ac:dyDescent="0.25">
      <c r="T17348" s="28">
        <v>23405073</v>
      </c>
      <c r="U17348" s="29" t="s">
        <v>63</v>
      </c>
      <c r="V17348" s="30">
        <v>63200</v>
      </c>
      <c r="W17348" s="28">
        <v>23405073</v>
      </c>
    </row>
    <row r="17349" spans="20:23" ht="24.75" thickBot="1" x14ac:dyDescent="0.25">
      <c r="T17349" s="28">
        <v>23405074</v>
      </c>
      <c r="U17349" s="29" t="s">
        <v>430</v>
      </c>
      <c r="V17349" s="30">
        <v>80500</v>
      </c>
      <c r="W17349" s="28">
        <v>23405074</v>
      </c>
    </row>
    <row r="17350" spans="20:23" ht="24.75" thickBot="1" x14ac:dyDescent="0.25">
      <c r="T17350" s="28">
        <v>23405075</v>
      </c>
      <c r="U17350" s="29" t="s">
        <v>437</v>
      </c>
      <c r="V17350" s="30">
        <v>712000</v>
      </c>
      <c r="W17350" s="28">
        <v>23405075</v>
      </c>
    </row>
    <row r="17351" spans="20:23" ht="24.75" thickBot="1" x14ac:dyDescent="0.25">
      <c r="T17351" s="28">
        <v>23405076</v>
      </c>
      <c r="U17351" s="29" t="s">
        <v>438</v>
      </c>
      <c r="V17351" s="30">
        <v>645000</v>
      </c>
      <c r="W17351" s="28">
        <v>23405076</v>
      </c>
    </row>
    <row r="17352" spans="20:23" ht="24.75" thickBot="1" x14ac:dyDescent="0.25">
      <c r="T17352" s="28">
        <v>23405077</v>
      </c>
      <c r="U17352" s="29" t="s">
        <v>439</v>
      </c>
      <c r="V17352" s="30">
        <v>92700</v>
      </c>
      <c r="W17352" s="28">
        <v>23405077</v>
      </c>
    </row>
    <row r="17353" spans="20:23" ht="13.5" thickBot="1" x14ac:dyDescent="0.25">
      <c r="T17353" s="28">
        <v>23405078</v>
      </c>
      <c r="U17353" s="29" t="s">
        <v>90</v>
      </c>
      <c r="V17353" s="30">
        <v>991000</v>
      </c>
      <c r="W17353" s="28">
        <v>23405078</v>
      </c>
    </row>
    <row r="17354" spans="20:23" ht="13.5" thickBot="1" x14ac:dyDescent="0.25">
      <c r="T17354" s="28">
        <v>23405079</v>
      </c>
      <c r="U17354" s="29" t="s">
        <v>455</v>
      </c>
      <c r="V17354" s="30">
        <v>18100000</v>
      </c>
      <c r="W17354" s="28">
        <v>23405079</v>
      </c>
    </row>
    <row r="17355" spans="20:23" ht="24.75" thickBot="1" x14ac:dyDescent="0.25">
      <c r="T17355" s="28">
        <v>23405080</v>
      </c>
      <c r="U17355" s="29" t="s">
        <v>456</v>
      </c>
      <c r="V17355" s="30">
        <v>15200000</v>
      </c>
      <c r="W17355" s="28">
        <v>23405080</v>
      </c>
    </row>
    <row r="17356" spans="20:23" ht="13.5" thickBot="1" x14ac:dyDescent="0.25">
      <c r="T17356" s="28">
        <v>23405081</v>
      </c>
      <c r="U17356" s="29" t="s">
        <v>457</v>
      </c>
      <c r="V17356" s="30">
        <v>10200000</v>
      </c>
      <c r="W17356" s="28">
        <v>23405081</v>
      </c>
    </row>
    <row r="17357" spans="20:23" ht="13.5" thickBot="1" x14ac:dyDescent="0.25">
      <c r="T17357" s="28">
        <v>23405082</v>
      </c>
      <c r="U17357" s="29" t="s">
        <v>458</v>
      </c>
      <c r="V17357" s="30">
        <v>18100000</v>
      </c>
      <c r="W17357" s="28">
        <v>23405082</v>
      </c>
    </row>
    <row r="17358" spans="20:23" ht="24.75" thickBot="1" x14ac:dyDescent="0.25">
      <c r="T17358" s="28">
        <v>23405083</v>
      </c>
      <c r="U17358" s="29" t="s">
        <v>459</v>
      </c>
      <c r="V17358" s="30">
        <v>10200000</v>
      </c>
      <c r="W17358" s="28">
        <v>23405083</v>
      </c>
    </row>
    <row r="17359" spans="20:23" ht="24.75" thickBot="1" x14ac:dyDescent="0.25">
      <c r="T17359" s="28">
        <v>23405084</v>
      </c>
      <c r="U17359" s="29" t="s">
        <v>460</v>
      </c>
      <c r="V17359" s="30">
        <v>9080000</v>
      </c>
      <c r="W17359" s="28">
        <v>23405084</v>
      </c>
    </row>
    <row r="17360" spans="20:23" ht="24.75" thickBot="1" x14ac:dyDescent="0.25">
      <c r="T17360" s="28">
        <v>23405085</v>
      </c>
      <c r="U17360" s="29" t="s">
        <v>461</v>
      </c>
      <c r="V17360" s="30">
        <v>13700000</v>
      </c>
      <c r="W17360" s="28">
        <v>23405085</v>
      </c>
    </row>
    <row r="17361" spans="20:23" ht="13.5" thickBot="1" x14ac:dyDescent="0.25">
      <c r="T17361" s="28">
        <v>23405086</v>
      </c>
      <c r="U17361" s="29" t="s">
        <v>431</v>
      </c>
      <c r="V17361" s="30">
        <v>80500</v>
      </c>
      <c r="W17361" s="28">
        <v>23405086</v>
      </c>
    </row>
    <row r="17362" spans="20:23" ht="24.75" thickBot="1" x14ac:dyDescent="0.25">
      <c r="T17362" s="28">
        <v>23405087</v>
      </c>
      <c r="U17362" s="29" t="s">
        <v>432</v>
      </c>
      <c r="V17362" s="30">
        <v>70900</v>
      </c>
      <c r="W17362" s="28">
        <v>23405087</v>
      </c>
    </row>
    <row r="17363" spans="20:23" ht="13.5" thickBot="1" x14ac:dyDescent="0.25">
      <c r="T17363" s="28">
        <v>23405088</v>
      </c>
      <c r="U17363" s="29" t="s">
        <v>54</v>
      </c>
      <c r="V17363" s="30">
        <v>56300</v>
      </c>
      <c r="W17363" s="28">
        <v>23405088</v>
      </c>
    </row>
    <row r="17364" spans="20:23" ht="13.5" thickBot="1" x14ac:dyDescent="0.25">
      <c r="T17364" s="28">
        <v>23405089</v>
      </c>
      <c r="U17364" s="29" t="s">
        <v>77</v>
      </c>
      <c r="V17364" s="30">
        <v>645000</v>
      </c>
      <c r="W17364" s="28">
        <v>23405089</v>
      </c>
    </row>
    <row r="17365" spans="20:23" ht="24.75" thickBot="1" x14ac:dyDescent="0.25">
      <c r="T17365" s="28">
        <v>23405090</v>
      </c>
      <c r="U17365" s="29" t="s">
        <v>68</v>
      </c>
      <c r="V17365" s="30">
        <v>1240000</v>
      </c>
      <c r="W17365" s="28">
        <v>23405090</v>
      </c>
    </row>
    <row r="17366" spans="20:23" ht="13.5" thickBot="1" x14ac:dyDescent="0.25">
      <c r="T17366" s="28">
        <v>23405091</v>
      </c>
      <c r="U17366" s="29" t="s">
        <v>100</v>
      </c>
      <c r="V17366" s="30">
        <v>8060000</v>
      </c>
      <c r="W17366" s="28">
        <v>23405091</v>
      </c>
    </row>
    <row r="17367" spans="20:23" ht="24.75" thickBot="1" x14ac:dyDescent="0.25">
      <c r="T17367" s="28">
        <v>23405092</v>
      </c>
      <c r="U17367" s="29" t="s">
        <v>440</v>
      </c>
      <c r="V17367" s="30">
        <v>991000</v>
      </c>
      <c r="W17367" s="28">
        <v>23405092</v>
      </c>
    </row>
    <row r="17368" spans="20:23" ht="13.5" thickBot="1" x14ac:dyDescent="0.25">
      <c r="T17368" s="28">
        <v>23405093</v>
      </c>
      <c r="U17368" s="29" t="s">
        <v>441</v>
      </c>
      <c r="V17368" s="30">
        <v>991000</v>
      </c>
      <c r="W17368" s="28">
        <v>23405093</v>
      </c>
    </row>
    <row r="17369" spans="20:23" ht="24.75" thickBot="1" x14ac:dyDescent="0.25">
      <c r="T17369" s="28">
        <v>23405094</v>
      </c>
      <c r="U17369" s="29" t="s">
        <v>69</v>
      </c>
      <c r="V17369" s="30">
        <v>455000</v>
      </c>
      <c r="W17369" s="28">
        <v>23405094</v>
      </c>
    </row>
    <row r="17370" spans="20:23" ht="24.75" thickBot="1" x14ac:dyDescent="0.25">
      <c r="T17370" s="28">
        <v>23405095</v>
      </c>
      <c r="U17370" s="29" t="s">
        <v>442</v>
      </c>
      <c r="V17370" s="30">
        <v>1410000</v>
      </c>
      <c r="W17370" s="28">
        <v>23405095</v>
      </c>
    </row>
    <row r="17371" spans="20:23" ht="13.5" thickBot="1" x14ac:dyDescent="0.25">
      <c r="T17371" s="28">
        <v>23405096</v>
      </c>
      <c r="U17371" s="29" t="s">
        <v>443</v>
      </c>
      <c r="V17371" s="30">
        <v>1410000</v>
      </c>
      <c r="W17371" s="28">
        <v>23405096</v>
      </c>
    </row>
    <row r="17372" spans="20:23" ht="24.75" thickBot="1" x14ac:dyDescent="0.25">
      <c r="T17372" s="28">
        <v>23405097</v>
      </c>
      <c r="U17372" s="29" t="s">
        <v>70</v>
      </c>
      <c r="V17372" s="30">
        <v>415000</v>
      </c>
      <c r="W17372" s="28">
        <v>23405097</v>
      </c>
    </row>
    <row r="17373" spans="20:23" ht="24.75" thickBot="1" x14ac:dyDescent="0.25">
      <c r="T17373" s="28">
        <v>23405098</v>
      </c>
      <c r="U17373" s="29" t="s">
        <v>444</v>
      </c>
      <c r="V17373" s="30">
        <v>645000</v>
      </c>
      <c r="W17373" s="28">
        <v>23405098</v>
      </c>
    </row>
    <row r="17374" spans="20:23" ht="24.75" thickBot="1" x14ac:dyDescent="0.25">
      <c r="T17374" s="28">
        <v>23405099</v>
      </c>
      <c r="U17374" s="29" t="s">
        <v>84</v>
      </c>
      <c r="V17374" s="30">
        <v>878000</v>
      </c>
      <c r="W17374" s="28">
        <v>23405099</v>
      </c>
    </row>
    <row r="17375" spans="20:23" ht="13.5" thickBot="1" x14ac:dyDescent="0.25">
      <c r="T17375" s="28">
        <v>23405100</v>
      </c>
      <c r="U17375" s="29" t="s">
        <v>445</v>
      </c>
      <c r="V17375" s="30">
        <v>878000</v>
      </c>
      <c r="W17375" s="28">
        <v>23405100</v>
      </c>
    </row>
    <row r="17376" spans="20:23" ht="13.5" thickBot="1" x14ac:dyDescent="0.25">
      <c r="T17376" s="28">
        <v>23405101</v>
      </c>
      <c r="U17376" s="29" t="s">
        <v>446</v>
      </c>
      <c r="V17376" s="30">
        <v>1410000</v>
      </c>
      <c r="W17376" s="28">
        <v>23405101</v>
      </c>
    </row>
    <row r="17377" spans="20:23" ht="24.75" thickBot="1" x14ac:dyDescent="0.25">
      <c r="T17377" s="28">
        <v>23405102</v>
      </c>
      <c r="U17377" s="29" t="s">
        <v>85</v>
      </c>
      <c r="V17377" s="30">
        <v>541000</v>
      </c>
      <c r="W17377" s="28">
        <v>23405102</v>
      </c>
    </row>
    <row r="17378" spans="20:23" ht="13.5" thickBot="1" x14ac:dyDescent="0.25">
      <c r="T17378" s="28">
        <v>23405103</v>
      </c>
      <c r="U17378" s="29" t="s">
        <v>86</v>
      </c>
      <c r="V17378" s="30">
        <v>878000</v>
      </c>
      <c r="W17378" s="28">
        <v>23405103</v>
      </c>
    </row>
    <row r="17379" spans="20:23" ht="24.75" thickBot="1" x14ac:dyDescent="0.25">
      <c r="T17379" s="28">
        <v>23405104</v>
      </c>
      <c r="U17379" s="29" t="s">
        <v>87</v>
      </c>
      <c r="V17379" s="30">
        <v>455000</v>
      </c>
      <c r="W17379" s="28">
        <v>23405104</v>
      </c>
    </row>
    <row r="17380" spans="20:23" ht="24.75" thickBot="1" x14ac:dyDescent="0.25">
      <c r="T17380" s="28">
        <v>23405105</v>
      </c>
      <c r="U17380" s="29" t="s">
        <v>447</v>
      </c>
      <c r="V17380" s="30">
        <v>1240000</v>
      </c>
      <c r="W17380" s="28">
        <v>23405105</v>
      </c>
    </row>
    <row r="17381" spans="20:23" ht="13.5" thickBot="1" x14ac:dyDescent="0.25">
      <c r="T17381" s="28">
        <v>23405106</v>
      </c>
      <c r="U17381" s="29" t="s">
        <v>88</v>
      </c>
      <c r="V17381" s="30">
        <v>878000</v>
      </c>
      <c r="W17381" s="28">
        <v>23405106</v>
      </c>
    </row>
    <row r="17382" spans="20:23" ht="24.75" thickBot="1" x14ac:dyDescent="0.25">
      <c r="T17382" s="28">
        <v>23405107</v>
      </c>
      <c r="U17382" s="29" t="s">
        <v>448</v>
      </c>
      <c r="V17382" s="30">
        <v>541000</v>
      </c>
      <c r="W17382" s="28">
        <v>23405107</v>
      </c>
    </row>
    <row r="17383" spans="20:23" ht="24.75" thickBot="1" x14ac:dyDescent="0.25">
      <c r="T17383" s="28">
        <v>23405108</v>
      </c>
      <c r="U17383" s="29" t="s">
        <v>449</v>
      </c>
      <c r="V17383" s="30">
        <v>991000</v>
      </c>
      <c r="W17383" s="28">
        <v>23405108</v>
      </c>
    </row>
    <row r="17384" spans="20:23" ht="13.5" thickBot="1" x14ac:dyDescent="0.25">
      <c r="T17384" s="28">
        <v>23405109</v>
      </c>
      <c r="U17384" s="29" t="s">
        <v>450</v>
      </c>
      <c r="V17384" s="30">
        <v>878000</v>
      </c>
      <c r="W17384" s="28">
        <v>23405109</v>
      </c>
    </row>
    <row r="17385" spans="20:23" ht="24.75" thickBot="1" x14ac:dyDescent="0.25">
      <c r="T17385" s="28">
        <v>23405110</v>
      </c>
      <c r="U17385" s="29" t="s">
        <v>451</v>
      </c>
      <c r="V17385" s="30">
        <v>19900000</v>
      </c>
      <c r="W17385" s="28">
        <v>23405110</v>
      </c>
    </row>
    <row r="17386" spans="20:23" ht="24.75" thickBot="1" x14ac:dyDescent="0.25">
      <c r="T17386" s="28">
        <v>23405111</v>
      </c>
      <c r="U17386" s="29" t="s">
        <v>452</v>
      </c>
      <c r="V17386" s="30">
        <v>712000</v>
      </c>
      <c r="W17386" s="28">
        <v>23405111</v>
      </c>
    </row>
    <row r="17387" spans="20:23" ht="13.5" thickBot="1" x14ac:dyDescent="0.25">
      <c r="T17387" s="28">
        <v>23405112</v>
      </c>
      <c r="U17387" s="29" t="s">
        <v>71</v>
      </c>
      <c r="V17387" s="30">
        <v>712000</v>
      </c>
      <c r="W17387" s="28">
        <v>23405112</v>
      </c>
    </row>
    <row r="17388" spans="20:23" ht="24.75" thickBot="1" x14ac:dyDescent="0.25">
      <c r="T17388" s="28">
        <v>23405113</v>
      </c>
      <c r="U17388" s="29" t="s">
        <v>462</v>
      </c>
      <c r="V17388" s="30">
        <v>13700000</v>
      </c>
      <c r="W17388" s="28">
        <v>23405113</v>
      </c>
    </row>
    <row r="17389" spans="20:23" ht="13.5" thickBot="1" x14ac:dyDescent="0.25">
      <c r="T17389" s="28">
        <v>23405114</v>
      </c>
      <c r="U17389" s="29" t="s">
        <v>463</v>
      </c>
      <c r="V17389" s="30">
        <v>13700000</v>
      </c>
      <c r="W17389" s="28">
        <v>23405114</v>
      </c>
    </row>
    <row r="17390" spans="20:23" ht="24.75" thickBot="1" x14ac:dyDescent="0.25">
      <c r="T17390" s="28">
        <v>23405115</v>
      </c>
      <c r="U17390" s="29" t="s">
        <v>464</v>
      </c>
      <c r="V17390" s="30">
        <v>12300000</v>
      </c>
      <c r="W17390" s="28">
        <v>23405115</v>
      </c>
    </row>
    <row r="17391" spans="20:23" ht="24.75" thickBot="1" x14ac:dyDescent="0.25">
      <c r="T17391" s="28">
        <v>23405116</v>
      </c>
      <c r="U17391" s="29" t="s">
        <v>101</v>
      </c>
      <c r="V17391" s="30">
        <v>15200000</v>
      </c>
      <c r="W17391" s="28">
        <v>23405116</v>
      </c>
    </row>
    <row r="17392" spans="20:23" ht="13.5" thickBot="1" x14ac:dyDescent="0.25">
      <c r="T17392" s="28">
        <v>23405117</v>
      </c>
      <c r="U17392" s="29" t="s">
        <v>93</v>
      </c>
      <c r="V17392" s="30">
        <v>9080000</v>
      </c>
      <c r="W17392" s="28">
        <v>23405117</v>
      </c>
    </row>
    <row r="17393" spans="20:23" ht="13.5" thickBot="1" x14ac:dyDescent="0.25">
      <c r="T17393" s="28">
        <v>23405118</v>
      </c>
      <c r="U17393" s="29" t="s">
        <v>465</v>
      </c>
      <c r="V17393" s="30">
        <v>10200000</v>
      </c>
      <c r="W17393" s="28">
        <v>23405118</v>
      </c>
    </row>
    <row r="17394" spans="20:23" ht="13.5" thickBot="1" x14ac:dyDescent="0.25">
      <c r="T17394" s="28">
        <v>23405119</v>
      </c>
      <c r="U17394" s="29" t="s">
        <v>102</v>
      </c>
      <c r="V17394" s="30">
        <v>9080000</v>
      </c>
      <c r="W17394" s="28">
        <v>23405119</v>
      </c>
    </row>
    <row r="17395" spans="20:23" ht="24.75" thickBot="1" x14ac:dyDescent="0.25">
      <c r="T17395" s="28">
        <v>23405120</v>
      </c>
      <c r="U17395" s="29" t="s">
        <v>466</v>
      </c>
      <c r="V17395" s="30">
        <v>18100000</v>
      </c>
      <c r="W17395" s="28">
        <v>23405120</v>
      </c>
    </row>
    <row r="17396" spans="20:23" ht="24.75" thickBot="1" x14ac:dyDescent="0.25">
      <c r="T17396" s="28">
        <v>23405121</v>
      </c>
      <c r="U17396" s="29" t="s">
        <v>467</v>
      </c>
      <c r="V17396" s="30">
        <v>12300000</v>
      </c>
      <c r="W17396" s="28">
        <v>23405121</v>
      </c>
    </row>
    <row r="17397" spans="20:23" ht="13.5" thickBot="1" x14ac:dyDescent="0.25">
      <c r="T17397" s="28">
        <v>23405122</v>
      </c>
      <c r="U17397" s="29" t="s">
        <v>43</v>
      </c>
      <c r="V17397" s="30">
        <v>56300</v>
      </c>
      <c r="W17397" s="28">
        <v>23405122</v>
      </c>
    </row>
    <row r="17398" spans="20:23" ht="13.5" thickBot="1" x14ac:dyDescent="0.25">
      <c r="T17398" s="28">
        <v>23405123</v>
      </c>
      <c r="U17398" s="29" t="s">
        <v>30</v>
      </c>
      <c r="V17398" s="30">
        <v>38600</v>
      </c>
      <c r="W17398" s="28">
        <v>23405123</v>
      </c>
    </row>
    <row r="17399" spans="20:23" ht="13.5" thickBot="1" x14ac:dyDescent="0.25">
      <c r="T17399" s="28">
        <v>23405124</v>
      </c>
      <c r="U17399" s="29" t="s">
        <v>95</v>
      </c>
      <c r="V17399" s="30">
        <v>8060000</v>
      </c>
      <c r="W17399" s="28">
        <v>23405124</v>
      </c>
    </row>
    <row r="17400" spans="20:23" ht="13.5" thickBot="1" x14ac:dyDescent="0.25">
      <c r="T17400" s="28">
        <v>23405125</v>
      </c>
      <c r="U17400" s="29" t="s">
        <v>65</v>
      </c>
      <c r="V17400" s="30">
        <v>80500</v>
      </c>
      <c r="W17400" s="28">
        <v>23405125</v>
      </c>
    </row>
    <row r="17401" spans="20:23" ht="24.75" thickBot="1" x14ac:dyDescent="0.25">
      <c r="T17401" s="28">
        <v>23405126</v>
      </c>
      <c r="U17401" s="29" t="s">
        <v>468</v>
      </c>
      <c r="V17401" s="30">
        <v>9080000</v>
      </c>
      <c r="W17401" s="28">
        <v>23405126</v>
      </c>
    </row>
    <row r="17402" spans="20:23" ht="13.5" thickBot="1" x14ac:dyDescent="0.25">
      <c r="T17402" s="28">
        <v>23405127</v>
      </c>
      <c r="U17402" s="29" t="s">
        <v>105</v>
      </c>
      <c r="V17402" s="30">
        <v>8060000</v>
      </c>
      <c r="W17402" s="28">
        <v>23405127</v>
      </c>
    </row>
    <row r="17403" spans="20:23" ht="13.5" thickBot="1" x14ac:dyDescent="0.25">
      <c r="T17403" s="28">
        <v>23405128</v>
      </c>
      <c r="U17403" s="29" t="s">
        <v>106</v>
      </c>
      <c r="V17403" s="30">
        <v>15200000</v>
      </c>
      <c r="W17403" s="28">
        <v>23405128</v>
      </c>
    </row>
    <row r="17404" spans="20:23" ht="13.5" thickBot="1" x14ac:dyDescent="0.25">
      <c r="T17404" s="28">
        <v>23405129</v>
      </c>
      <c r="U17404" s="29" t="s">
        <v>469</v>
      </c>
      <c r="V17404" s="30">
        <v>15200000</v>
      </c>
      <c r="W17404" s="28">
        <v>23405129</v>
      </c>
    </row>
    <row r="17405" spans="20:23" ht="13.5" thickBot="1" x14ac:dyDescent="0.25">
      <c r="T17405" s="28">
        <v>23405130</v>
      </c>
      <c r="U17405" s="29" t="s">
        <v>470</v>
      </c>
      <c r="V17405" s="30">
        <v>12300000</v>
      </c>
      <c r="W17405" s="28">
        <v>23405130</v>
      </c>
    </row>
    <row r="17406" spans="20:23" ht="13.5" thickBot="1" x14ac:dyDescent="0.25">
      <c r="T17406" s="28">
        <v>23405131</v>
      </c>
      <c r="U17406" s="29" t="s">
        <v>96</v>
      </c>
      <c r="V17406" s="30">
        <v>645000</v>
      </c>
      <c r="W17406" s="28">
        <v>23405131</v>
      </c>
    </row>
    <row r="17407" spans="20:23" ht="13.5" thickBot="1" x14ac:dyDescent="0.25">
      <c r="T17407" s="28">
        <v>23405132</v>
      </c>
      <c r="U17407" s="29" t="s">
        <v>453</v>
      </c>
      <c r="V17407" s="30">
        <v>1240000</v>
      </c>
      <c r="W17407" s="28">
        <v>23405132</v>
      </c>
    </row>
    <row r="17408" spans="20:23" ht="13.5" thickBot="1" x14ac:dyDescent="0.25">
      <c r="T17408" s="28">
        <v>23405133</v>
      </c>
      <c r="U17408" s="29" t="s">
        <v>78</v>
      </c>
      <c r="V17408" s="30">
        <v>455000</v>
      </c>
      <c r="W17408" s="28">
        <v>23405133</v>
      </c>
    </row>
    <row r="17409" spans="20:23" ht="13.5" thickBot="1" x14ac:dyDescent="0.25">
      <c r="T17409" s="28">
        <v>23405134</v>
      </c>
      <c r="U17409" s="29" t="s">
        <v>471</v>
      </c>
      <c r="V17409" s="30">
        <v>19900000</v>
      </c>
      <c r="W17409" s="28">
        <v>23405134</v>
      </c>
    </row>
    <row r="17410" spans="20:23" ht="13.5" thickBot="1" x14ac:dyDescent="0.25">
      <c r="T17410" s="28">
        <v>23405135</v>
      </c>
      <c r="U17410" s="29" t="s">
        <v>454</v>
      </c>
      <c r="V17410" s="30">
        <v>712000</v>
      </c>
      <c r="W17410" s="28">
        <v>23405135</v>
      </c>
    </row>
    <row r="17411" spans="20:23" ht="13.5" thickBot="1" x14ac:dyDescent="0.25">
      <c r="T17411" s="28">
        <v>23405136</v>
      </c>
      <c r="U17411" s="29" t="s">
        <v>472</v>
      </c>
      <c r="V17411" s="30">
        <v>10200000</v>
      </c>
      <c r="W17411" s="28">
        <v>23405136</v>
      </c>
    </row>
    <row r="17412" spans="20:23" ht="24.75" thickBot="1" x14ac:dyDescent="0.25">
      <c r="T17412" s="28">
        <v>23405137</v>
      </c>
      <c r="U17412" s="29" t="s">
        <v>1402</v>
      </c>
      <c r="V17412" s="30">
        <v>1190</v>
      </c>
      <c r="W17412" s="28">
        <v>23405137</v>
      </c>
    </row>
    <row r="17413" spans="20:23" ht="13.5" thickBot="1" x14ac:dyDescent="0.25">
      <c r="T17413" s="28">
        <v>23405191</v>
      </c>
      <c r="U17413" s="29" t="s">
        <v>4296</v>
      </c>
      <c r="V17413" s="30">
        <v>18100000</v>
      </c>
      <c r="W17413" s="28">
        <v>23405191</v>
      </c>
    </row>
    <row r="17414" spans="20:23" ht="13.5" thickBot="1" x14ac:dyDescent="0.25">
      <c r="T17414" s="28">
        <v>23405205</v>
      </c>
      <c r="U17414" s="29" t="s">
        <v>4297</v>
      </c>
      <c r="V17414" s="30">
        <v>1410000</v>
      </c>
      <c r="W17414" s="28">
        <v>23405205</v>
      </c>
    </row>
    <row r="17415" spans="20:23" ht="13.5" thickBot="1" x14ac:dyDescent="0.25">
      <c r="T17415" s="28">
        <v>23405206</v>
      </c>
      <c r="U17415" s="29" t="s">
        <v>4298</v>
      </c>
      <c r="V17415" s="30">
        <v>13700000</v>
      </c>
      <c r="W17415" s="28">
        <v>23405206</v>
      </c>
    </row>
    <row r="17416" spans="20:23" ht="13.5" thickBot="1" x14ac:dyDescent="0.25">
      <c r="T17416" s="28">
        <v>23405207</v>
      </c>
      <c r="U17416" s="29" t="s">
        <v>55</v>
      </c>
      <c r="V17416" s="30">
        <v>514000</v>
      </c>
      <c r="W17416" s="28">
        <v>23405207</v>
      </c>
    </row>
    <row r="17417" spans="20:23" ht="13.5" thickBot="1" x14ac:dyDescent="0.25">
      <c r="T17417" s="28">
        <v>23405208</v>
      </c>
      <c r="U17417" s="29" t="s">
        <v>1609</v>
      </c>
      <c r="V17417" s="30">
        <v>80500</v>
      </c>
      <c r="W17417" s="28">
        <v>23405208</v>
      </c>
    </row>
    <row r="17418" spans="20:23" ht="13.5" thickBot="1" x14ac:dyDescent="0.25">
      <c r="T17418" s="28">
        <v>23405209</v>
      </c>
      <c r="U17418" s="29" t="s">
        <v>1610</v>
      </c>
      <c r="V17418" s="30">
        <v>92700</v>
      </c>
      <c r="W17418" s="28">
        <v>23405209</v>
      </c>
    </row>
    <row r="17419" spans="20:23" ht="13.5" thickBot="1" x14ac:dyDescent="0.25">
      <c r="T17419" s="28">
        <v>23405210</v>
      </c>
      <c r="U17419" s="29" t="s">
        <v>1611</v>
      </c>
      <c r="V17419" s="30">
        <v>415000</v>
      </c>
      <c r="W17419" s="28">
        <v>23405210</v>
      </c>
    </row>
    <row r="17420" spans="20:23" ht="24.75" thickBot="1" x14ac:dyDescent="0.25">
      <c r="T17420" s="28">
        <v>23405211</v>
      </c>
      <c r="U17420" s="29" t="s">
        <v>4299</v>
      </c>
      <c r="V17420" s="30">
        <v>12300000</v>
      </c>
      <c r="W17420" s="28">
        <v>23405211</v>
      </c>
    </row>
    <row r="17421" spans="20:23" ht="24.75" thickBot="1" x14ac:dyDescent="0.25">
      <c r="T17421" s="28">
        <v>23405212</v>
      </c>
      <c r="U17421" s="29" t="s">
        <v>1464</v>
      </c>
      <c r="V17421" s="30">
        <v>1190</v>
      </c>
      <c r="W17421" s="28">
        <v>23405212</v>
      </c>
    </row>
    <row r="17422" spans="20:23" ht="24.75" thickBot="1" x14ac:dyDescent="0.25">
      <c r="T17422" s="28">
        <v>23409999</v>
      </c>
      <c r="U17422" s="29" t="s">
        <v>1299</v>
      </c>
      <c r="V17422" s="30">
        <v>1330</v>
      </c>
      <c r="W17422" s="28">
        <v>23409999</v>
      </c>
    </row>
    <row r="17423" spans="20:23" ht="24.75" thickBot="1" x14ac:dyDescent="0.25">
      <c r="T17423" s="28">
        <v>23410000</v>
      </c>
      <c r="U17423" s="29" t="s">
        <v>126</v>
      </c>
      <c r="V17423" s="30">
        <v>9910</v>
      </c>
      <c r="W17423" s="28">
        <v>23410000</v>
      </c>
    </row>
    <row r="17424" spans="20:23" ht="24.75" thickBot="1" x14ac:dyDescent="0.25">
      <c r="T17424" s="28">
        <v>23410001</v>
      </c>
      <c r="U17424" s="29" t="s">
        <v>127</v>
      </c>
      <c r="V17424" s="30">
        <v>60400</v>
      </c>
      <c r="W17424" s="28">
        <v>23410001</v>
      </c>
    </row>
    <row r="17425" spans="20:23" ht="24.75" thickBot="1" x14ac:dyDescent="0.25">
      <c r="T17425" s="28">
        <v>23410002</v>
      </c>
      <c r="U17425" s="29" t="s">
        <v>1105</v>
      </c>
      <c r="V17425" s="30">
        <v>262000</v>
      </c>
      <c r="W17425" s="28">
        <v>23410002</v>
      </c>
    </row>
    <row r="17426" spans="20:23" ht="24.75" thickBot="1" x14ac:dyDescent="0.25">
      <c r="T17426" s="28">
        <v>23410003</v>
      </c>
      <c r="U17426" s="29" t="s">
        <v>1106</v>
      </c>
      <c r="V17426" s="30">
        <v>1190000</v>
      </c>
      <c r="W17426" s="28">
        <v>23410003</v>
      </c>
    </row>
    <row r="17427" spans="20:23" ht="24.75" thickBot="1" x14ac:dyDescent="0.25">
      <c r="T17427" s="28">
        <v>23411001</v>
      </c>
      <c r="U17427" s="29" t="s">
        <v>128</v>
      </c>
      <c r="V17427" s="30">
        <v>80000</v>
      </c>
      <c r="W17427" s="28">
        <v>23411001</v>
      </c>
    </row>
    <row r="17428" spans="20:23" ht="24.75" thickBot="1" x14ac:dyDescent="0.25">
      <c r="T17428" s="28">
        <v>23411002</v>
      </c>
      <c r="U17428" s="29" t="s">
        <v>129</v>
      </c>
      <c r="V17428" s="30">
        <v>400000</v>
      </c>
      <c r="W17428" s="28">
        <v>23411002</v>
      </c>
    </row>
    <row r="17429" spans="20:23" ht="24.75" thickBot="1" x14ac:dyDescent="0.25">
      <c r="T17429" s="28">
        <v>23411003</v>
      </c>
      <c r="U17429" s="29" t="s">
        <v>130</v>
      </c>
      <c r="V17429" s="30">
        <v>4000000</v>
      </c>
      <c r="W17429" s="28">
        <v>23411003</v>
      </c>
    </row>
    <row r="17430" spans="20:23" ht="24.75" thickBot="1" x14ac:dyDescent="0.25">
      <c r="T17430" s="28">
        <v>23411004</v>
      </c>
      <c r="U17430" s="29" t="s">
        <v>131</v>
      </c>
      <c r="V17430" s="30">
        <v>20000000</v>
      </c>
      <c r="W17430" s="28">
        <v>23411004</v>
      </c>
    </row>
    <row r="17431" spans="20:23" ht="24.75" thickBot="1" x14ac:dyDescent="0.25">
      <c r="T17431" s="28">
        <v>23413001</v>
      </c>
      <c r="U17431" s="29" t="s">
        <v>4300</v>
      </c>
      <c r="V17431" s="30">
        <v>1000000</v>
      </c>
      <c r="W17431" s="28">
        <v>23413001</v>
      </c>
    </row>
    <row r="17432" spans="20:23" ht="24.75" thickBot="1" x14ac:dyDescent="0.25">
      <c r="T17432" s="28">
        <v>23413002</v>
      </c>
      <c r="U17432" s="29" t="s">
        <v>4301</v>
      </c>
      <c r="V17432" s="30">
        <v>1000000</v>
      </c>
      <c r="W17432" s="28">
        <v>23413002</v>
      </c>
    </row>
    <row r="17433" spans="20:23" ht="24.75" thickBot="1" x14ac:dyDescent="0.25">
      <c r="T17433" s="28">
        <v>23413003</v>
      </c>
      <c r="U17433" s="29" t="s">
        <v>4302</v>
      </c>
      <c r="V17433" s="30">
        <v>1000000</v>
      </c>
      <c r="W17433" s="28">
        <v>23413003</v>
      </c>
    </row>
    <row r="17434" spans="20:23" ht="24.75" thickBot="1" x14ac:dyDescent="0.25">
      <c r="T17434" s="28">
        <v>23413004</v>
      </c>
      <c r="U17434" s="29" t="s">
        <v>4303</v>
      </c>
      <c r="V17434" s="30">
        <v>1000000</v>
      </c>
      <c r="W17434" s="28">
        <v>23413004</v>
      </c>
    </row>
    <row r="17435" spans="20:23" ht="24.75" thickBot="1" x14ac:dyDescent="0.25">
      <c r="T17435" s="28">
        <v>23413005</v>
      </c>
      <c r="U17435" s="29" t="s">
        <v>4304</v>
      </c>
      <c r="V17435" s="30">
        <v>1000000</v>
      </c>
      <c r="W17435" s="28">
        <v>23413005</v>
      </c>
    </row>
    <row r="17436" spans="20:23" ht="24.75" thickBot="1" x14ac:dyDescent="0.25">
      <c r="T17436" s="28">
        <v>23413006</v>
      </c>
      <c r="U17436" s="29" t="s">
        <v>4305</v>
      </c>
      <c r="V17436" s="30">
        <v>1000000</v>
      </c>
      <c r="W17436" s="28">
        <v>23413006</v>
      </c>
    </row>
    <row r="17437" spans="20:23" ht="24.75" thickBot="1" x14ac:dyDescent="0.25">
      <c r="T17437" s="28">
        <v>23413007</v>
      </c>
      <c r="U17437" s="29" t="s">
        <v>4306</v>
      </c>
      <c r="V17437" s="30">
        <v>1000000</v>
      </c>
      <c r="W17437" s="28">
        <v>23413007</v>
      </c>
    </row>
    <row r="17438" spans="20:23" ht="24.75" thickBot="1" x14ac:dyDescent="0.25">
      <c r="T17438" s="28">
        <v>23413008</v>
      </c>
      <c r="U17438" s="29" t="s">
        <v>4307</v>
      </c>
      <c r="V17438" s="30">
        <v>1000000</v>
      </c>
      <c r="W17438" s="28">
        <v>23413008</v>
      </c>
    </row>
    <row r="17439" spans="20:23" ht="24.75" thickBot="1" x14ac:dyDescent="0.25">
      <c r="T17439" s="28">
        <v>23413009</v>
      </c>
      <c r="U17439" s="29" t="s">
        <v>4308</v>
      </c>
      <c r="V17439" s="30">
        <v>1000000</v>
      </c>
      <c r="W17439" s="28">
        <v>23413009</v>
      </c>
    </row>
    <row r="17440" spans="20:23" ht="13.5" thickBot="1" x14ac:dyDescent="0.25">
      <c r="T17440" s="28">
        <v>23413010</v>
      </c>
      <c r="U17440" s="29" t="s">
        <v>4309</v>
      </c>
      <c r="V17440" s="30">
        <v>1000000</v>
      </c>
      <c r="W17440" s="28">
        <v>23413010</v>
      </c>
    </row>
    <row r="17441" spans="20:23" ht="13.5" thickBot="1" x14ac:dyDescent="0.25">
      <c r="T17441" s="28">
        <v>23413011</v>
      </c>
      <c r="U17441" s="29" t="s">
        <v>4310</v>
      </c>
      <c r="V17441" s="30">
        <v>1000000</v>
      </c>
      <c r="W17441" s="28">
        <v>23413011</v>
      </c>
    </row>
    <row r="17442" spans="20:23" ht="24.75" thickBot="1" x14ac:dyDescent="0.25">
      <c r="T17442" s="28">
        <v>23413012</v>
      </c>
      <c r="U17442" s="29" t="s">
        <v>4311</v>
      </c>
      <c r="V17442" s="30">
        <v>1000000</v>
      </c>
      <c r="W17442" s="28">
        <v>23413012</v>
      </c>
    </row>
    <row r="17443" spans="20:23" ht="13.5" thickBot="1" x14ac:dyDescent="0.25">
      <c r="T17443" s="28">
        <v>23413013</v>
      </c>
      <c r="U17443" s="29" t="s">
        <v>4312</v>
      </c>
      <c r="V17443" s="30">
        <v>1000000</v>
      </c>
      <c r="W17443" s="28">
        <v>23413013</v>
      </c>
    </row>
    <row r="17444" spans="20:23" ht="13.5" thickBot="1" x14ac:dyDescent="0.25">
      <c r="T17444" s="28">
        <v>23413014</v>
      </c>
      <c r="U17444" s="29" t="s">
        <v>4313</v>
      </c>
      <c r="V17444" s="30">
        <v>1000000</v>
      </c>
      <c r="W17444" s="28">
        <v>23413014</v>
      </c>
    </row>
    <row r="17445" spans="20:23" ht="13.5" thickBot="1" x14ac:dyDescent="0.25">
      <c r="T17445" s="28">
        <v>23413015</v>
      </c>
      <c r="U17445" s="29" t="s">
        <v>4314</v>
      </c>
      <c r="V17445" s="30">
        <v>1000000</v>
      </c>
      <c r="W17445" s="28">
        <v>23413015</v>
      </c>
    </row>
    <row r="17446" spans="20:23" ht="13.5" thickBot="1" x14ac:dyDescent="0.25">
      <c r="T17446" s="28">
        <v>23413016</v>
      </c>
      <c r="U17446" s="29" t="s">
        <v>4315</v>
      </c>
      <c r="V17446" s="30">
        <v>1000000</v>
      </c>
      <c r="W17446" s="28">
        <v>23413016</v>
      </c>
    </row>
    <row r="17447" spans="20:23" ht="24.75" thickBot="1" x14ac:dyDescent="0.25">
      <c r="T17447" s="28">
        <v>23413017</v>
      </c>
      <c r="U17447" s="29" t="s">
        <v>4316</v>
      </c>
      <c r="V17447" s="30">
        <v>1000000</v>
      </c>
      <c r="W17447" s="28">
        <v>23413017</v>
      </c>
    </row>
    <row r="17448" spans="20:23" ht="24.75" thickBot="1" x14ac:dyDescent="0.25">
      <c r="T17448" s="28">
        <v>23413018</v>
      </c>
      <c r="U17448" s="29" t="s">
        <v>4317</v>
      </c>
      <c r="V17448" s="30">
        <v>1000000</v>
      </c>
      <c r="W17448" s="28">
        <v>23413018</v>
      </c>
    </row>
    <row r="17449" spans="20:23" ht="24.75" thickBot="1" x14ac:dyDescent="0.25">
      <c r="T17449" s="28">
        <v>23413019</v>
      </c>
      <c r="U17449" s="29" t="s">
        <v>4318</v>
      </c>
      <c r="V17449" s="30">
        <v>1000000</v>
      </c>
      <c r="W17449" s="28">
        <v>23413019</v>
      </c>
    </row>
    <row r="17450" spans="20:23" ht="24.75" thickBot="1" x14ac:dyDescent="0.25">
      <c r="T17450" s="28">
        <v>23413020</v>
      </c>
      <c r="U17450" s="29" t="s">
        <v>4319</v>
      </c>
      <c r="V17450" s="30">
        <v>1000000</v>
      </c>
      <c r="W17450" s="28">
        <v>23413020</v>
      </c>
    </row>
    <row r="17451" spans="20:23" ht="24.75" thickBot="1" x14ac:dyDescent="0.25">
      <c r="T17451" s="28">
        <v>23413021</v>
      </c>
      <c r="U17451" s="29" t="s">
        <v>4320</v>
      </c>
      <c r="V17451" s="30">
        <v>1000000</v>
      </c>
      <c r="W17451" s="28">
        <v>23413021</v>
      </c>
    </row>
    <row r="17452" spans="20:23" ht="24.75" thickBot="1" x14ac:dyDescent="0.25">
      <c r="T17452" s="28">
        <v>23413022</v>
      </c>
      <c r="U17452" s="29" t="s">
        <v>4321</v>
      </c>
      <c r="V17452" s="30">
        <v>1000000</v>
      </c>
      <c r="W17452" s="28">
        <v>23413022</v>
      </c>
    </row>
    <row r="17453" spans="20:23" ht="24.75" thickBot="1" x14ac:dyDescent="0.25">
      <c r="T17453" s="28">
        <v>23413023</v>
      </c>
      <c r="U17453" s="29" t="s">
        <v>4322</v>
      </c>
      <c r="V17453" s="30">
        <v>1000000</v>
      </c>
      <c r="W17453" s="28">
        <v>23413023</v>
      </c>
    </row>
    <row r="17454" spans="20:23" ht="13.5" thickBot="1" x14ac:dyDescent="0.25">
      <c r="T17454" s="28">
        <v>23413024</v>
      </c>
      <c r="U17454" s="29" t="s">
        <v>4323</v>
      </c>
      <c r="V17454" s="30">
        <v>1000000</v>
      </c>
      <c r="W17454" s="28">
        <v>23413024</v>
      </c>
    </row>
    <row r="17455" spans="20:23" ht="24.75" thickBot="1" x14ac:dyDescent="0.25">
      <c r="T17455" s="28">
        <v>23413025</v>
      </c>
      <c r="U17455" s="29" t="s">
        <v>4324</v>
      </c>
      <c r="V17455" s="30">
        <v>1000000</v>
      </c>
      <c r="W17455" s="28">
        <v>23413025</v>
      </c>
    </row>
    <row r="17456" spans="20:23" ht="24.75" thickBot="1" x14ac:dyDescent="0.25">
      <c r="T17456" s="28">
        <v>23413026</v>
      </c>
      <c r="U17456" s="29" t="s">
        <v>4325</v>
      </c>
      <c r="V17456" s="30">
        <v>1000000</v>
      </c>
      <c r="W17456" s="28">
        <v>23413026</v>
      </c>
    </row>
    <row r="17457" spans="20:23" ht="24.75" thickBot="1" x14ac:dyDescent="0.25">
      <c r="T17457" s="28">
        <v>23414001</v>
      </c>
      <c r="U17457" s="29" t="s">
        <v>381</v>
      </c>
      <c r="V17457" s="30">
        <v>1000000</v>
      </c>
      <c r="W17457" s="28">
        <v>23414001</v>
      </c>
    </row>
    <row r="17458" spans="20:23" ht="24.75" thickBot="1" x14ac:dyDescent="0.25">
      <c r="T17458" s="28">
        <v>23414002</v>
      </c>
      <c r="U17458" s="29" t="s">
        <v>382</v>
      </c>
      <c r="V17458" s="30">
        <v>1000000</v>
      </c>
      <c r="W17458" s="28">
        <v>23414002</v>
      </c>
    </row>
    <row r="17459" spans="20:23" ht="24.75" thickBot="1" x14ac:dyDescent="0.25">
      <c r="T17459" s="28">
        <v>23414003</v>
      </c>
      <c r="U17459" s="29" t="s">
        <v>383</v>
      </c>
      <c r="V17459" s="30">
        <v>1000000</v>
      </c>
      <c r="W17459" s="28">
        <v>23414003</v>
      </c>
    </row>
    <row r="17460" spans="20:23" ht="24.75" thickBot="1" x14ac:dyDescent="0.25">
      <c r="T17460" s="28">
        <v>23414004</v>
      </c>
      <c r="U17460" s="29" t="s">
        <v>384</v>
      </c>
      <c r="V17460" s="30">
        <v>1000000</v>
      </c>
      <c r="W17460" s="28">
        <v>23414004</v>
      </c>
    </row>
    <row r="17461" spans="20:23" ht="24.75" thickBot="1" x14ac:dyDescent="0.25">
      <c r="T17461" s="28">
        <v>23414005</v>
      </c>
      <c r="U17461" s="29" t="s">
        <v>385</v>
      </c>
      <c r="V17461" s="30">
        <v>1000000</v>
      </c>
      <c r="W17461" s="28">
        <v>23414005</v>
      </c>
    </row>
    <row r="17462" spans="20:23" ht="24.75" thickBot="1" x14ac:dyDescent="0.25">
      <c r="T17462" s="28">
        <v>23414006</v>
      </c>
      <c r="U17462" s="29" t="s">
        <v>386</v>
      </c>
      <c r="V17462" s="30">
        <v>1000000</v>
      </c>
      <c r="W17462" s="28">
        <v>23414006</v>
      </c>
    </row>
    <row r="17463" spans="20:23" ht="24.75" thickBot="1" x14ac:dyDescent="0.25">
      <c r="T17463" s="28">
        <v>23414007</v>
      </c>
      <c r="U17463" s="29" t="s">
        <v>387</v>
      </c>
      <c r="V17463" s="30">
        <v>1000000</v>
      </c>
      <c r="W17463" s="28">
        <v>23414007</v>
      </c>
    </row>
    <row r="17464" spans="20:23" ht="24.75" thickBot="1" x14ac:dyDescent="0.25">
      <c r="T17464" s="28">
        <v>23414008</v>
      </c>
      <c r="U17464" s="29" t="s">
        <v>388</v>
      </c>
      <c r="V17464" s="30">
        <v>1000000</v>
      </c>
      <c r="W17464" s="28">
        <v>23414008</v>
      </c>
    </row>
    <row r="17465" spans="20:23" ht="24.75" thickBot="1" x14ac:dyDescent="0.25">
      <c r="T17465" s="28">
        <v>23414009</v>
      </c>
      <c r="U17465" s="29" t="s">
        <v>389</v>
      </c>
      <c r="V17465" s="30">
        <v>1000000</v>
      </c>
      <c r="W17465" s="28">
        <v>23414009</v>
      </c>
    </row>
    <row r="17466" spans="20:23" ht="24.75" thickBot="1" x14ac:dyDescent="0.25">
      <c r="T17466" s="28">
        <v>23414010</v>
      </c>
      <c r="U17466" s="29" t="s">
        <v>390</v>
      </c>
      <c r="V17466" s="30">
        <v>1000000</v>
      </c>
      <c r="W17466" s="28">
        <v>23414010</v>
      </c>
    </row>
    <row r="17467" spans="20:23" ht="24.75" thickBot="1" x14ac:dyDescent="0.25">
      <c r="T17467" s="28">
        <v>23414011</v>
      </c>
      <c r="U17467" s="29" t="s">
        <v>391</v>
      </c>
      <c r="V17467" s="30">
        <v>1000000</v>
      </c>
      <c r="W17467" s="28">
        <v>23414011</v>
      </c>
    </row>
    <row r="17468" spans="20:23" ht="36.75" thickBot="1" x14ac:dyDescent="0.25">
      <c r="T17468" s="28">
        <v>23414012</v>
      </c>
      <c r="U17468" s="29" t="s">
        <v>392</v>
      </c>
      <c r="V17468" s="30">
        <v>1000000</v>
      </c>
      <c r="W17468" s="28">
        <v>23414012</v>
      </c>
    </row>
    <row r="17469" spans="20:23" ht="24.75" thickBot="1" x14ac:dyDescent="0.25">
      <c r="T17469" s="28">
        <v>23414013</v>
      </c>
      <c r="U17469" s="29" t="s">
        <v>393</v>
      </c>
      <c r="V17469" s="30">
        <v>1000000</v>
      </c>
      <c r="W17469" s="28">
        <v>23414013</v>
      </c>
    </row>
    <row r="17470" spans="20:23" ht="24.75" thickBot="1" x14ac:dyDescent="0.25">
      <c r="T17470" s="28">
        <v>23414014</v>
      </c>
      <c r="U17470" s="29" t="s">
        <v>394</v>
      </c>
      <c r="V17470" s="30">
        <v>1000000</v>
      </c>
      <c r="W17470" s="28">
        <v>23414014</v>
      </c>
    </row>
    <row r="17471" spans="20:23" ht="24.75" thickBot="1" x14ac:dyDescent="0.25">
      <c r="T17471" s="28">
        <v>23414015</v>
      </c>
      <c r="U17471" s="29" t="s">
        <v>395</v>
      </c>
      <c r="V17471" s="30">
        <v>1000000</v>
      </c>
      <c r="W17471" s="28">
        <v>23414015</v>
      </c>
    </row>
    <row r="17472" spans="20:23" ht="24.75" thickBot="1" x14ac:dyDescent="0.25">
      <c r="T17472" s="28">
        <v>23414016</v>
      </c>
      <c r="U17472" s="29" t="s">
        <v>396</v>
      </c>
      <c r="V17472" s="30">
        <v>1000000</v>
      </c>
      <c r="W17472" s="28">
        <v>23414016</v>
      </c>
    </row>
    <row r="17473" spans="20:23" ht="24.75" thickBot="1" x14ac:dyDescent="0.25">
      <c r="T17473" s="28">
        <v>23414017</v>
      </c>
      <c r="U17473" s="29" t="s">
        <v>397</v>
      </c>
      <c r="V17473" s="30">
        <v>1000000</v>
      </c>
      <c r="W17473" s="28">
        <v>23414017</v>
      </c>
    </row>
    <row r="17474" spans="20:23" ht="24.75" thickBot="1" x14ac:dyDescent="0.25">
      <c r="T17474" s="28">
        <v>23414018</v>
      </c>
      <c r="U17474" s="29" t="s">
        <v>398</v>
      </c>
      <c r="V17474" s="30">
        <v>1000000</v>
      </c>
      <c r="W17474" s="28">
        <v>23414018</v>
      </c>
    </row>
    <row r="17475" spans="20:23" ht="24.75" thickBot="1" x14ac:dyDescent="0.25">
      <c r="T17475" s="28">
        <v>23414019</v>
      </c>
      <c r="U17475" s="29" t="s">
        <v>399</v>
      </c>
      <c r="V17475" s="30">
        <v>1000000</v>
      </c>
      <c r="W17475" s="28">
        <v>23414019</v>
      </c>
    </row>
    <row r="17476" spans="20:23" ht="24.75" thickBot="1" x14ac:dyDescent="0.25">
      <c r="T17476" s="28">
        <v>23414020</v>
      </c>
      <c r="U17476" s="29" t="s">
        <v>400</v>
      </c>
      <c r="V17476" s="30">
        <v>1000000</v>
      </c>
      <c r="W17476" s="28">
        <v>23414020</v>
      </c>
    </row>
    <row r="17477" spans="20:23" ht="24.75" thickBot="1" x14ac:dyDescent="0.25">
      <c r="T17477" s="28">
        <v>23414021</v>
      </c>
      <c r="U17477" s="29" t="s">
        <v>401</v>
      </c>
      <c r="V17477" s="30">
        <v>1000000</v>
      </c>
      <c r="W17477" s="28">
        <v>23414021</v>
      </c>
    </row>
    <row r="17478" spans="20:23" ht="24.75" thickBot="1" x14ac:dyDescent="0.25">
      <c r="T17478" s="28">
        <v>23414022</v>
      </c>
      <c r="U17478" s="29" t="s">
        <v>402</v>
      </c>
      <c r="V17478" s="30">
        <v>1000000</v>
      </c>
      <c r="W17478" s="28">
        <v>23414022</v>
      </c>
    </row>
    <row r="17479" spans="20:23" ht="24.75" thickBot="1" x14ac:dyDescent="0.25">
      <c r="T17479" s="28">
        <v>23414023</v>
      </c>
      <c r="U17479" s="29" t="s">
        <v>403</v>
      </c>
      <c r="V17479" s="30">
        <v>1000000</v>
      </c>
      <c r="W17479" s="28">
        <v>23414023</v>
      </c>
    </row>
    <row r="17480" spans="20:23" ht="24.75" thickBot="1" x14ac:dyDescent="0.25">
      <c r="T17480" s="28">
        <v>23414024</v>
      </c>
      <c r="U17480" s="29" t="s">
        <v>404</v>
      </c>
      <c r="V17480" s="30">
        <v>1000000</v>
      </c>
      <c r="W17480" s="28">
        <v>23414024</v>
      </c>
    </row>
    <row r="17481" spans="20:23" ht="24.75" thickBot="1" x14ac:dyDescent="0.25">
      <c r="T17481" s="28">
        <v>23414025</v>
      </c>
      <c r="U17481" s="29" t="s">
        <v>405</v>
      </c>
      <c r="V17481" s="30">
        <v>1000000</v>
      </c>
      <c r="W17481" s="28">
        <v>23414025</v>
      </c>
    </row>
    <row r="17482" spans="20:23" ht="24.75" thickBot="1" x14ac:dyDescent="0.25">
      <c r="T17482" s="28">
        <v>23414026</v>
      </c>
      <c r="U17482" s="29" t="s">
        <v>318</v>
      </c>
      <c r="V17482" s="30">
        <v>200000</v>
      </c>
      <c r="W17482" s="28">
        <v>23414026</v>
      </c>
    </row>
    <row r="17483" spans="20:23" ht="24.75" thickBot="1" x14ac:dyDescent="0.25">
      <c r="T17483" s="28">
        <v>23414027</v>
      </c>
      <c r="U17483" s="29" t="s">
        <v>406</v>
      </c>
      <c r="V17483" s="30">
        <v>1000000</v>
      </c>
      <c r="W17483" s="28">
        <v>23414027</v>
      </c>
    </row>
    <row r="17484" spans="20:23" ht="24.75" thickBot="1" x14ac:dyDescent="0.25">
      <c r="T17484" s="28">
        <v>23414028</v>
      </c>
      <c r="U17484" s="29" t="s">
        <v>407</v>
      </c>
      <c r="V17484" s="30">
        <v>1000000</v>
      </c>
      <c r="W17484" s="28">
        <v>23414028</v>
      </c>
    </row>
    <row r="17485" spans="20:23" ht="24.75" thickBot="1" x14ac:dyDescent="0.25">
      <c r="T17485" s="28">
        <v>23414029</v>
      </c>
      <c r="U17485" s="29" t="s">
        <v>408</v>
      </c>
      <c r="V17485" s="30">
        <v>1000000</v>
      </c>
      <c r="W17485" s="28">
        <v>23414029</v>
      </c>
    </row>
    <row r="17486" spans="20:23" ht="24.75" thickBot="1" x14ac:dyDescent="0.25">
      <c r="T17486" s="28">
        <v>23414030</v>
      </c>
      <c r="U17486" s="29" t="s">
        <v>409</v>
      </c>
      <c r="V17486" s="30">
        <v>1000000</v>
      </c>
      <c r="W17486" s="28">
        <v>23414030</v>
      </c>
    </row>
    <row r="17487" spans="20:23" ht="13.5" thickBot="1" x14ac:dyDescent="0.25">
      <c r="T17487" s="28">
        <v>23414031</v>
      </c>
      <c r="U17487" s="29" t="s">
        <v>410</v>
      </c>
      <c r="V17487" s="30">
        <v>1000000</v>
      </c>
      <c r="W17487" s="28">
        <v>23414031</v>
      </c>
    </row>
    <row r="17488" spans="20:23" ht="36.75" thickBot="1" x14ac:dyDescent="0.25">
      <c r="T17488" s="28">
        <v>23414032</v>
      </c>
      <c r="U17488" s="29" t="s">
        <v>411</v>
      </c>
      <c r="V17488" s="30">
        <v>1000000</v>
      </c>
      <c r="W17488" s="28">
        <v>23414032</v>
      </c>
    </row>
    <row r="17489" spans="20:23" ht="24.75" thickBot="1" x14ac:dyDescent="0.25">
      <c r="T17489" s="28">
        <v>23414033</v>
      </c>
      <c r="U17489" s="29" t="s">
        <v>319</v>
      </c>
      <c r="V17489" s="30">
        <v>200000</v>
      </c>
      <c r="W17489" s="28">
        <v>23414033</v>
      </c>
    </row>
    <row r="17490" spans="20:23" ht="13.5" thickBot="1" x14ac:dyDescent="0.25">
      <c r="T17490" s="28">
        <v>23414034</v>
      </c>
      <c r="U17490" s="29" t="s">
        <v>412</v>
      </c>
      <c r="V17490" s="30">
        <v>1000000</v>
      </c>
      <c r="W17490" s="28">
        <v>23414034</v>
      </c>
    </row>
    <row r="17491" spans="20:23" ht="24.75" thickBot="1" x14ac:dyDescent="0.25">
      <c r="T17491" s="28">
        <v>23414035</v>
      </c>
      <c r="U17491" s="29" t="s">
        <v>320</v>
      </c>
      <c r="V17491" s="30">
        <v>200000</v>
      </c>
      <c r="W17491" s="28">
        <v>23414035</v>
      </c>
    </row>
    <row r="17492" spans="20:23" ht="24.75" thickBot="1" x14ac:dyDescent="0.25">
      <c r="T17492" s="28">
        <v>23414036</v>
      </c>
      <c r="U17492" s="29" t="s">
        <v>321</v>
      </c>
      <c r="V17492" s="30">
        <v>200000</v>
      </c>
      <c r="W17492" s="28">
        <v>23414036</v>
      </c>
    </row>
    <row r="17493" spans="20:23" ht="24.75" thickBot="1" x14ac:dyDescent="0.25">
      <c r="T17493" s="28">
        <v>23414037</v>
      </c>
      <c r="U17493" s="29" t="s">
        <v>322</v>
      </c>
      <c r="V17493" s="30">
        <v>200000</v>
      </c>
      <c r="W17493" s="28">
        <v>23414037</v>
      </c>
    </row>
    <row r="17494" spans="20:23" ht="24.75" thickBot="1" x14ac:dyDescent="0.25">
      <c r="T17494" s="28">
        <v>23414038</v>
      </c>
      <c r="U17494" s="29" t="s">
        <v>323</v>
      </c>
      <c r="V17494" s="30">
        <v>200000</v>
      </c>
      <c r="W17494" s="28">
        <v>23414038</v>
      </c>
    </row>
    <row r="17495" spans="20:23" ht="24.75" thickBot="1" x14ac:dyDescent="0.25">
      <c r="T17495" s="28">
        <v>23414039</v>
      </c>
      <c r="U17495" s="29" t="s">
        <v>324</v>
      </c>
      <c r="V17495" s="30">
        <v>200000</v>
      </c>
      <c r="W17495" s="28">
        <v>23414039</v>
      </c>
    </row>
    <row r="17496" spans="20:23" ht="13.5" thickBot="1" x14ac:dyDescent="0.25">
      <c r="T17496" s="28">
        <v>23414040</v>
      </c>
      <c r="U17496" s="29" t="s">
        <v>325</v>
      </c>
      <c r="V17496" s="30">
        <v>200000</v>
      </c>
      <c r="W17496" s="28">
        <v>23414040</v>
      </c>
    </row>
    <row r="17497" spans="20:23" ht="24.75" thickBot="1" x14ac:dyDescent="0.25">
      <c r="T17497" s="28">
        <v>23414041</v>
      </c>
      <c r="U17497" s="29" t="s">
        <v>326</v>
      </c>
      <c r="V17497" s="30">
        <v>200000</v>
      </c>
      <c r="W17497" s="28">
        <v>23414041</v>
      </c>
    </row>
    <row r="17498" spans="20:23" ht="24.75" thickBot="1" x14ac:dyDescent="0.25">
      <c r="T17498" s="28">
        <v>23414042</v>
      </c>
      <c r="U17498" s="29" t="s">
        <v>327</v>
      </c>
      <c r="V17498" s="30">
        <v>200000</v>
      </c>
      <c r="W17498" s="28">
        <v>23414042</v>
      </c>
    </row>
    <row r="17499" spans="20:23" ht="24.75" thickBot="1" x14ac:dyDescent="0.25">
      <c r="T17499" s="28">
        <v>23414043</v>
      </c>
      <c r="U17499" s="29" t="s">
        <v>328</v>
      </c>
      <c r="V17499" s="30">
        <v>200000</v>
      </c>
      <c r="W17499" s="28">
        <v>23414043</v>
      </c>
    </row>
    <row r="17500" spans="20:23" ht="24.75" thickBot="1" x14ac:dyDescent="0.25">
      <c r="T17500" s="28">
        <v>23414044</v>
      </c>
      <c r="U17500" s="29" t="s">
        <v>329</v>
      </c>
      <c r="V17500" s="30">
        <v>200000</v>
      </c>
      <c r="W17500" s="28">
        <v>23414044</v>
      </c>
    </row>
    <row r="17501" spans="20:23" ht="13.5" thickBot="1" x14ac:dyDescent="0.25">
      <c r="T17501" s="28">
        <v>23414045</v>
      </c>
      <c r="U17501" s="29" t="s">
        <v>330</v>
      </c>
      <c r="V17501" s="30">
        <v>200000</v>
      </c>
      <c r="W17501" s="28">
        <v>23414045</v>
      </c>
    </row>
    <row r="17502" spans="20:23" ht="13.5" thickBot="1" x14ac:dyDescent="0.25">
      <c r="T17502" s="28">
        <v>23414046</v>
      </c>
      <c r="U17502" s="29" t="s">
        <v>413</v>
      </c>
      <c r="V17502" s="30">
        <v>1000000</v>
      </c>
      <c r="W17502" s="28">
        <v>23414046</v>
      </c>
    </row>
    <row r="17503" spans="20:23" ht="24.75" thickBot="1" x14ac:dyDescent="0.25">
      <c r="T17503" s="28">
        <v>23414047</v>
      </c>
      <c r="U17503" s="29" t="s">
        <v>331</v>
      </c>
      <c r="V17503" s="30">
        <v>200000</v>
      </c>
      <c r="W17503" s="28">
        <v>23414047</v>
      </c>
    </row>
    <row r="17504" spans="20:23" ht="24.75" thickBot="1" x14ac:dyDescent="0.25">
      <c r="T17504" s="28">
        <v>23414048</v>
      </c>
      <c r="U17504" s="29" t="s">
        <v>332</v>
      </c>
      <c r="V17504" s="30">
        <v>200000</v>
      </c>
      <c r="W17504" s="28">
        <v>23414048</v>
      </c>
    </row>
    <row r="17505" spans="20:23" ht="24.75" thickBot="1" x14ac:dyDescent="0.25">
      <c r="T17505" s="28">
        <v>23414049</v>
      </c>
      <c r="U17505" s="29" t="s">
        <v>333</v>
      </c>
      <c r="V17505" s="30">
        <v>200000</v>
      </c>
      <c r="W17505" s="28">
        <v>23414049</v>
      </c>
    </row>
    <row r="17506" spans="20:23" ht="24.75" thickBot="1" x14ac:dyDescent="0.25">
      <c r="T17506" s="28">
        <v>23414050</v>
      </c>
      <c r="U17506" s="29" t="s">
        <v>414</v>
      </c>
      <c r="V17506" s="30">
        <v>200000</v>
      </c>
      <c r="W17506" s="28">
        <v>23414050</v>
      </c>
    </row>
    <row r="17507" spans="20:23" ht="24.75" thickBot="1" x14ac:dyDescent="0.25">
      <c r="T17507" s="28">
        <v>23414051</v>
      </c>
      <c r="U17507" s="29" t="s">
        <v>415</v>
      </c>
      <c r="V17507" s="30">
        <v>200000</v>
      </c>
      <c r="W17507" s="28">
        <v>23414051</v>
      </c>
    </row>
    <row r="17508" spans="20:23" ht="24.75" thickBot="1" x14ac:dyDescent="0.25">
      <c r="T17508" s="28">
        <v>23414052</v>
      </c>
      <c r="U17508" s="29" t="s">
        <v>334</v>
      </c>
      <c r="V17508" s="30">
        <v>200000</v>
      </c>
      <c r="W17508" s="28">
        <v>23414052</v>
      </c>
    </row>
    <row r="17509" spans="20:23" ht="36.75" thickBot="1" x14ac:dyDescent="0.25">
      <c r="T17509" s="28">
        <v>23414053</v>
      </c>
      <c r="U17509" s="29" t="s">
        <v>416</v>
      </c>
      <c r="V17509" s="30">
        <v>200000</v>
      </c>
      <c r="W17509" s="28">
        <v>23414053</v>
      </c>
    </row>
    <row r="17510" spans="20:23" ht="13.5" thickBot="1" x14ac:dyDescent="0.25">
      <c r="T17510" s="28">
        <v>23414054</v>
      </c>
      <c r="U17510" s="29" t="s">
        <v>335</v>
      </c>
      <c r="V17510" s="30">
        <v>200000</v>
      </c>
      <c r="W17510" s="28">
        <v>23414054</v>
      </c>
    </row>
    <row r="17511" spans="20:23" ht="24.75" thickBot="1" x14ac:dyDescent="0.25">
      <c r="T17511" s="28">
        <v>23414055</v>
      </c>
      <c r="U17511" s="29" t="s">
        <v>336</v>
      </c>
      <c r="V17511" s="30">
        <v>200000</v>
      </c>
      <c r="W17511" s="28">
        <v>23414055</v>
      </c>
    </row>
    <row r="17512" spans="20:23" ht="24.75" thickBot="1" x14ac:dyDescent="0.25">
      <c r="T17512" s="28">
        <v>23414056</v>
      </c>
      <c r="U17512" s="29" t="s">
        <v>337</v>
      </c>
      <c r="V17512" s="30">
        <v>200000</v>
      </c>
      <c r="W17512" s="28">
        <v>23414056</v>
      </c>
    </row>
    <row r="17513" spans="20:23" ht="24.75" thickBot="1" x14ac:dyDescent="0.25">
      <c r="T17513" s="28">
        <v>23414057</v>
      </c>
      <c r="U17513" s="29" t="s">
        <v>338</v>
      </c>
      <c r="V17513" s="30">
        <v>200000</v>
      </c>
      <c r="W17513" s="28">
        <v>23414057</v>
      </c>
    </row>
    <row r="17514" spans="20:23" ht="24.75" thickBot="1" x14ac:dyDescent="0.25">
      <c r="T17514" s="28">
        <v>23414058</v>
      </c>
      <c r="U17514" s="29" t="s">
        <v>417</v>
      </c>
      <c r="V17514" s="30">
        <v>200000</v>
      </c>
      <c r="W17514" s="28">
        <v>23414058</v>
      </c>
    </row>
    <row r="17515" spans="20:23" ht="24.75" thickBot="1" x14ac:dyDescent="0.25">
      <c r="T17515" s="28">
        <v>23414059</v>
      </c>
      <c r="U17515" s="29" t="s">
        <v>339</v>
      </c>
      <c r="V17515" s="30">
        <v>200000</v>
      </c>
      <c r="W17515" s="28">
        <v>23414059</v>
      </c>
    </row>
    <row r="17516" spans="20:23" ht="24.75" thickBot="1" x14ac:dyDescent="0.25">
      <c r="T17516" s="28">
        <v>23414060</v>
      </c>
      <c r="U17516" s="29" t="s">
        <v>340</v>
      </c>
      <c r="V17516" s="30">
        <v>200000</v>
      </c>
      <c r="W17516" s="28">
        <v>23414060</v>
      </c>
    </row>
    <row r="17517" spans="20:23" ht="24.75" thickBot="1" x14ac:dyDescent="0.25">
      <c r="T17517" s="28">
        <v>23414061</v>
      </c>
      <c r="U17517" s="29" t="s">
        <v>341</v>
      </c>
      <c r="V17517" s="30">
        <v>200000</v>
      </c>
      <c r="W17517" s="28">
        <v>23414061</v>
      </c>
    </row>
    <row r="17518" spans="20:23" ht="24.75" thickBot="1" x14ac:dyDescent="0.25">
      <c r="T17518" s="28">
        <v>23414062</v>
      </c>
      <c r="U17518" s="29" t="s">
        <v>342</v>
      </c>
      <c r="V17518" s="30">
        <v>200000</v>
      </c>
      <c r="W17518" s="28">
        <v>23414062</v>
      </c>
    </row>
    <row r="17519" spans="20:23" ht="13.5" thickBot="1" x14ac:dyDescent="0.25">
      <c r="T17519" s="28">
        <v>23414063</v>
      </c>
      <c r="U17519" s="29" t="s">
        <v>343</v>
      </c>
      <c r="V17519" s="30">
        <v>200000</v>
      </c>
      <c r="W17519" s="28">
        <v>23414063</v>
      </c>
    </row>
    <row r="17520" spans="20:23" ht="24.75" thickBot="1" x14ac:dyDescent="0.25">
      <c r="T17520" s="28">
        <v>23414064</v>
      </c>
      <c r="U17520" s="29" t="s">
        <v>344</v>
      </c>
      <c r="V17520" s="30">
        <v>200000</v>
      </c>
      <c r="W17520" s="28">
        <v>23414064</v>
      </c>
    </row>
    <row r="17521" spans="20:23" ht="24.75" thickBot="1" x14ac:dyDescent="0.25">
      <c r="T17521" s="28">
        <v>23414065</v>
      </c>
      <c r="U17521" s="29" t="s">
        <v>418</v>
      </c>
      <c r="V17521" s="30">
        <v>200000</v>
      </c>
      <c r="W17521" s="28">
        <v>23414065</v>
      </c>
    </row>
    <row r="17522" spans="20:23" ht="24.75" thickBot="1" x14ac:dyDescent="0.25">
      <c r="T17522" s="28">
        <v>23414066</v>
      </c>
      <c r="U17522" s="29" t="s">
        <v>345</v>
      </c>
      <c r="V17522" s="30">
        <v>200000</v>
      </c>
      <c r="W17522" s="28">
        <v>23414066</v>
      </c>
    </row>
    <row r="17523" spans="20:23" ht="24.75" thickBot="1" x14ac:dyDescent="0.25">
      <c r="T17523" s="28">
        <v>23414067</v>
      </c>
      <c r="U17523" s="29" t="s">
        <v>346</v>
      </c>
      <c r="V17523" s="30">
        <v>200000</v>
      </c>
      <c r="W17523" s="28">
        <v>23414067</v>
      </c>
    </row>
    <row r="17524" spans="20:23" ht="36.75" thickBot="1" x14ac:dyDescent="0.25">
      <c r="T17524" s="28">
        <v>23414068</v>
      </c>
      <c r="U17524" s="29" t="s">
        <v>347</v>
      </c>
      <c r="V17524" s="30">
        <v>200000</v>
      </c>
      <c r="W17524" s="28">
        <v>23414068</v>
      </c>
    </row>
    <row r="17525" spans="20:23" ht="24.75" thickBot="1" x14ac:dyDescent="0.25">
      <c r="T17525" s="28">
        <v>23414069</v>
      </c>
      <c r="U17525" s="29" t="s">
        <v>348</v>
      </c>
      <c r="V17525" s="30">
        <v>200000</v>
      </c>
      <c r="W17525" s="28">
        <v>23414069</v>
      </c>
    </row>
    <row r="17526" spans="20:23" ht="24.75" thickBot="1" x14ac:dyDescent="0.25">
      <c r="T17526" s="28">
        <v>23414070</v>
      </c>
      <c r="U17526" s="29" t="s">
        <v>419</v>
      </c>
      <c r="V17526" s="30">
        <v>1000000</v>
      </c>
      <c r="W17526" s="28">
        <v>23414070</v>
      </c>
    </row>
    <row r="17527" spans="20:23" ht="24.75" thickBot="1" x14ac:dyDescent="0.25">
      <c r="T17527" s="28">
        <v>23414071</v>
      </c>
      <c r="U17527" s="29" t="s">
        <v>349</v>
      </c>
      <c r="V17527" s="30">
        <v>200000</v>
      </c>
      <c r="W17527" s="28">
        <v>23414071</v>
      </c>
    </row>
    <row r="17528" spans="20:23" ht="24.75" thickBot="1" x14ac:dyDescent="0.25">
      <c r="T17528" s="28">
        <v>23414072</v>
      </c>
      <c r="U17528" s="29" t="s">
        <v>350</v>
      </c>
      <c r="V17528" s="30">
        <v>200000</v>
      </c>
      <c r="W17528" s="28">
        <v>23414072</v>
      </c>
    </row>
    <row r="17529" spans="20:23" ht="36.75" thickBot="1" x14ac:dyDescent="0.25">
      <c r="T17529" s="28">
        <v>23414073</v>
      </c>
      <c r="U17529" s="29" t="s">
        <v>351</v>
      </c>
      <c r="V17529" s="30">
        <v>200000</v>
      </c>
      <c r="W17529" s="28">
        <v>23414073</v>
      </c>
    </row>
    <row r="17530" spans="20:23" ht="24.75" thickBot="1" x14ac:dyDescent="0.25">
      <c r="T17530" s="28">
        <v>23414074</v>
      </c>
      <c r="U17530" s="29" t="s">
        <v>352</v>
      </c>
      <c r="V17530" s="30">
        <v>200000</v>
      </c>
      <c r="W17530" s="28">
        <v>23414074</v>
      </c>
    </row>
    <row r="17531" spans="20:23" ht="24.75" thickBot="1" x14ac:dyDescent="0.25">
      <c r="T17531" s="28">
        <v>23414075</v>
      </c>
      <c r="U17531" s="29" t="s">
        <v>353</v>
      </c>
      <c r="V17531" s="30">
        <v>200000</v>
      </c>
      <c r="W17531" s="28">
        <v>23414075</v>
      </c>
    </row>
    <row r="17532" spans="20:23" ht="24.75" thickBot="1" x14ac:dyDescent="0.25">
      <c r="T17532" s="28">
        <v>23414076</v>
      </c>
      <c r="U17532" s="29" t="s">
        <v>354</v>
      </c>
      <c r="V17532" s="30">
        <v>200000</v>
      </c>
      <c r="W17532" s="28">
        <v>23414076</v>
      </c>
    </row>
    <row r="17533" spans="20:23" ht="24.75" thickBot="1" x14ac:dyDescent="0.25">
      <c r="T17533" s="28">
        <v>23414077</v>
      </c>
      <c r="U17533" s="29" t="s">
        <v>355</v>
      </c>
      <c r="V17533" s="30">
        <v>200000</v>
      </c>
      <c r="W17533" s="28">
        <v>23414077</v>
      </c>
    </row>
    <row r="17534" spans="20:23" ht="24.75" thickBot="1" x14ac:dyDescent="0.25">
      <c r="T17534" s="28">
        <v>23414078</v>
      </c>
      <c r="U17534" s="29" t="s">
        <v>356</v>
      </c>
      <c r="V17534" s="30">
        <v>200000</v>
      </c>
      <c r="W17534" s="28">
        <v>23414078</v>
      </c>
    </row>
    <row r="17535" spans="20:23" ht="24.75" thickBot="1" x14ac:dyDescent="0.25">
      <c r="T17535" s="28">
        <v>23414079</v>
      </c>
      <c r="U17535" s="29" t="s">
        <v>357</v>
      </c>
      <c r="V17535" s="30">
        <v>200000</v>
      </c>
      <c r="W17535" s="28">
        <v>23414079</v>
      </c>
    </row>
    <row r="17536" spans="20:23" ht="24.75" thickBot="1" x14ac:dyDescent="0.25">
      <c r="T17536" s="28">
        <v>23414080</v>
      </c>
      <c r="U17536" s="29" t="s">
        <v>358</v>
      </c>
      <c r="V17536" s="30">
        <v>200000</v>
      </c>
      <c r="W17536" s="28">
        <v>23414080</v>
      </c>
    </row>
    <row r="17537" spans="20:23" ht="24.75" thickBot="1" x14ac:dyDescent="0.25">
      <c r="T17537" s="28">
        <v>23414081</v>
      </c>
      <c r="U17537" s="29" t="s">
        <v>359</v>
      </c>
      <c r="V17537" s="30">
        <v>200000</v>
      </c>
      <c r="W17537" s="28">
        <v>23414081</v>
      </c>
    </row>
    <row r="17538" spans="20:23" ht="36.75" thickBot="1" x14ac:dyDescent="0.25">
      <c r="T17538" s="28">
        <v>23414082</v>
      </c>
      <c r="U17538" s="29" t="s">
        <v>420</v>
      </c>
      <c r="V17538" s="30">
        <v>200000</v>
      </c>
      <c r="W17538" s="28">
        <v>23414082</v>
      </c>
    </row>
    <row r="17539" spans="20:23" ht="24.75" thickBot="1" x14ac:dyDescent="0.25">
      <c r="T17539" s="28">
        <v>23414083</v>
      </c>
      <c r="U17539" s="29" t="s">
        <v>360</v>
      </c>
      <c r="V17539" s="30">
        <v>200000</v>
      </c>
      <c r="W17539" s="28">
        <v>23414083</v>
      </c>
    </row>
    <row r="17540" spans="20:23" ht="24.75" thickBot="1" x14ac:dyDescent="0.25">
      <c r="T17540" s="28">
        <v>23414084</v>
      </c>
      <c r="U17540" s="29" t="s">
        <v>361</v>
      </c>
      <c r="V17540" s="30">
        <v>200000</v>
      </c>
      <c r="W17540" s="28">
        <v>23414084</v>
      </c>
    </row>
    <row r="17541" spans="20:23" ht="36.75" thickBot="1" x14ac:dyDescent="0.25">
      <c r="T17541" s="28">
        <v>23414085</v>
      </c>
      <c r="U17541" s="29" t="s">
        <v>362</v>
      </c>
      <c r="V17541" s="30">
        <v>200000</v>
      </c>
      <c r="W17541" s="28">
        <v>23414085</v>
      </c>
    </row>
    <row r="17542" spans="20:23" ht="24.75" thickBot="1" x14ac:dyDescent="0.25">
      <c r="T17542" s="28">
        <v>23414086</v>
      </c>
      <c r="U17542" s="29" t="s">
        <v>363</v>
      </c>
      <c r="V17542" s="30">
        <v>200000</v>
      </c>
      <c r="W17542" s="28">
        <v>23414086</v>
      </c>
    </row>
    <row r="17543" spans="20:23" ht="24.75" thickBot="1" x14ac:dyDescent="0.25">
      <c r="T17543" s="28">
        <v>23414087</v>
      </c>
      <c r="U17543" s="29" t="s">
        <v>364</v>
      </c>
      <c r="V17543" s="30">
        <v>200000</v>
      </c>
      <c r="W17543" s="28">
        <v>23414087</v>
      </c>
    </row>
    <row r="17544" spans="20:23" ht="24.75" thickBot="1" x14ac:dyDescent="0.25">
      <c r="T17544" s="28">
        <v>23414088</v>
      </c>
      <c r="U17544" s="29" t="s">
        <v>365</v>
      </c>
      <c r="V17544" s="30">
        <v>200000</v>
      </c>
      <c r="W17544" s="28">
        <v>23414088</v>
      </c>
    </row>
    <row r="17545" spans="20:23" ht="24.75" thickBot="1" x14ac:dyDescent="0.25">
      <c r="T17545" s="28">
        <v>23414089</v>
      </c>
      <c r="U17545" s="29" t="s">
        <v>366</v>
      </c>
      <c r="V17545" s="30">
        <v>200000</v>
      </c>
      <c r="W17545" s="28">
        <v>23414089</v>
      </c>
    </row>
    <row r="17546" spans="20:23" ht="24.75" thickBot="1" x14ac:dyDescent="0.25">
      <c r="T17546" s="28">
        <v>23414090</v>
      </c>
      <c r="U17546" s="29" t="s">
        <v>367</v>
      </c>
      <c r="V17546" s="30">
        <v>200000</v>
      </c>
      <c r="W17546" s="28">
        <v>23414090</v>
      </c>
    </row>
    <row r="17547" spans="20:23" ht="24.75" thickBot="1" x14ac:dyDescent="0.25">
      <c r="T17547" s="28">
        <v>23414091</v>
      </c>
      <c r="U17547" s="29" t="s">
        <v>368</v>
      </c>
      <c r="V17547" s="30">
        <v>200000</v>
      </c>
      <c r="W17547" s="28">
        <v>23414091</v>
      </c>
    </row>
    <row r="17548" spans="20:23" ht="24.75" thickBot="1" x14ac:dyDescent="0.25">
      <c r="T17548" s="28">
        <v>23414092</v>
      </c>
      <c r="U17548" s="29" t="s">
        <v>369</v>
      </c>
      <c r="V17548" s="30">
        <v>200000</v>
      </c>
      <c r="W17548" s="28">
        <v>23414092</v>
      </c>
    </row>
    <row r="17549" spans="20:23" ht="24.75" thickBot="1" x14ac:dyDescent="0.25">
      <c r="T17549" s="28">
        <v>23414093</v>
      </c>
      <c r="U17549" s="29" t="s">
        <v>370</v>
      </c>
      <c r="V17549" s="30">
        <v>200000</v>
      </c>
      <c r="W17549" s="28">
        <v>23414093</v>
      </c>
    </row>
    <row r="17550" spans="20:23" ht="13.5" thickBot="1" x14ac:dyDescent="0.25">
      <c r="T17550" s="28">
        <v>23414094</v>
      </c>
      <c r="U17550" s="29" t="s">
        <v>371</v>
      </c>
      <c r="V17550" s="30">
        <v>200000</v>
      </c>
      <c r="W17550" s="28">
        <v>23414094</v>
      </c>
    </row>
    <row r="17551" spans="20:23" ht="24.75" thickBot="1" x14ac:dyDescent="0.25">
      <c r="T17551" s="28">
        <v>23414095</v>
      </c>
      <c r="U17551" s="29" t="s">
        <v>421</v>
      </c>
      <c r="V17551" s="30">
        <v>200000</v>
      </c>
      <c r="W17551" s="28">
        <v>23414095</v>
      </c>
    </row>
    <row r="17552" spans="20:23" ht="24.75" thickBot="1" x14ac:dyDescent="0.25">
      <c r="T17552" s="28">
        <v>23414096</v>
      </c>
      <c r="U17552" s="29" t="s">
        <v>372</v>
      </c>
      <c r="V17552" s="30">
        <v>200000</v>
      </c>
      <c r="W17552" s="28">
        <v>23414096</v>
      </c>
    </row>
    <row r="17553" spans="20:23" ht="13.5" thickBot="1" x14ac:dyDescent="0.25">
      <c r="T17553" s="28">
        <v>23414097</v>
      </c>
      <c r="U17553" s="29" t="s">
        <v>373</v>
      </c>
      <c r="V17553" s="30">
        <v>200000</v>
      </c>
      <c r="W17553" s="28">
        <v>23414097</v>
      </c>
    </row>
    <row r="17554" spans="20:23" ht="24.75" thickBot="1" x14ac:dyDescent="0.25">
      <c r="T17554" s="28">
        <v>23414098</v>
      </c>
      <c r="U17554" s="29" t="s">
        <v>374</v>
      </c>
      <c r="V17554" s="30">
        <v>200000</v>
      </c>
      <c r="W17554" s="28">
        <v>23414098</v>
      </c>
    </row>
    <row r="17555" spans="20:23" ht="24.75" thickBot="1" x14ac:dyDescent="0.25">
      <c r="T17555" s="28">
        <v>23414099</v>
      </c>
      <c r="U17555" s="29" t="s">
        <v>422</v>
      </c>
      <c r="V17555" s="30">
        <v>200000</v>
      </c>
      <c r="W17555" s="28">
        <v>23414099</v>
      </c>
    </row>
    <row r="17556" spans="20:23" ht="24.75" thickBot="1" x14ac:dyDescent="0.25">
      <c r="T17556" s="28">
        <v>23414100</v>
      </c>
      <c r="U17556" s="29" t="s">
        <v>375</v>
      </c>
      <c r="V17556" s="30">
        <v>200000</v>
      </c>
      <c r="W17556" s="28">
        <v>23414100</v>
      </c>
    </row>
    <row r="17557" spans="20:23" ht="13.5" thickBot="1" x14ac:dyDescent="0.25">
      <c r="T17557" s="28">
        <v>23414101</v>
      </c>
      <c r="U17557" s="29" t="s">
        <v>423</v>
      </c>
      <c r="V17557" s="30">
        <v>200000</v>
      </c>
      <c r="W17557" s="28">
        <v>23414101</v>
      </c>
    </row>
    <row r="17558" spans="20:23" ht="24.75" thickBot="1" x14ac:dyDescent="0.25">
      <c r="T17558" s="28">
        <v>23414102</v>
      </c>
      <c r="U17558" s="29" t="s">
        <v>376</v>
      </c>
      <c r="V17558" s="30">
        <v>200000</v>
      </c>
      <c r="W17558" s="28">
        <v>23414102</v>
      </c>
    </row>
    <row r="17559" spans="20:23" ht="13.5" thickBot="1" x14ac:dyDescent="0.25">
      <c r="T17559" s="28">
        <v>23414103</v>
      </c>
      <c r="U17559" s="29" t="s">
        <v>377</v>
      </c>
      <c r="V17559" s="30">
        <v>200000</v>
      </c>
      <c r="W17559" s="28">
        <v>23414103</v>
      </c>
    </row>
    <row r="17560" spans="20:23" ht="13.5" thickBot="1" x14ac:dyDescent="0.25">
      <c r="T17560" s="28">
        <v>23414104</v>
      </c>
      <c r="U17560" s="29" t="s">
        <v>378</v>
      </c>
      <c r="V17560" s="30">
        <v>200000</v>
      </c>
      <c r="W17560" s="28">
        <v>23414104</v>
      </c>
    </row>
    <row r="17561" spans="20:23" ht="24.75" thickBot="1" x14ac:dyDescent="0.25">
      <c r="T17561" s="28">
        <v>23414105</v>
      </c>
      <c r="U17561" s="29" t="s">
        <v>379</v>
      </c>
      <c r="V17561" s="30">
        <v>200000</v>
      </c>
      <c r="W17561" s="28">
        <v>23414105</v>
      </c>
    </row>
    <row r="17562" spans="20:23" ht="13.5" thickBot="1" x14ac:dyDescent="0.25">
      <c r="T17562" s="28">
        <v>23414106</v>
      </c>
      <c r="U17562" s="29" t="s">
        <v>424</v>
      </c>
      <c r="V17562" s="30">
        <v>200000</v>
      </c>
      <c r="W17562" s="28">
        <v>23414106</v>
      </c>
    </row>
    <row r="17563" spans="20:23" ht="13.5" thickBot="1" x14ac:dyDescent="0.25">
      <c r="T17563" s="28">
        <v>23414107</v>
      </c>
      <c r="U17563" s="29" t="s">
        <v>380</v>
      </c>
      <c r="V17563" s="30">
        <v>200000</v>
      </c>
      <c r="W17563" s="28">
        <v>23414107</v>
      </c>
    </row>
    <row r="17564" spans="20:23" ht="24.75" thickBot="1" x14ac:dyDescent="0.25">
      <c r="T17564" s="28">
        <v>23414108</v>
      </c>
      <c r="U17564" s="29" t="s">
        <v>132</v>
      </c>
      <c r="V17564" s="30">
        <v>20000</v>
      </c>
      <c r="W17564" s="28">
        <v>23414108</v>
      </c>
    </row>
    <row r="17565" spans="20:23" ht="36.75" thickBot="1" x14ac:dyDescent="0.25">
      <c r="T17565" s="28">
        <v>23414109</v>
      </c>
      <c r="U17565" s="29" t="s">
        <v>133</v>
      </c>
      <c r="V17565" s="30">
        <v>20000</v>
      </c>
      <c r="W17565" s="28">
        <v>23414109</v>
      </c>
    </row>
    <row r="17566" spans="20:23" ht="24.75" thickBot="1" x14ac:dyDescent="0.25">
      <c r="T17566" s="28">
        <v>23414110</v>
      </c>
      <c r="U17566" s="29" t="s">
        <v>134</v>
      </c>
      <c r="V17566" s="30">
        <v>20000</v>
      </c>
      <c r="W17566" s="28">
        <v>23414110</v>
      </c>
    </row>
    <row r="17567" spans="20:23" ht="24.75" thickBot="1" x14ac:dyDescent="0.25">
      <c r="T17567" s="28">
        <v>23414111</v>
      </c>
      <c r="U17567" s="29" t="s">
        <v>135</v>
      </c>
      <c r="V17567" s="30">
        <v>20000</v>
      </c>
      <c r="W17567" s="28">
        <v>23414111</v>
      </c>
    </row>
    <row r="17568" spans="20:23" ht="24.75" thickBot="1" x14ac:dyDescent="0.25">
      <c r="T17568" s="28">
        <v>23414112</v>
      </c>
      <c r="U17568" s="29" t="s">
        <v>136</v>
      </c>
      <c r="V17568" s="30">
        <v>20000</v>
      </c>
      <c r="W17568" s="28">
        <v>23414112</v>
      </c>
    </row>
    <row r="17569" spans="20:23" ht="24.75" thickBot="1" x14ac:dyDescent="0.25">
      <c r="T17569" s="28">
        <v>23414113</v>
      </c>
      <c r="U17569" s="29" t="s">
        <v>137</v>
      </c>
      <c r="V17569" s="30">
        <v>20000</v>
      </c>
      <c r="W17569" s="28">
        <v>23414113</v>
      </c>
    </row>
    <row r="17570" spans="20:23" ht="13.5" thickBot="1" x14ac:dyDescent="0.25">
      <c r="T17570" s="28">
        <v>23414114</v>
      </c>
      <c r="U17570" s="29" t="s">
        <v>138</v>
      </c>
      <c r="V17570" s="30">
        <v>20000</v>
      </c>
      <c r="W17570" s="28">
        <v>23414114</v>
      </c>
    </row>
    <row r="17571" spans="20:23" ht="24.75" thickBot="1" x14ac:dyDescent="0.25">
      <c r="T17571" s="28">
        <v>23414115</v>
      </c>
      <c r="U17571" s="29" t="s">
        <v>139</v>
      </c>
      <c r="V17571" s="30">
        <v>20000</v>
      </c>
      <c r="W17571" s="28">
        <v>23414115</v>
      </c>
    </row>
    <row r="17572" spans="20:23" ht="24.75" thickBot="1" x14ac:dyDescent="0.25">
      <c r="T17572" s="28">
        <v>23414116</v>
      </c>
      <c r="U17572" s="29" t="s">
        <v>140</v>
      </c>
      <c r="V17572" s="30">
        <v>20000</v>
      </c>
      <c r="W17572" s="28">
        <v>23414116</v>
      </c>
    </row>
    <row r="17573" spans="20:23" ht="24.75" thickBot="1" x14ac:dyDescent="0.25">
      <c r="T17573" s="28">
        <v>23414117</v>
      </c>
      <c r="U17573" s="29" t="s">
        <v>141</v>
      </c>
      <c r="V17573" s="30">
        <v>20000</v>
      </c>
      <c r="W17573" s="28">
        <v>23414117</v>
      </c>
    </row>
    <row r="17574" spans="20:23" ht="24.75" thickBot="1" x14ac:dyDescent="0.25">
      <c r="T17574" s="28">
        <v>23414118</v>
      </c>
      <c r="U17574" s="29" t="s">
        <v>142</v>
      </c>
      <c r="V17574" s="30">
        <v>20000</v>
      </c>
      <c r="W17574" s="28">
        <v>23414118</v>
      </c>
    </row>
    <row r="17575" spans="20:23" ht="24.75" thickBot="1" x14ac:dyDescent="0.25">
      <c r="T17575" s="28">
        <v>23414119</v>
      </c>
      <c r="U17575" s="29" t="s">
        <v>143</v>
      </c>
      <c r="V17575" s="30">
        <v>20000</v>
      </c>
      <c r="W17575" s="28">
        <v>23414119</v>
      </c>
    </row>
    <row r="17576" spans="20:23" ht="24.75" thickBot="1" x14ac:dyDescent="0.25">
      <c r="T17576" s="28">
        <v>23414120</v>
      </c>
      <c r="U17576" s="29" t="s">
        <v>144</v>
      </c>
      <c r="V17576" s="30">
        <v>20000</v>
      </c>
      <c r="W17576" s="28">
        <v>23414120</v>
      </c>
    </row>
    <row r="17577" spans="20:23" ht="13.5" thickBot="1" x14ac:dyDescent="0.25">
      <c r="T17577" s="28">
        <v>23414121</v>
      </c>
      <c r="U17577" s="29" t="s">
        <v>145</v>
      </c>
      <c r="V17577" s="30">
        <v>20000</v>
      </c>
      <c r="W17577" s="28">
        <v>23414121</v>
      </c>
    </row>
    <row r="17578" spans="20:23" ht="36.75" thickBot="1" x14ac:dyDescent="0.25">
      <c r="T17578" s="28">
        <v>23414122</v>
      </c>
      <c r="U17578" s="29" t="s">
        <v>146</v>
      </c>
      <c r="V17578" s="30">
        <v>20000</v>
      </c>
      <c r="W17578" s="28">
        <v>23414122</v>
      </c>
    </row>
    <row r="17579" spans="20:23" ht="24.75" thickBot="1" x14ac:dyDescent="0.25">
      <c r="T17579" s="28">
        <v>23414123</v>
      </c>
      <c r="U17579" s="29" t="s">
        <v>147</v>
      </c>
      <c r="V17579" s="30">
        <v>20000</v>
      </c>
      <c r="W17579" s="28">
        <v>23414123</v>
      </c>
    </row>
    <row r="17580" spans="20:23" ht="24.75" thickBot="1" x14ac:dyDescent="0.25">
      <c r="T17580" s="28">
        <v>23414124</v>
      </c>
      <c r="U17580" s="29" t="s">
        <v>148</v>
      </c>
      <c r="V17580" s="30">
        <v>20000</v>
      </c>
      <c r="W17580" s="28">
        <v>23414124</v>
      </c>
    </row>
    <row r="17581" spans="20:23" ht="13.5" thickBot="1" x14ac:dyDescent="0.25">
      <c r="T17581" s="28">
        <v>23414125</v>
      </c>
      <c r="U17581" s="29" t="s">
        <v>149</v>
      </c>
      <c r="V17581" s="30">
        <v>20000</v>
      </c>
      <c r="W17581" s="28">
        <v>23414125</v>
      </c>
    </row>
    <row r="17582" spans="20:23" ht="13.5" thickBot="1" x14ac:dyDescent="0.25">
      <c r="T17582" s="28">
        <v>23414126</v>
      </c>
      <c r="U17582" s="29" t="s">
        <v>150</v>
      </c>
      <c r="V17582" s="30">
        <v>20000</v>
      </c>
      <c r="W17582" s="28">
        <v>23414126</v>
      </c>
    </row>
    <row r="17583" spans="20:23" ht="24.75" thickBot="1" x14ac:dyDescent="0.25">
      <c r="T17583" s="28">
        <v>23414127</v>
      </c>
      <c r="U17583" s="29" t="s">
        <v>151</v>
      </c>
      <c r="V17583" s="30">
        <v>20000</v>
      </c>
      <c r="W17583" s="28">
        <v>23414127</v>
      </c>
    </row>
    <row r="17584" spans="20:23" ht="24.75" thickBot="1" x14ac:dyDescent="0.25">
      <c r="T17584" s="28">
        <v>23414128</v>
      </c>
      <c r="U17584" s="29" t="s">
        <v>152</v>
      </c>
      <c r="V17584" s="30">
        <v>20000</v>
      </c>
      <c r="W17584" s="28">
        <v>23414128</v>
      </c>
    </row>
    <row r="17585" spans="20:23" ht="13.5" thickBot="1" x14ac:dyDescent="0.25">
      <c r="T17585" s="28">
        <v>23414129</v>
      </c>
      <c r="U17585" s="29" t="s">
        <v>153</v>
      </c>
      <c r="V17585" s="30">
        <v>20000</v>
      </c>
      <c r="W17585" s="28">
        <v>23414129</v>
      </c>
    </row>
    <row r="17586" spans="20:23" ht="24.75" thickBot="1" x14ac:dyDescent="0.25">
      <c r="T17586" s="28">
        <v>23414130</v>
      </c>
      <c r="U17586" s="29" t="s">
        <v>154</v>
      </c>
      <c r="V17586" s="30">
        <v>20000</v>
      </c>
      <c r="W17586" s="28">
        <v>23414130</v>
      </c>
    </row>
    <row r="17587" spans="20:23" ht="24.75" thickBot="1" x14ac:dyDescent="0.25">
      <c r="T17587" s="28">
        <v>23414131</v>
      </c>
      <c r="U17587" s="29" t="s">
        <v>155</v>
      </c>
      <c r="V17587" s="30">
        <v>20000</v>
      </c>
      <c r="W17587" s="28">
        <v>23414131</v>
      </c>
    </row>
    <row r="17588" spans="20:23" ht="24.75" thickBot="1" x14ac:dyDescent="0.25">
      <c r="T17588" s="28">
        <v>23414132</v>
      </c>
      <c r="U17588" s="29" t="s">
        <v>156</v>
      </c>
      <c r="V17588" s="30">
        <v>20000</v>
      </c>
      <c r="W17588" s="28">
        <v>23414132</v>
      </c>
    </row>
    <row r="17589" spans="20:23" ht="24.75" thickBot="1" x14ac:dyDescent="0.25">
      <c r="T17589" s="28">
        <v>23414133</v>
      </c>
      <c r="U17589" s="29" t="s">
        <v>157</v>
      </c>
      <c r="V17589" s="30">
        <v>20000</v>
      </c>
      <c r="W17589" s="28">
        <v>23414133</v>
      </c>
    </row>
    <row r="17590" spans="20:23" ht="24.75" thickBot="1" x14ac:dyDescent="0.25">
      <c r="T17590" s="28">
        <v>23414134</v>
      </c>
      <c r="U17590" s="29" t="s">
        <v>158</v>
      </c>
      <c r="V17590" s="30">
        <v>20000</v>
      </c>
      <c r="W17590" s="28">
        <v>23414134</v>
      </c>
    </row>
    <row r="17591" spans="20:23" ht="24.75" thickBot="1" x14ac:dyDescent="0.25">
      <c r="T17591" s="28">
        <v>23414135</v>
      </c>
      <c r="U17591" s="29" t="s">
        <v>159</v>
      </c>
      <c r="V17591" s="30">
        <v>20000</v>
      </c>
      <c r="W17591" s="28">
        <v>23414135</v>
      </c>
    </row>
    <row r="17592" spans="20:23" ht="24.75" thickBot="1" x14ac:dyDescent="0.25">
      <c r="T17592" s="28">
        <v>23414136</v>
      </c>
      <c r="U17592" s="29" t="s">
        <v>160</v>
      </c>
      <c r="V17592" s="30">
        <v>20000</v>
      </c>
      <c r="W17592" s="28">
        <v>23414136</v>
      </c>
    </row>
    <row r="17593" spans="20:23" ht="24.75" thickBot="1" x14ac:dyDescent="0.25">
      <c r="T17593" s="28">
        <v>23414137</v>
      </c>
      <c r="U17593" s="29" t="s">
        <v>161</v>
      </c>
      <c r="V17593" s="30">
        <v>20000</v>
      </c>
      <c r="W17593" s="28">
        <v>23414137</v>
      </c>
    </row>
    <row r="17594" spans="20:23" ht="24.75" thickBot="1" x14ac:dyDescent="0.25">
      <c r="T17594" s="28">
        <v>23414138</v>
      </c>
      <c r="U17594" s="29" t="s">
        <v>162</v>
      </c>
      <c r="V17594" s="30">
        <v>20000</v>
      </c>
      <c r="W17594" s="28">
        <v>23414138</v>
      </c>
    </row>
    <row r="17595" spans="20:23" ht="24.75" thickBot="1" x14ac:dyDescent="0.25">
      <c r="T17595" s="28">
        <v>23414139</v>
      </c>
      <c r="U17595" s="29" t="s">
        <v>163</v>
      </c>
      <c r="V17595" s="30">
        <v>20000</v>
      </c>
      <c r="W17595" s="28">
        <v>23414139</v>
      </c>
    </row>
    <row r="17596" spans="20:23" ht="24.75" thickBot="1" x14ac:dyDescent="0.25">
      <c r="T17596" s="28">
        <v>23414140</v>
      </c>
      <c r="U17596" s="29" t="s">
        <v>164</v>
      </c>
      <c r="V17596" s="30">
        <v>20000</v>
      </c>
      <c r="W17596" s="28">
        <v>23414140</v>
      </c>
    </row>
    <row r="17597" spans="20:23" ht="24.75" thickBot="1" x14ac:dyDescent="0.25">
      <c r="T17597" s="28">
        <v>23414141</v>
      </c>
      <c r="U17597" s="29" t="s">
        <v>165</v>
      </c>
      <c r="V17597" s="30">
        <v>20000</v>
      </c>
      <c r="W17597" s="28">
        <v>23414141</v>
      </c>
    </row>
    <row r="17598" spans="20:23" ht="24.75" thickBot="1" x14ac:dyDescent="0.25">
      <c r="T17598" s="28">
        <v>23414142</v>
      </c>
      <c r="U17598" s="29" t="s">
        <v>166</v>
      </c>
      <c r="V17598" s="30">
        <v>20000</v>
      </c>
      <c r="W17598" s="28">
        <v>23414142</v>
      </c>
    </row>
    <row r="17599" spans="20:23" ht="24.75" thickBot="1" x14ac:dyDescent="0.25">
      <c r="T17599" s="28">
        <v>23414143</v>
      </c>
      <c r="U17599" s="29" t="s">
        <v>167</v>
      </c>
      <c r="V17599" s="30">
        <v>20000</v>
      </c>
      <c r="W17599" s="28">
        <v>23414143</v>
      </c>
    </row>
    <row r="17600" spans="20:23" ht="24.75" thickBot="1" x14ac:dyDescent="0.25">
      <c r="T17600" s="28">
        <v>23414144</v>
      </c>
      <c r="U17600" s="29" t="s">
        <v>168</v>
      </c>
      <c r="V17600" s="30">
        <v>20000</v>
      </c>
      <c r="W17600" s="28">
        <v>23414144</v>
      </c>
    </row>
    <row r="17601" spans="20:23" ht="24.75" thickBot="1" x14ac:dyDescent="0.25">
      <c r="T17601" s="28">
        <v>23414145</v>
      </c>
      <c r="U17601" s="29" t="s">
        <v>169</v>
      </c>
      <c r="V17601" s="30">
        <v>20000</v>
      </c>
      <c r="W17601" s="28">
        <v>23414145</v>
      </c>
    </row>
    <row r="17602" spans="20:23" ht="24.75" thickBot="1" x14ac:dyDescent="0.25">
      <c r="T17602" s="28">
        <v>23414146</v>
      </c>
      <c r="U17602" s="29" t="s">
        <v>170</v>
      </c>
      <c r="V17602" s="30">
        <v>20000</v>
      </c>
      <c r="W17602" s="28">
        <v>23414146</v>
      </c>
    </row>
    <row r="17603" spans="20:23" ht="24.75" thickBot="1" x14ac:dyDescent="0.25">
      <c r="T17603" s="28">
        <v>23414147</v>
      </c>
      <c r="U17603" s="29" t="s">
        <v>171</v>
      </c>
      <c r="V17603" s="30">
        <v>20000</v>
      </c>
      <c r="W17603" s="28">
        <v>23414147</v>
      </c>
    </row>
    <row r="17604" spans="20:23" ht="24.75" thickBot="1" x14ac:dyDescent="0.25">
      <c r="T17604" s="28">
        <v>23414148</v>
      </c>
      <c r="U17604" s="29" t="s">
        <v>172</v>
      </c>
      <c r="V17604" s="30">
        <v>20000</v>
      </c>
      <c r="W17604" s="28">
        <v>23414148</v>
      </c>
    </row>
    <row r="17605" spans="20:23" ht="24.75" thickBot="1" x14ac:dyDescent="0.25">
      <c r="T17605" s="28">
        <v>23414149</v>
      </c>
      <c r="U17605" s="29" t="s">
        <v>173</v>
      </c>
      <c r="V17605" s="30">
        <v>20000</v>
      </c>
      <c r="W17605" s="28">
        <v>23414149</v>
      </c>
    </row>
    <row r="17606" spans="20:23" ht="24.75" thickBot="1" x14ac:dyDescent="0.25">
      <c r="T17606" s="28">
        <v>23414150</v>
      </c>
      <c r="U17606" s="29" t="s">
        <v>174</v>
      </c>
      <c r="V17606" s="30">
        <v>20000</v>
      </c>
      <c r="W17606" s="28">
        <v>23414150</v>
      </c>
    </row>
    <row r="17607" spans="20:23" ht="24.75" thickBot="1" x14ac:dyDescent="0.25">
      <c r="T17607" s="28">
        <v>23414152</v>
      </c>
      <c r="U17607" s="29" t="s">
        <v>175</v>
      </c>
      <c r="V17607" s="30">
        <v>20000</v>
      </c>
      <c r="W17607" s="28">
        <v>23414152</v>
      </c>
    </row>
    <row r="17608" spans="20:23" ht="13.5" thickBot="1" x14ac:dyDescent="0.25">
      <c r="T17608" s="28">
        <v>23414153</v>
      </c>
      <c r="U17608" s="29" t="s">
        <v>176</v>
      </c>
      <c r="V17608" s="30">
        <v>20000</v>
      </c>
      <c r="W17608" s="28">
        <v>23414153</v>
      </c>
    </row>
    <row r="17609" spans="20:23" ht="24.75" thickBot="1" x14ac:dyDescent="0.25">
      <c r="T17609" s="28">
        <v>23414154</v>
      </c>
      <c r="U17609" s="29" t="s">
        <v>177</v>
      </c>
      <c r="V17609" s="30">
        <v>20000</v>
      </c>
      <c r="W17609" s="28">
        <v>23414154</v>
      </c>
    </row>
    <row r="17610" spans="20:23" ht="24.75" thickBot="1" x14ac:dyDescent="0.25">
      <c r="T17610" s="28">
        <v>23414155</v>
      </c>
      <c r="U17610" s="29" t="s">
        <v>178</v>
      </c>
      <c r="V17610" s="30">
        <v>20000</v>
      </c>
      <c r="W17610" s="28">
        <v>23414155</v>
      </c>
    </row>
    <row r="17611" spans="20:23" ht="24.75" thickBot="1" x14ac:dyDescent="0.25">
      <c r="T17611" s="28">
        <v>23414156</v>
      </c>
      <c r="U17611" s="29" t="s">
        <v>179</v>
      </c>
      <c r="V17611" s="30">
        <v>20000</v>
      </c>
      <c r="W17611" s="28">
        <v>23414156</v>
      </c>
    </row>
    <row r="17612" spans="20:23" ht="24.75" thickBot="1" x14ac:dyDescent="0.25">
      <c r="T17612" s="28">
        <v>23414157</v>
      </c>
      <c r="U17612" s="29" t="s">
        <v>180</v>
      </c>
      <c r="V17612" s="30">
        <v>20000</v>
      </c>
      <c r="W17612" s="28">
        <v>23414157</v>
      </c>
    </row>
    <row r="17613" spans="20:23" ht="24.75" thickBot="1" x14ac:dyDescent="0.25">
      <c r="T17613" s="28">
        <v>23414158</v>
      </c>
      <c r="U17613" s="29" t="s">
        <v>181</v>
      </c>
      <c r="V17613" s="30">
        <v>20000</v>
      </c>
      <c r="W17613" s="28">
        <v>23414158</v>
      </c>
    </row>
    <row r="17614" spans="20:23" ht="24.75" thickBot="1" x14ac:dyDescent="0.25">
      <c r="T17614" s="28">
        <v>23414159</v>
      </c>
      <c r="U17614" s="29" t="s">
        <v>182</v>
      </c>
      <c r="V17614" s="30">
        <v>20000</v>
      </c>
      <c r="W17614" s="28">
        <v>23414159</v>
      </c>
    </row>
    <row r="17615" spans="20:23" ht="24.75" thickBot="1" x14ac:dyDescent="0.25">
      <c r="T17615" s="28">
        <v>23414160</v>
      </c>
      <c r="U17615" s="29" t="s">
        <v>183</v>
      </c>
      <c r="V17615" s="30">
        <v>20000</v>
      </c>
      <c r="W17615" s="28">
        <v>23414160</v>
      </c>
    </row>
    <row r="17616" spans="20:23" ht="24.75" thickBot="1" x14ac:dyDescent="0.25">
      <c r="T17616" s="28">
        <v>23414161</v>
      </c>
      <c r="U17616" s="29" t="s">
        <v>184</v>
      </c>
      <c r="V17616" s="30">
        <v>20000</v>
      </c>
      <c r="W17616" s="28">
        <v>23414161</v>
      </c>
    </row>
    <row r="17617" spans="20:23" ht="24.75" thickBot="1" x14ac:dyDescent="0.25">
      <c r="T17617" s="28">
        <v>23414162</v>
      </c>
      <c r="U17617" s="29" t="s">
        <v>185</v>
      </c>
      <c r="V17617" s="30">
        <v>20000</v>
      </c>
      <c r="W17617" s="28">
        <v>23414162</v>
      </c>
    </row>
    <row r="17618" spans="20:23" ht="24.75" thickBot="1" x14ac:dyDescent="0.25">
      <c r="T17618" s="28">
        <v>23414163</v>
      </c>
      <c r="U17618" s="29" t="s">
        <v>186</v>
      </c>
      <c r="V17618" s="30">
        <v>20000</v>
      </c>
      <c r="W17618" s="28">
        <v>23414163</v>
      </c>
    </row>
    <row r="17619" spans="20:23" ht="24.75" thickBot="1" x14ac:dyDescent="0.25">
      <c r="T17619" s="28">
        <v>23414164</v>
      </c>
      <c r="U17619" s="29" t="s">
        <v>187</v>
      </c>
      <c r="V17619" s="30">
        <v>20000</v>
      </c>
      <c r="W17619" s="28">
        <v>23414164</v>
      </c>
    </row>
    <row r="17620" spans="20:23" ht="24.75" thickBot="1" x14ac:dyDescent="0.25">
      <c r="T17620" s="28">
        <v>23414165</v>
      </c>
      <c r="U17620" s="29" t="s">
        <v>188</v>
      </c>
      <c r="V17620" s="30">
        <v>20000</v>
      </c>
      <c r="W17620" s="28">
        <v>23414165</v>
      </c>
    </row>
    <row r="17621" spans="20:23" ht="24.75" thickBot="1" x14ac:dyDescent="0.25">
      <c r="T17621" s="28">
        <v>23414166</v>
      </c>
      <c r="U17621" s="29" t="s">
        <v>189</v>
      </c>
      <c r="V17621" s="30">
        <v>20000</v>
      </c>
      <c r="W17621" s="28">
        <v>23414166</v>
      </c>
    </row>
    <row r="17622" spans="20:23" ht="24.75" thickBot="1" x14ac:dyDescent="0.25">
      <c r="T17622" s="28">
        <v>23414167</v>
      </c>
      <c r="U17622" s="29" t="s">
        <v>190</v>
      </c>
      <c r="V17622" s="30">
        <v>20000</v>
      </c>
      <c r="W17622" s="28">
        <v>23414167</v>
      </c>
    </row>
    <row r="17623" spans="20:23" ht="24.75" thickBot="1" x14ac:dyDescent="0.25">
      <c r="T17623" s="28">
        <v>23414168</v>
      </c>
      <c r="U17623" s="29" t="s">
        <v>191</v>
      </c>
      <c r="V17623" s="30">
        <v>20000</v>
      </c>
      <c r="W17623" s="28">
        <v>23414168</v>
      </c>
    </row>
    <row r="17624" spans="20:23" ht="24.75" thickBot="1" x14ac:dyDescent="0.25">
      <c r="T17624" s="28">
        <v>23414169</v>
      </c>
      <c r="U17624" s="29" t="s">
        <v>192</v>
      </c>
      <c r="V17624" s="30">
        <v>20000</v>
      </c>
      <c r="W17624" s="28">
        <v>23414169</v>
      </c>
    </row>
    <row r="17625" spans="20:23" ht="24.75" thickBot="1" x14ac:dyDescent="0.25">
      <c r="T17625" s="28">
        <v>23414170</v>
      </c>
      <c r="U17625" s="29" t="s">
        <v>193</v>
      </c>
      <c r="V17625" s="30">
        <v>20000</v>
      </c>
      <c r="W17625" s="28">
        <v>23414170</v>
      </c>
    </row>
    <row r="17626" spans="20:23" ht="24.75" thickBot="1" x14ac:dyDescent="0.25">
      <c r="T17626" s="28">
        <v>23414171</v>
      </c>
      <c r="U17626" s="29" t="s">
        <v>194</v>
      </c>
      <c r="V17626" s="30">
        <v>20000</v>
      </c>
      <c r="W17626" s="28">
        <v>23414171</v>
      </c>
    </row>
    <row r="17627" spans="20:23" ht="13.5" thickBot="1" x14ac:dyDescent="0.25">
      <c r="T17627" s="28">
        <v>23414173</v>
      </c>
      <c r="U17627" s="29" t="s">
        <v>195</v>
      </c>
      <c r="V17627" s="30">
        <v>20000</v>
      </c>
      <c r="W17627" s="28">
        <v>23414173</v>
      </c>
    </row>
    <row r="17628" spans="20:23" ht="24.75" thickBot="1" x14ac:dyDescent="0.25">
      <c r="T17628" s="28">
        <v>23414174</v>
      </c>
      <c r="U17628" s="29" t="s">
        <v>196</v>
      </c>
      <c r="V17628" s="30">
        <v>20000</v>
      </c>
      <c r="W17628" s="28">
        <v>23414174</v>
      </c>
    </row>
    <row r="17629" spans="20:23" ht="24.75" thickBot="1" x14ac:dyDescent="0.25">
      <c r="T17629" s="28">
        <v>23414175</v>
      </c>
      <c r="U17629" s="29" t="s">
        <v>197</v>
      </c>
      <c r="V17629" s="30">
        <v>20000</v>
      </c>
      <c r="W17629" s="28">
        <v>23414175</v>
      </c>
    </row>
    <row r="17630" spans="20:23" ht="36.75" thickBot="1" x14ac:dyDescent="0.25">
      <c r="T17630" s="28">
        <v>23414176</v>
      </c>
      <c r="U17630" s="29" t="s">
        <v>198</v>
      </c>
      <c r="V17630" s="30">
        <v>20000</v>
      </c>
      <c r="W17630" s="28">
        <v>23414176</v>
      </c>
    </row>
    <row r="17631" spans="20:23" ht="24.75" thickBot="1" x14ac:dyDescent="0.25">
      <c r="T17631" s="28">
        <v>23414177</v>
      </c>
      <c r="U17631" s="29" t="s">
        <v>199</v>
      </c>
      <c r="V17631" s="30">
        <v>20000</v>
      </c>
      <c r="W17631" s="28">
        <v>23414177</v>
      </c>
    </row>
    <row r="17632" spans="20:23" ht="24.75" thickBot="1" x14ac:dyDescent="0.25">
      <c r="T17632" s="28">
        <v>23414178</v>
      </c>
      <c r="U17632" s="29" t="s">
        <v>200</v>
      </c>
      <c r="V17632" s="30">
        <v>20000</v>
      </c>
      <c r="W17632" s="28">
        <v>23414178</v>
      </c>
    </row>
    <row r="17633" spans="20:23" ht="36.75" thickBot="1" x14ac:dyDescent="0.25">
      <c r="T17633" s="28">
        <v>23414179</v>
      </c>
      <c r="U17633" s="29" t="s">
        <v>201</v>
      </c>
      <c r="V17633" s="30">
        <v>20000</v>
      </c>
      <c r="W17633" s="28">
        <v>23414179</v>
      </c>
    </row>
    <row r="17634" spans="20:23" ht="24.75" thickBot="1" x14ac:dyDescent="0.25">
      <c r="T17634" s="28">
        <v>23414180</v>
      </c>
      <c r="U17634" s="29" t="s">
        <v>202</v>
      </c>
      <c r="V17634" s="30">
        <v>20000</v>
      </c>
      <c r="W17634" s="28">
        <v>23414180</v>
      </c>
    </row>
    <row r="17635" spans="20:23" ht="13.5" thickBot="1" x14ac:dyDescent="0.25">
      <c r="T17635" s="28">
        <v>23414181</v>
      </c>
      <c r="U17635" s="29" t="s">
        <v>203</v>
      </c>
      <c r="V17635" s="30">
        <v>20000</v>
      </c>
      <c r="W17635" s="28">
        <v>23414181</v>
      </c>
    </row>
    <row r="17636" spans="20:23" ht="24.75" thickBot="1" x14ac:dyDescent="0.25">
      <c r="T17636" s="28">
        <v>23414182</v>
      </c>
      <c r="U17636" s="29" t="s">
        <v>204</v>
      </c>
      <c r="V17636" s="30">
        <v>20000</v>
      </c>
      <c r="W17636" s="28">
        <v>23414182</v>
      </c>
    </row>
    <row r="17637" spans="20:23" ht="24.75" thickBot="1" x14ac:dyDescent="0.25">
      <c r="T17637" s="28">
        <v>23414183</v>
      </c>
      <c r="U17637" s="29" t="s">
        <v>205</v>
      </c>
      <c r="V17637" s="30">
        <v>20000</v>
      </c>
      <c r="W17637" s="28">
        <v>23414183</v>
      </c>
    </row>
    <row r="17638" spans="20:23" ht="13.5" thickBot="1" x14ac:dyDescent="0.25">
      <c r="T17638" s="28">
        <v>23414184</v>
      </c>
      <c r="U17638" s="29" t="s">
        <v>206</v>
      </c>
      <c r="V17638" s="30">
        <v>20000</v>
      </c>
      <c r="W17638" s="28">
        <v>23414184</v>
      </c>
    </row>
    <row r="17639" spans="20:23" ht="24.75" thickBot="1" x14ac:dyDescent="0.25">
      <c r="T17639" s="28">
        <v>23414185</v>
      </c>
      <c r="U17639" s="29" t="s">
        <v>207</v>
      </c>
      <c r="V17639" s="30">
        <v>20000</v>
      </c>
      <c r="W17639" s="28">
        <v>23414185</v>
      </c>
    </row>
    <row r="17640" spans="20:23" ht="36.75" thickBot="1" x14ac:dyDescent="0.25">
      <c r="T17640" s="28">
        <v>23414186</v>
      </c>
      <c r="U17640" s="29" t="s">
        <v>208</v>
      </c>
      <c r="V17640" s="30">
        <v>20000</v>
      </c>
      <c r="W17640" s="28">
        <v>23414186</v>
      </c>
    </row>
    <row r="17641" spans="20:23" ht="24.75" thickBot="1" x14ac:dyDescent="0.25">
      <c r="T17641" s="28">
        <v>23414187</v>
      </c>
      <c r="U17641" s="29" t="s">
        <v>209</v>
      </c>
      <c r="V17641" s="30">
        <v>20000</v>
      </c>
      <c r="W17641" s="28">
        <v>23414187</v>
      </c>
    </row>
    <row r="17642" spans="20:23" ht="24.75" thickBot="1" x14ac:dyDescent="0.25">
      <c r="T17642" s="28">
        <v>23414188</v>
      </c>
      <c r="U17642" s="29" t="s">
        <v>210</v>
      </c>
      <c r="V17642" s="30">
        <v>20000</v>
      </c>
      <c r="W17642" s="28">
        <v>23414188</v>
      </c>
    </row>
    <row r="17643" spans="20:23" ht="24.75" thickBot="1" x14ac:dyDescent="0.25">
      <c r="T17643" s="28">
        <v>23414189</v>
      </c>
      <c r="U17643" s="29" t="s">
        <v>211</v>
      </c>
      <c r="V17643" s="30">
        <v>20000</v>
      </c>
      <c r="W17643" s="28">
        <v>23414189</v>
      </c>
    </row>
    <row r="17644" spans="20:23" ht="24.75" thickBot="1" x14ac:dyDescent="0.25">
      <c r="T17644" s="28">
        <v>23414190</v>
      </c>
      <c r="U17644" s="29" t="s">
        <v>212</v>
      </c>
      <c r="V17644" s="30">
        <v>20000</v>
      </c>
      <c r="W17644" s="28">
        <v>23414190</v>
      </c>
    </row>
    <row r="17645" spans="20:23" ht="24.75" thickBot="1" x14ac:dyDescent="0.25">
      <c r="T17645" s="28">
        <v>23414191</v>
      </c>
      <c r="U17645" s="29" t="s">
        <v>213</v>
      </c>
      <c r="V17645" s="30">
        <v>20000</v>
      </c>
      <c r="W17645" s="28">
        <v>23414191</v>
      </c>
    </row>
    <row r="17646" spans="20:23" ht="24.75" thickBot="1" x14ac:dyDescent="0.25">
      <c r="T17646" s="28">
        <v>23414192</v>
      </c>
      <c r="U17646" s="29" t="s">
        <v>214</v>
      </c>
      <c r="V17646" s="30">
        <v>20000</v>
      </c>
      <c r="W17646" s="28">
        <v>23414192</v>
      </c>
    </row>
    <row r="17647" spans="20:23" ht="24.75" thickBot="1" x14ac:dyDescent="0.25">
      <c r="T17647" s="28">
        <v>23414193</v>
      </c>
      <c r="U17647" s="29" t="s">
        <v>215</v>
      </c>
      <c r="V17647" s="30">
        <v>20000</v>
      </c>
      <c r="W17647" s="28">
        <v>23414193</v>
      </c>
    </row>
    <row r="17648" spans="20:23" ht="24.75" thickBot="1" x14ac:dyDescent="0.25">
      <c r="T17648" s="28">
        <v>23414194</v>
      </c>
      <c r="U17648" s="29" t="s">
        <v>216</v>
      </c>
      <c r="V17648" s="30">
        <v>20000</v>
      </c>
      <c r="W17648" s="28">
        <v>23414194</v>
      </c>
    </row>
    <row r="17649" spans="20:23" ht="24.75" thickBot="1" x14ac:dyDescent="0.25">
      <c r="T17649" s="28">
        <v>23414195</v>
      </c>
      <c r="U17649" s="29" t="s">
        <v>217</v>
      </c>
      <c r="V17649" s="30">
        <v>20000</v>
      </c>
      <c r="W17649" s="28">
        <v>23414195</v>
      </c>
    </row>
    <row r="17650" spans="20:23" ht="24.75" thickBot="1" x14ac:dyDescent="0.25">
      <c r="T17650" s="28">
        <v>23414196</v>
      </c>
      <c r="U17650" s="29" t="s">
        <v>218</v>
      </c>
      <c r="V17650" s="30">
        <v>20000</v>
      </c>
      <c r="W17650" s="28">
        <v>23414196</v>
      </c>
    </row>
    <row r="17651" spans="20:23" ht="36.75" thickBot="1" x14ac:dyDescent="0.25">
      <c r="T17651" s="28">
        <v>23414197</v>
      </c>
      <c r="U17651" s="29" t="s">
        <v>219</v>
      </c>
      <c r="V17651" s="30">
        <v>20000</v>
      </c>
      <c r="W17651" s="28">
        <v>23414197</v>
      </c>
    </row>
    <row r="17652" spans="20:23" ht="24.75" thickBot="1" x14ac:dyDescent="0.25">
      <c r="T17652" s="28">
        <v>23414198</v>
      </c>
      <c r="U17652" s="29" t="s">
        <v>220</v>
      </c>
      <c r="V17652" s="30">
        <v>20000</v>
      </c>
      <c r="W17652" s="28">
        <v>23414198</v>
      </c>
    </row>
    <row r="17653" spans="20:23" ht="24.75" thickBot="1" x14ac:dyDescent="0.25">
      <c r="T17653" s="28">
        <v>23414199</v>
      </c>
      <c r="U17653" s="29" t="s">
        <v>221</v>
      </c>
      <c r="V17653" s="30">
        <v>20000</v>
      </c>
      <c r="W17653" s="28">
        <v>23414199</v>
      </c>
    </row>
    <row r="17654" spans="20:23" ht="24.75" thickBot="1" x14ac:dyDescent="0.25">
      <c r="T17654" s="28">
        <v>23414200</v>
      </c>
      <c r="U17654" s="29" t="s">
        <v>222</v>
      </c>
      <c r="V17654" s="30">
        <v>20000</v>
      </c>
      <c r="W17654" s="28">
        <v>23414200</v>
      </c>
    </row>
    <row r="17655" spans="20:23" ht="24.75" thickBot="1" x14ac:dyDescent="0.25">
      <c r="T17655" s="28">
        <v>23414201</v>
      </c>
      <c r="U17655" s="29" t="s">
        <v>223</v>
      </c>
      <c r="V17655" s="30">
        <v>20000</v>
      </c>
      <c r="W17655" s="28">
        <v>23414201</v>
      </c>
    </row>
    <row r="17656" spans="20:23" ht="24.75" thickBot="1" x14ac:dyDescent="0.25">
      <c r="T17656" s="28">
        <v>23414202</v>
      </c>
      <c r="U17656" s="29" t="s">
        <v>224</v>
      </c>
      <c r="V17656" s="30">
        <v>20000</v>
      </c>
      <c r="W17656" s="28">
        <v>23414202</v>
      </c>
    </row>
    <row r="17657" spans="20:23" ht="24.75" thickBot="1" x14ac:dyDescent="0.25">
      <c r="T17657" s="28">
        <v>23414203</v>
      </c>
      <c r="U17657" s="29" t="s">
        <v>225</v>
      </c>
      <c r="V17657" s="30">
        <v>20000</v>
      </c>
      <c r="W17657" s="28">
        <v>23414203</v>
      </c>
    </row>
    <row r="17658" spans="20:23" ht="24.75" thickBot="1" x14ac:dyDescent="0.25">
      <c r="T17658" s="28">
        <v>23414204</v>
      </c>
      <c r="U17658" s="29" t="s">
        <v>226</v>
      </c>
      <c r="V17658" s="30">
        <v>20000</v>
      </c>
      <c r="W17658" s="28">
        <v>23414204</v>
      </c>
    </row>
    <row r="17659" spans="20:23" ht="24.75" thickBot="1" x14ac:dyDescent="0.25">
      <c r="T17659" s="28">
        <v>23414205</v>
      </c>
      <c r="U17659" s="29" t="s">
        <v>227</v>
      </c>
      <c r="V17659" s="30">
        <v>20000</v>
      </c>
      <c r="W17659" s="28">
        <v>23414205</v>
      </c>
    </row>
    <row r="17660" spans="20:23" ht="24.75" thickBot="1" x14ac:dyDescent="0.25">
      <c r="T17660" s="28">
        <v>23414206</v>
      </c>
      <c r="U17660" s="29" t="s">
        <v>228</v>
      </c>
      <c r="V17660" s="30">
        <v>20000</v>
      </c>
      <c r="W17660" s="28">
        <v>23414206</v>
      </c>
    </row>
    <row r="17661" spans="20:23" ht="24.75" thickBot="1" x14ac:dyDescent="0.25">
      <c r="T17661" s="28">
        <v>23414207</v>
      </c>
      <c r="U17661" s="29" t="s">
        <v>229</v>
      </c>
      <c r="V17661" s="30">
        <v>20000</v>
      </c>
      <c r="W17661" s="28">
        <v>23414207</v>
      </c>
    </row>
    <row r="17662" spans="20:23" ht="24.75" thickBot="1" x14ac:dyDescent="0.25">
      <c r="T17662" s="28">
        <v>23414208</v>
      </c>
      <c r="U17662" s="29" t="s">
        <v>230</v>
      </c>
      <c r="V17662" s="30">
        <v>20000</v>
      </c>
      <c r="W17662" s="28">
        <v>23414208</v>
      </c>
    </row>
    <row r="17663" spans="20:23" ht="24.75" thickBot="1" x14ac:dyDescent="0.25">
      <c r="T17663" s="28">
        <v>23414209</v>
      </c>
      <c r="U17663" s="29" t="s">
        <v>231</v>
      </c>
      <c r="V17663" s="30">
        <v>20000</v>
      </c>
      <c r="W17663" s="28">
        <v>23414209</v>
      </c>
    </row>
    <row r="17664" spans="20:23" ht="13.5" thickBot="1" x14ac:dyDescent="0.25">
      <c r="T17664" s="28">
        <v>23414210</v>
      </c>
      <c r="U17664" s="29" t="s">
        <v>232</v>
      </c>
      <c r="V17664" s="30">
        <v>20000</v>
      </c>
      <c r="W17664" s="28">
        <v>23414210</v>
      </c>
    </row>
    <row r="17665" spans="20:23" ht="24.75" thickBot="1" x14ac:dyDescent="0.25">
      <c r="T17665" s="28">
        <v>23414211</v>
      </c>
      <c r="U17665" s="29" t="s">
        <v>233</v>
      </c>
      <c r="V17665" s="30">
        <v>20000</v>
      </c>
      <c r="W17665" s="28">
        <v>23414211</v>
      </c>
    </row>
    <row r="17666" spans="20:23" ht="24.75" thickBot="1" x14ac:dyDescent="0.25">
      <c r="T17666" s="28">
        <v>23414212</v>
      </c>
      <c r="U17666" s="29" t="s">
        <v>234</v>
      </c>
      <c r="V17666" s="30">
        <v>20000</v>
      </c>
      <c r="W17666" s="28">
        <v>23414212</v>
      </c>
    </row>
    <row r="17667" spans="20:23" ht="24.75" thickBot="1" x14ac:dyDescent="0.25">
      <c r="T17667" s="28">
        <v>23414213</v>
      </c>
      <c r="U17667" s="29" t="s">
        <v>235</v>
      </c>
      <c r="V17667" s="30">
        <v>20000</v>
      </c>
      <c r="W17667" s="28">
        <v>23414213</v>
      </c>
    </row>
    <row r="17668" spans="20:23" ht="24.75" thickBot="1" x14ac:dyDescent="0.25">
      <c r="T17668" s="28">
        <v>23414214</v>
      </c>
      <c r="U17668" s="29" t="s">
        <v>236</v>
      </c>
      <c r="V17668" s="30">
        <v>20000</v>
      </c>
      <c r="W17668" s="28">
        <v>23414214</v>
      </c>
    </row>
    <row r="17669" spans="20:23" ht="24.75" thickBot="1" x14ac:dyDescent="0.25">
      <c r="T17669" s="28">
        <v>23414215</v>
      </c>
      <c r="U17669" s="29" t="s">
        <v>237</v>
      </c>
      <c r="V17669" s="30">
        <v>20000</v>
      </c>
      <c r="W17669" s="28">
        <v>23414215</v>
      </c>
    </row>
    <row r="17670" spans="20:23" ht="24.75" thickBot="1" x14ac:dyDescent="0.25">
      <c r="T17670" s="28">
        <v>23414216</v>
      </c>
      <c r="U17670" s="29" t="s">
        <v>238</v>
      </c>
      <c r="V17670" s="30">
        <v>20000</v>
      </c>
      <c r="W17670" s="28">
        <v>23414216</v>
      </c>
    </row>
    <row r="17671" spans="20:23" ht="24.75" thickBot="1" x14ac:dyDescent="0.25">
      <c r="T17671" s="28">
        <v>23414217</v>
      </c>
      <c r="U17671" s="29" t="s">
        <v>239</v>
      </c>
      <c r="V17671" s="30">
        <v>20000</v>
      </c>
      <c r="W17671" s="28">
        <v>23414217</v>
      </c>
    </row>
    <row r="17672" spans="20:23" ht="24.75" thickBot="1" x14ac:dyDescent="0.25">
      <c r="T17672" s="28">
        <v>23414218</v>
      </c>
      <c r="U17672" s="29" t="s">
        <v>240</v>
      </c>
      <c r="V17672" s="30">
        <v>20000</v>
      </c>
      <c r="W17672" s="28">
        <v>23414218</v>
      </c>
    </row>
    <row r="17673" spans="20:23" ht="24.75" thickBot="1" x14ac:dyDescent="0.25">
      <c r="T17673" s="28">
        <v>23414219</v>
      </c>
      <c r="U17673" s="29" t="s">
        <v>241</v>
      </c>
      <c r="V17673" s="30">
        <v>20000</v>
      </c>
      <c r="W17673" s="28">
        <v>23414219</v>
      </c>
    </row>
    <row r="17674" spans="20:23" ht="24.75" thickBot="1" x14ac:dyDescent="0.25">
      <c r="T17674" s="28">
        <v>23414220</v>
      </c>
      <c r="U17674" s="29" t="s">
        <v>242</v>
      </c>
      <c r="V17674" s="30">
        <v>20000</v>
      </c>
      <c r="W17674" s="28">
        <v>23414220</v>
      </c>
    </row>
    <row r="17675" spans="20:23" ht="24.75" thickBot="1" x14ac:dyDescent="0.25">
      <c r="T17675" s="28">
        <v>23414221</v>
      </c>
      <c r="U17675" s="29" t="s">
        <v>243</v>
      </c>
      <c r="V17675" s="30">
        <v>20000</v>
      </c>
      <c r="W17675" s="28">
        <v>23414221</v>
      </c>
    </row>
    <row r="17676" spans="20:23" ht="24.75" thickBot="1" x14ac:dyDescent="0.25">
      <c r="T17676" s="28">
        <v>23414222</v>
      </c>
      <c r="U17676" s="29" t="s">
        <v>244</v>
      </c>
      <c r="V17676" s="30">
        <v>20000</v>
      </c>
      <c r="W17676" s="28">
        <v>23414222</v>
      </c>
    </row>
    <row r="17677" spans="20:23" ht="24.75" thickBot="1" x14ac:dyDescent="0.25">
      <c r="T17677" s="28">
        <v>23414223</v>
      </c>
      <c r="U17677" s="29" t="s">
        <v>245</v>
      </c>
      <c r="V17677" s="30">
        <v>20000</v>
      </c>
      <c r="W17677" s="28">
        <v>23414223</v>
      </c>
    </row>
    <row r="17678" spans="20:23" ht="24.75" thickBot="1" x14ac:dyDescent="0.25">
      <c r="T17678" s="28">
        <v>23414224</v>
      </c>
      <c r="U17678" s="29" t="s">
        <v>246</v>
      </c>
      <c r="V17678" s="30">
        <v>20000</v>
      </c>
      <c r="W17678" s="28">
        <v>23414224</v>
      </c>
    </row>
    <row r="17679" spans="20:23" ht="13.5" thickBot="1" x14ac:dyDescent="0.25">
      <c r="T17679" s="28">
        <v>23414225</v>
      </c>
      <c r="U17679" s="29" t="s">
        <v>247</v>
      </c>
      <c r="V17679" s="30">
        <v>20000</v>
      </c>
      <c r="W17679" s="28">
        <v>23414225</v>
      </c>
    </row>
    <row r="17680" spans="20:23" ht="24.75" thickBot="1" x14ac:dyDescent="0.25">
      <c r="T17680" s="28">
        <v>23414226</v>
      </c>
      <c r="U17680" s="29" t="s">
        <v>248</v>
      </c>
      <c r="V17680" s="30">
        <v>20000</v>
      </c>
      <c r="W17680" s="28">
        <v>23414226</v>
      </c>
    </row>
    <row r="17681" spans="20:23" ht="24.75" thickBot="1" x14ac:dyDescent="0.25">
      <c r="T17681" s="28">
        <v>23414228</v>
      </c>
      <c r="U17681" s="29" t="s">
        <v>249</v>
      </c>
      <c r="V17681" s="30">
        <v>20000</v>
      </c>
      <c r="W17681" s="28">
        <v>23414228</v>
      </c>
    </row>
    <row r="17682" spans="20:23" ht="24.75" thickBot="1" x14ac:dyDescent="0.25">
      <c r="T17682" s="28">
        <v>23414229</v>
      </c>
      <c r="U17682" s="29" t="s">
        <v>250</v>
      </c>
      <c r="V17682" s="30">
        <v>20000</v>
      </c>
      <c r="W17682" s="28">
        <v>23414229</v>
      </c>
    </row>
    <row r="17683" spans="20:23" ht="24.75" thickBot="1" x14ac:dyDescent="0.25">
      <c r="T17683" s="28">
        <v>23414230</v>
      </c>
      <c r="U17683" s="29" t="s">
        <v>251</v>
      </c>
      <c r="V17683" s="30">
        <v>20000</v>
      </c>
      <c r="W17683" s="28">
        <v>23414230</v>
      </c>
    </row>
    <row r="17684" spans="20:23" ht="36.75" thickBot="1" x14ac:dyDescent="0.25">
      <c r="T17684" s="28">
        <v>23414231</v>
      </c>
      <c r="U17684" s="29" t="s">
        <v>252</v>
      </c>
      <c r="V17684" s="30">
        <v>20000</v>
      </c>
      <c r="W17684" s="28">
        <v>23414231</v>
      </c>
    </row>
    <row r="17685" spans="20:23" ht="24.75" thickBot="1" x14ac:dyDescent="0.25">
      <c r="T17685" s="28">
        <v>23414232</v>
      </c>
      <c r="U17685" s="29" t="s">
        <v>253</v>
      </c>
      <c r="V17685" s="30">
        <v>20000</v>
      </c>
      <c r="W17685" s="28">
        <v>23414232</v>
      </c>
    </row>
    <row r="17686" spans="20:23" ht="13.5" thickBot="1" x14ac:dyDescent="0.25">
      <c r="T17686" s="28">
        <v>23414233</v>
      </c>
      <c r="U17686" s="29" t="s">
        <v>254</v>
      </c>
      <c r="V17686" s="30">
        <v>20000</v>
      </c>
      <c r="W17686" s="28">
        <v>23414233</v>
      </c>
    </row>
    <row r="17687" spans="20:23" ht="24.75" thickBot="1" x14ac:dyDescent="0.25">
      <c r="T17687" s="28">
        <v>23414234</v>
      </c>
      <c r="U17687" s="29" t="s">
        <v>255</v>
      </c>
      <c r="V17687" s="30">
        <v>20000</v>
      </c>
      <c r="W17687" s="28">
        <v>23414234</v>
      </c>
    </row>
    <row r="17688" spans="20:23" ht="36.75" thickBot="1" x14ac:dyDescent="0.25">
      <c r="T17688" s="28">
        <v>23414235</v>
      </c>
      <c r="U17688" s="29" t="s">
        <v>256</v>
      </c>
      <c r="V17688" s="30">
        <v>20000</v>
      </c>
      <c r="W17688" s="28">
        <v>23414235</v>
      </c>
    </row>
    <row r="17689" spans="20:23" ht="24.75" thickBot="1" x14ac:dyDescent="0.25">
      <c r="T17689" s="28">
        <v>23414236</v>
      </c>
      <c r="U17689" s="29" t="s">
        <v>257</v>
      </c>
      <c r="V17689" s="30">
        <v>20000</v>
      </c>
      <c r="W17689" s="28">
        <v>23414236</v>
      </c>
    </row>
    <row r="17690" spans="20:23" ht="13.5" thickBot="1" x14ac:dyDescent="0.25">
      <c r="T17690" s="28">
        <v>23414237</v>
      </c>
      <c r="U17690" s="29" t="s">
        <v>258</v>
      </c>
      <c r="V17690" s="30">
        <v>20000</v>
      </c>
      <c r="W17690" s="28">
        <v>23414237</v>
      </c>
    </row>
    <row r="17691" spans="20:23" ht="24.75" thickBot="1" x14ac:dyDescent="0.25">
      <c r="T17691" s="28">
        <v>23414238</v>
      </c>
      <c r="U17691" s="29" t="s">
        <v>259</v>
      </c>
      <c r="V17691" s="30">
        <v>20000</v>
      </c>
      <c r="W17691" s="28">
        <v>23414238</v>
      </c>
    </row>
    <row r="17692" spans="20:23" ht="24.75" thickBot="1" x14ac:dyDescent="0.25">
      <c r="T17692" s="28">
        <v>23414239</v>
      </c>
      <c r="U17692" s="29" t="s">
        <v>260</v>
      </c>
      <c r="V17692" s="30">
        <v>20000</v>
      </c>
      <c r="W17692" s="28">
        <v>23414239</v>
      </c>
    </row>
    <row r="17693" spans="20:23" ht="24.75" thickBot="1" x14ac:dyDescent="0.25">
      <c r="T17693" s="28">
        <v>23414240</v>
      </c>
      <c r="U17693" s="29" t="s">
        <v>261</v>
      </c>
      <c r="V17693" s="30">
        <v>20000</v>
      </c>
      <c r="W17693" s="28">
        <v>23414240</v>
      </c>
    </row>
    <row r="17694" spans="20:23" ht="24.75" thickBot="1" x14ac:dyDescent="0.25">
      <c r="T17694" s="28">
        <v>23414241</v>
      </c>
      <c r="U17694" s="29" t="s">
        <v>262</v>
      </c>
      <c r="V17694" s="30">
        <v>20000</v>
      </c>
      <c r="W17694" s="28">
        <v>23414241</v>
      </c>
    </row>
    <row r="17695" spans="20:23" ht="24.75" thickBot="1" x14ac:dyDescent="0.25">
      <c r="T17695" s="28">
        <v>23414242</v>
      </c>
      <c r="U17695" s="29" t="s">
        <v>263</v>
      </c>
      <c r="V17695" s="30">
        <v>20000</v>
      </c>
      <c r="W17695" s="28">
        <v>23414242</v>
      </c>
    </row>
    <row r="17696" spans="20:23" ht="24.75" thickBot="1" x14ac:dyDescent="0.25">
      <c r="T17696" s="28">
        <v>23414243</v>
      </c>
      <c r="U17696" s="29" t="s">
        <v>264</v>
      </c>
      <c r="V17696" s="30">
        <v>20000</v>
      </c>
      <c r="W17696" s="28">
        <v>23414243</v>
      </c>
    </row>
    <row r="17697" spans="20:23" ht="13.5" thickBot="1" x14ac:dyDescent="0.25">
      <c r="T17697" s="28">
        <v>23414244</v>
      </c>
      <c r="U17697" s="29" t="s">
        <v>265</v>
      </c>
      <c r="V17697" s="30">
        <v>20000</v>
      </c>
      <c r="W17697" s="28">
        <v>23414244</v>
      </c>
    </row>
    <row r="17698" spans="20:23" ht="13.5" thickBot="1" x14ac:dyDescent="0.25">
      <c r="T17698" s="28">
        <v>23414245</v>
      </c>
      <c r="U17698" s="29" t="s">
        <v>266</v>
      </c>
      <c r="V17698" s="30">
        <v>20000</v>
      </c>
      <c r="W17698" s="28">
        <v>23414245</v>
      </c>
    </row>
    <row r="17699" spans="20:23" ht="13.5" thickBot="1" x14ac:dyDescent="0.25">
      <c r="T17699" s="28">
        <v>23414246</v>
      </c>
      <c r="U17699" s="29" t="s">
        <v>267</v>
      </c>
      <c r="V17699" s="30">
        <v>20000</v>
      </c>
      <c r="W17699" s="28">
        <v>23414246</v>
      </c>
    </row>
    <row r="17700" spans="20:23" ht="24.75" thickBot="1" x14ac:dyDescent="0.25">
      <c r="T17700" s="28">
        <v>23414247</v>
      </c>
      <c r="U17700" s="29" t="s">
        <v>268</v>
      </c>
      <c r="V17700" s="30">
        <v>20000</v>
      </c>
      <c r="W17700" s="28">
        <v>23414247</v>
      </c>
    </row>
    <row r="17701" spans="20:23" ht="24.75" thickBot="1" x14ac:dyDescent="0.25">
      <c r="T17701" s="28">
        <v>23414248</v>
      </c>
      <c r="U17701" s="29" t="s">
        <v>269</v>
      </c>
      <c r="V17701" s="30">
        <v>20000</v>
      </c>
      <c r="W17701" s="28">
        <v>23414248</v>
      </c>
    </row>
    <row r="17702" spans="20:23" ht="24.75" thickBot="1" x14ac:dyDescent="0.25">
      <c r="T17702" s="28">
        <v>23414250</v>
      </c>
      <c r="U17702" s="29" t="s">
        <v>270</v>
      </c>
      <c r="V17702" s="30">
        <v>20000</v>
      </c>
      <c r="W17702" s="28">
        <v>23414250</v>
      </c>
    </row>
    <row r="17703" spans="20:23" ht="24.75" thickBot="1" x14ac:dyDescent="0.25">
      <c r="T17703" s="28">
        <v>23414251</v>
      </c>
      <c r="U17703" s="29" t="s">
        <v>271</v>
      </c>
      <c r="V17703" s="30">
        <v>20000</v>
      </c>
      <c r="W17703" s="28">
        <v>23414251</v>
      </c>
    </row>
    <row r="17704" spans="20:23" ht="24.75" thickBot="1" x14ac:dyDescent="0.25">
      <c r="T17704" s="28">
        <v>23414252</v>
      </c>
      <c r="U17704" s="29" t="s">
        <v>272</v>
      </c>
      <c r="V17704" s="30">
        <v>20000</v>
      </c>
      <c r="W17704" s="28">
        <v>23414252</v>
      </c>
    </row>
    <row r="17705" spans="20:23" ht="24.75" thickBot="1" x14ac:dyDescent="0.25">
      <c r="T17705" s="28">
        <v>23414253</v>
      </c>
      <c r="U17705" s="29" t="s">
        <v>273</v>
      </c>
      <c r="V17705" s="30">
        <v>20000</v>
      </c>
      <c r="W17705" s="28">
        <v>23414253</v>
      </c>
    </row>
    <row r="17706" spans="20:23" ht="13.5" thickBot="1" x14ac:dyDescent="0.25">
      <c r="T17706" s="28">
        <v>23414254</v>
      </c>
      <c r="U17706" s="29" t="s">
        <v>274</v>
      </c>
      <c r="V17706" s="30">
        <v>20000</v>
      </c>
      <c r="W17706" s="28">
        <v>23414254</v>
      </c>
    </row>
    <row r="17707" spans="20:23" ht="13.5" thickBot="1" x14ac:dyDescent="0.25">
      <c r="T17707" s="28">
        <v>23414255</v>
      </c>
      <c r="U17707" s="29" t="s">
        <v>275</v>
      </c>
      <c r="V17707" s="30">
        <v>20000</v>
      </c>
      <c r="W17707" s="28">
        <v>23414255</v>
      </c>
    </row>
    <row r="17708" spans="20:23" ht="24.75" thickBot="1" x14ac:dyDescent="0.25">
      <c r="T17708" s="28">
        <v>23414256</v>
      </c>
      <c r="U17708" s="29" t="s">
        <v>276</v>
      </c>
      <c r="V17708" s="30">
        <v>20000</v>
      </c>
      <c r="W17708" s="28">
        <v>23414256</v>
      </c>
    </row>
    <row r="17709" spans="20:23" ht="24.75" thickBot="1" x14ac:dyDescent="0.25">
      <c r="T17709" s="28">
        <v>23414257</v>
      </c>
      <c r="U17709" s="29" t="s">
        <v>277</v>
      </c>
      <c r="V17709" s="30">
        <v>20000</v>
      </c>
      <c r="W17709" s="28">
        <v>23414257</v>
      </c>
    </row>
    <row r="17710" spans="20:23" ht="24.75" thickBot="1" x14ac:dyDescent="0.25">
      <c r="T17710" s="28">
        <v>23414258</v>
      </c>
      <c r="U17710" s="29" t="s">
        <v>278</v>
      </c>
      <c r="V17710" s="30">
        <v>20000</v>
      </c>
      <c r="W17710" s="28">
        <v>23414258</v>
      </c>
    </row>
    <row r="17711" spans="20:23" ht="24.75" thickBot="1" x14ac:dyDescent="0.25">
      <c r="T17711" s="28">
        <v>23414259</v>
      </c>
      <c r="U17711" s="29" t="s">
        <v>279</v>
      </c>
      <c r="V17711" s="30">
        <v>20000</v>
      </c>
      <c r="W17711" s="28">
        <v>23414259</v>
      </c>
    </row>
    <row r="17712" spans="20:23" ht="24.75" thickBot="1" x14ac:dyDescent="0.25">
      <c r="T17712" s="28">
        <v>23414260</v>
      </c>
      <c r="U17712" s="29" t="s">
        <v>280</v>
      </c>
      <c r="V17712" s="30">
        <v>20000</v>
      </c>
      <c r="W17712" s="28">
        <v>23414260</v>
      </c>
    </row>
    <row r="17713" spans="20:23" ht="36.75" thickBot="1" x14ac:dyDescent="0.25">
      <c r="T17713" s="28">
        <v>23414261</v>
      </c>
      <c r="U17713" s="29" t="s">
        <v>281</v>
      </c>
      <c r="V17713" s="30">
        <v>20000</v>
      </c>
      <c r="W17713" s="28">
        <v>23414261</v>
      </c>
    </row>
    <row r="17714" spans="20:23" ht="24.75" thickBot="1" x14ac:dyDescent="0.25">
      <c r="T17714" s="28">
        <v>23414262</v>
      </c>
      <c r="U17714" s="29" t="s">
        <v>282</v>
      </c>
      <c r="V17714" s="30">
        <v>20000</v>
      </c>
      <c r="W17714" s="28">
        <v>23414262</v>
      </c>
    </row>
    <row r="17715" spans="20:23" ht="24.75" thickBot="1" x14ac:dyDescent="0.25">
      <c r="T17715" s="28">
        <v>23414263</v>
      </c>
      <c r="U17715" s="29" t="s">
        <v>283</v>
      </c>
      <c r="V17715" s="30">
        <v>20000</v>
      </c>
      <c r="W17715" s="28">
        <v>23414263</v>
      </c>
    </row>
    <row r="17716" spans="20:23" ht="13.5" thickBot="1" x14ac:dyDescent="0.25">
      <c r="T17716" s="28">
        <v>23414264</v>
      </c>
      <c r="U17716" s="29" t="s">
        <v>284</v>
      </c>
      <c r="V17716" s="30">
        <v>20000</v>
      </c>
      <c r="W17716" s="28">
        <v>23414264</v>
      </c>
    </row>
    <row r="17717" spans="20:23" ht="24.75" thickBot="1" x14ac:dyDescent="0.25">
      <c r="T17717" s="28">
        <v>23414265</v>
      </c>
      <c r="U17717" s="29" t="s">
        <v>285</v>
      </c>
      <c r="V17717" s="30">
        <v>20000</v>
      </c>
      <c r="W17717" s="28">
        <v>23414265</v>
      </c>
    </row>
    <row r="17718" spans="20:23" ht="24.75" thickBot="1" x14ac:dyDescent="0.25">
      <c r="T17718" s="28">
        <v>23414266</v>
      </c>
      <c r="U17718" s="29" t="s">
        <v>286</v>
      </c>
      <c r="V17718" s="30">
        <v>20000</v>
      </c>
      <c r="W17718" s="28">
        <v>23414266</v>
      </c>
    </row>
    <row r="17719" spans="20:23" ht="13.5" thickBot="1" x14ac:dyDescent="0.25">
      <c r="T17719" s="28">
        <v>23414267</v>
      </c>
      <c r="U17719" s="29" t="s">
        <v>287</v>
      </c>
      <c r="V17719" s="30">
        <v>20000</v>
      </c>
      <c r="W17719" s="28">
        <v>23414267</v>
      </c>
    </row>
    <row r="17720" spans="20:23" ht="24.75" thickBot="1" x14ac:dyDescent="0.25">
      <c r="T17720" s="28">
        <v>23414268</v>
      </c>
      <c r="U17720" s="29" t="s">
        <v>288</v>
      </c>
      <c r="V17720" s="30">
        <v>20000</v>
      </c>
      <c r="W17720" s="28">
        <v>23414268</v>
      </c>
    </row>
    <row r="17721" spans="20:23" ht="24.75" thickBot="1" x14ac:dyDescent="0.25">
      <c r="T17721" s="28">
        <v>23414269</v>
      </c>
      <c r="U17721" s="29" t="s">
        <v>289</v>
      </c>
      <c r="V17721" s="30">
        <v>20000</v>
      </c>
      <c r="W17721" s="28">
        <v>23414269</v>
      </c>
    </row>
    <row r="17722" spans="20:23" ht="24.75" thickBot="1" x14ac:dyDescent="0.25">
      <c r="T17722" s="28">
        <v>23414270</v>
      </c>
      <c r="U17722" s="29" t="s">
        <v>290</v>
      </c>
      <c r="V17722" s="30">
        <v>20000</v>
      </c>
      <c r="W17722" s="28">
        <v>23414270</v>
      </c>
    </row>
    <row r="17723" spans="20:23" ht="24.75" thickBot="1" x14ac:dyDescent="0.25">
      <c r="T17723" s="28">
        <v>23414271</v>
      </c>
      <c r="U17723" s="29" t="s">
        <v>291</v>
      </c>
      <c r="V17723" s="30">
        <v>20000</v>
      </c>
      <c r="W17723" s="28">
        <v>23414271</v>
      </c>
    </row>
    <row r="17724" spans="20:23" ht="13.5" thickBot="1" x14ac:dyDescent="0.25">
      <c r="T17724" s="28">
        <v>23414272</v>
      </c>
      <c r="U17724" s="29" t="s">
        <v>292</v>
      </c>
      <c r="V17724" s="30">
        <v>20000</v>
      </c>
      <c r="W17724" s="28">
        <v>23414272</v>
      </c>
    </row>
    <row r="17725" spans="20:23" ht="13.5" thickBot="1" x14ac:dyDescent="0.25">
      <c r="T17725" s="28">
        <v>23414273</v>
      </c>
      <c r="U17725" s="29" t="s">
        <v>293</v>
      </c>
      <c r="V17725" s="30">
        <v>20000</v>
      </c>
      <c r="W17725" s="28">
        <v>23414273</v>
      </c>
    </row>
    <row r="17726" spans="20:23" ht="13.5" thickBot="1" x14ac:dyDescent="0.25">
      <c r="T17726" s="28">
        <v>23414274</v>
      </c>
      <c r="U17726" s="29" t="s">
        <v>294</v>
      </c>
      <c r="V17726" s="30">
        <v>20000</v>
      </c>
      <c r="W17726" s="28">
        <v>23414274</v>
      </c>
    </row>
    <row r="17727" spans="20:23" ht="13.5" thickBot="1" x14ac:dyDescent="0.25">
      <c r="T17727" s="28">
        <v>23414277</v>
      </c>
      <c r="U17727" s="29" t="s">
        <v>295</v>
      </c>
      <c r="V17727" s="30">
        <v>20000</v>
      </c>
      <c r="W17727" s="28">
        <v>23414277</v>
      </c>
    </row>
    <row r="17728" spans="20:23" ht="24.75" thickBot="1" x14ac:dyDescent="0.25">
      <c r="T17728" s="28">
        <v>23414278</v>
      </c>
      <c r="U17728" s="29" t="s">
        <v>296</v>
      </c>
      <c r="V17728" s="30">
        <v>20000</v>
      </c>
      <c r="W17728" s="28">
        <v>23414278</v>
      </c>
    </row>
    <row r="17729" spans="20:23" ht="13.5" thickBot="1" x14ac:dyDescent="0.25">
      <c r="T17729" s="28">
        <v>23414279</v>
      </c>
      <c r="U17729" s="29" t="s">
        <v>297</v>
      </c>
      <c r="V17729" s="30">
        <v>20000</v>
      </c>
      <c r="W17729" s="28">
        <v>23414279</v>
      </c>
    </row>
    <row r="17730" spans="20:23" ht="24.75" thickBot="1" x14ac:dyDescent="0.25">
      <c r="T17730" s="28">
        <v>23414280</v>
      </c>
      <c r="U17730" s="29" t="s">
        <v>298</v>
      </c>
      <c r="V17730" s="30">
        <v>20000</v>
      </c>
      <c r="W17730" s="28">
        <v>23414280</v>
      </c>
    </row>
    <row r="17731" spans="20:23" ht="24.75" thickBot="1" x14ac:dyDescent="0.25">
      <c r="T17731" s="28">
        <v>23414281</v>
      </c>
      <c r="U17731" s="29" t="s">
        <v>299</v>
      </c>
      <c r="V17731" s="30">
        <v>20000</v>
      </c>
      <c r="W17731" s="28">
        <v>23414281</v>
      </c>
    </row>
    <row r="17732" spans="20:23" ht="24.75" thickBot="1" x14ac:dyDescent="0.25">
      <c r="T17732" s="28">
        <v>23414282</v>
      </c>
      <c r="U17732" s="29" t="s">
        <v>300</v>
      </c>
      <c r="V17732" s="30">
        <v>20000</v>
      </c>
      <c r="W17732" s="28">
        <v>23414282</v>
      </c>
    </row>
    <row r="17733" spans="20:23" ht="13.5" thickBot="1" x14ac:dyDescent="0.25">
      <c r="T17733" s="28">
        <v>23414283</v>
      </c>
      <c r="U17733" s="29" t="s">
        <v>301</v>
      </c>
      <c r="V17733" s="30">
        <v>20000</v>
      </c>
      <c r="W17733" s="28">
        <v>23414283</v>
      </c>
    </row>
    <row r="17734" spans="20:23" ht="13.5" thickBot="1" x14ac:dyDescent="0.25">
      <c r="T17734" s="28">
        <v>23414284</v>
      </c>
      <c r="U17734" s="29" t="s">
        <v>302</v>
      </c>
      <c r="V17734" s="30">
        <v>20000</v>
      </c>
      <c r="W17734" s="28">
        <v>23414284</v>
      </c>
    </row>
    <row r="17735" spans="20:23" ht="24.75" thickBot="1" x14ac:dyDescent="0.25">
      <c r="T17735" s="28">
        <v>23414285</v>
      </c>
      <c r="U17735" s="29" t="s">
        <v>303</v>
      </c>
      <c r="V17735" s="30">
        <v>20000</v>
      </c>
      <c r="W17735" s="28">
        <v>23414285</v>
      </c>
    </row>
    <row r="17736" spans="20:23" ht="24.75" thickBot="1" x14ac:dyDescent="0.25">
      <c r="T17736" s="28">
        <v>23414286</v>
      </c>
      <c r="U17736" s="29" t="s">
        <v>304</v>
      </c>
      <c r="V17736" s="30">
        <v>20000</v>
      </c>
      <c r="W17736" s="28">
        <v>23414286</v>
      </c>
    </row>
    <row r="17737" spans="20:23" ht="13.5" thickBot="1" x14ac:dyDescent="0.25">
      <c r="T17737" s="28">
        <v>23414287</v>
      </c>
      <c r="U17737" s="29" t="s">
        <v>305</v>
      </c>
      <c r="V17737" s="30">
        <v>20000</v>
      </c>
      <c r="W17737" s="28">
        <v>23414287</v>
      </c>
    </row>
    <row r="17738" spans="20:23" ht="13.5" thickBot="1" x14ac:dyDescent="0.25">
      <c r="T17738" s="28">
        <v>23414288</v>
      </c>
      <c r="U17738" s="29" t="s">
        <v>306</v>
      </c>
      <c r="V17738" s="30">
        <v>20000</v>
      </c>
      <c r="W17738" s="28">
        <v>23414288</v>
      </c>
    </row>
    <row r="17739" spans="20:23" ht="13.5" thickBot="1" x14ac:dyDescent="0.25">
      <c r="T17739" s="28">
        <v>23414289</v>
      </c>
      <c r="U17739" s="29" t="s">
        <v>307</v>
      </c>
      <c r="V17739" s="30">
        <v>20000</v>
      </c>
      <c r="W17739" s="28">
        <v>23414289</v>
      </c>
    </row>
    <row r="17740" spans="20:23" ht="13.5" thickBot="1" x14ac:dyDescent="0.25">
      <c r="T17740" s="28">
        <v>23414290</v>
      </c>
      <c r="U17740" s="29" t="s">
        <v>308</v>
      </c>
      <c r="V17740" s="30">
        <v>20000</v>
      </c>
      <c r="W17740" s="28">
        <v>23414290</v>
      </c>
    </row>
    <row r="17741" spans="20:23" ht="13.5" thickBot="1" x14ac:dyDescent="0.25">
      <c r="T17741" s="28">
        <v>23414291</v>
      </c>
      <c r="U17741" s="29" t="s">
        <v>309</v>
      </c>
      <c r="V17741" s="30">
        <v>20000</v>
      </c>
      <c r="W17741" s="28">
        <v>23414291</v>
      </c>
    </row>
    <row r="17742" spans="20:23" ht="24.75" thickBot="1" x14ac:dyDescent="0.25">
      <c r="T17742" s="28">
        <v>23414292</v>
      </c>
      <c r="U17742" s="29" t="s">
        <v>310</v>
      </c>
      <c r="V17742" s="30">
        <v>20000</v>
      </c>
      <c r="W17742" s="28">
        <v>23414292</v>
      </c>
    </row>
    <row r="17743" spans="20:23" ht="13.5" thickBot="1" x14ac:dyDescent="0.25">
      <c r="T17743" s="28">
        <v>23414295</v>
      </c>
      <c r="U17743" s="29" t="s">
        <v>311</v>
      </c>
      <c r="V17743" s="30">
        <v>20000</v>
      </c>
      <c r="W17743" s="28">
        <v>23414295</v>
      </c>
    </row>
    <row r="17744" spans="20:23" ht="24.75" thickBot="1" x14ac:dyDescent="0.25">
      <c r="T17744" s="28">
        <v>23414296</v>
      </c>
      <c r="U17744" s="29" t="s">
        <v>312</v>
      </c>
      <c r="V17744" s="30">
        <v>20000</v>
      </c>
      <c r="W17744" s="28">
        <v>23414296</v>
      </c>
    </row>
    <row r="17745" spans="20:23" ht="24.75" thickBot="1" x14ac:dyDescent="0.25">
      <c r="T17745" s="28">
        <v>23414298</v>
      </c>
      <c r="U17745" s="29" t="s">
        <v>313</v>
      </c>
      <c r="V17745" s="30">
        <v>20000</v>
      </c>
      <c r="W17745" s="28">
        <v>23414298</v>
      </c>
    </row>
    <row r="17746" spans="20:23" ht="24.75" thickBot="1" x14ac:dyDescent="0.25">
      <c r="T17746" s="28">
        <v>23414299</v>
      </c>
      <c r="U17746" s="29" t="s">
        <v>4326</v>
      </c>
      <c r="V17746" s="30">
        <v>4000</v>
      </c>
      <c r="W17746" s="28">
        <v>23414299</v>
      </c>
    </row>
    <row r="17747" spans="20:23" ht="24.75" thickBot="1" x14ac:dyDescent="0.25">
      <c r="T17747" s="28">
        <v>23414300</v>
      </c>
      <c r="U17747" s="29" t="s">
        <v>4327</v>
      </c>
      <c r="V17747" s="30">
        <v>4000</v>
      </c>
      <c r="W17747" s="28">
        <v>23414300</v>
      </c>
    </row>
    <row r="17748" spans="20:23" ht="24.75" thickBot="1" x14ac:dyDescent="0.25">
      <c r="T17748" s="28">
        <v>23414301</v>
      </c>
      <c r="U17748" s="29" t="s">
        <v>4328</v>
      </c>
      <c r="V17748" s="30">
        <v>4000</v>
      </c>
      <c r="W17748" s="28">
        <v>23414301</v>
      </c>
    </row>
    <row r="17749" spans="20:23" ht="24.75" thickBot="1" x14ac:dyDescent="0.25">
      <c r="T17749" s="28">
        <v>23414302</v>
      </c>
      <c r="U17749" s="29" t="s">
        <v>4329</v>
      </c>
      <c r="V17749" s="30">
        <v>4000</v>
      </c>
      <c r="W17749" s="28">
        <v>23414302</v>
      </c>
    </row>
    <row r="17750" spans="20:23" ht="24.75" thickBot="1" x14ac:dyDescent="0.25">
      <c r="T17750" s="28">
        <v>23414303</v>
      </c>
      <c r="U17750" s="29" t="s">
        <v>4330</v>
      </c>
      <c r="V17750" s="30">
        <v>4000</v>
      </c>
      <c r="W17750" s="28">
        <v>23414303</v>
      </c>
    </row>
    <row r="17751" spans="20:23" ht="24.75" thickBot="1" x14ac:dyDescent="0.25">
      <c r="T17751" s="28">
        <v>23414304</v>
      </c>
      <c r="U17751" s="29" t="s">
        <v>4331</v>
      </c>
      <c r="V17751" s="30">
        <v>4000</v>
      </c>
      <c r="W17751" s="28">
        <v>23414304</v>
      </c>
    </row>
    <row r="17752" spans="20:23" ht="24.75" thickBot="1" x14ac:dyDescent="0.25">
      <c r="T17752" s="28">
        <v>23414305</v>
      </c>
      <c r="U17752" s="29" t="s">
        <v>4332</v>
      </c>
      <c r="V17752" s="30">
        <v>4000</v>
      </c>
      <c r="W17752" s="28">
        <v>23414305</v>
      </c>
    </row>
    <row r="17753" spans="20:23" ht="24.75" thickBot="1" x14ac:dyDescent="0.25">
      <c r="T17753" s="28">
        <v>23414306</v>
      </c>
      <c r="U17753" s="29" t="s">
        <v>4333</v>
      </c>
      <c r="V17753" s="30">
        <v>4000</v>
      </c>
      <c r="W17753" s="28">
        <v>23414306</v>
      </c>
    </row>
    <row r="17754" spans="20:23" ht="24.75" thickBot="1" x14ac:dyDescent="0.25">
      <c r="T17754" s="28">
        <v>23414307</v>
      </c>
      <c r="U17754" s="29" t="s">
        <v>4334</v>
      </c>
      <c r="V17754" s="30">
        <v>4000</v>
      </c>
      <c r="W17754" s="28">
        <v>23414307</v>
      </c>
    </row>
    <row r="17755" spans="20:23" ht="24.75" thickBot="1" x14ac:dyDescent="0.25">
      <c r="T17755" s="28">
        <v>23414308</v>
      </c>
      <c r="U17755" s="29" t="s">
        <v>4335</v>
      </c>
      <c r="V17755" s="30">
        <v>4000</v>
      </c>
      <c r="W17755" s="28">
        <v>23414308</v>
      </c>
    </row>
    <row r="17756" spans="20:23" ht="24.75" thickBot="1" x14ac:dyDescent="0.25">
      <c r="T17756" s="28">
        <v>23414309</v>
      </c>
      <c r="U17756" s="29" t="s">
        <v>4336</v>
      </c>
      <c r="V17756" s="30">
        <v>4000</v>
      </c>
      <c r="W17756" s="28">
        <v>23414309</v>
      </c>
    </row>
    <row r="17757" spans="20:23" ht="24.75" thickBot="1" x14ac:dyDescent="0.25">
      <c r="T17757" s="28">
        <v>23414310</v>
      </c>
      <c r="U17757" s="29" t="s">
        <v>4337</v>
      </c>
      <c r="V17757" s="30">
        <v>4000</v>
      </c>
      <c r="W17757" s="28">
        <v>23414310</v>
      </c>
    </row>
    <row r="17758" spans="20:23" ht="24.75" thickBot="1" x14ac:dyDescent="0.25">
      <c r="T17758" s="28">
        <v>23414311</v>
      </c>
      <c r="U17758" s="29" t="s">
        <v>4338</v>
      </c>
      <c r="V17758" s="30">
        <v>4000</v>
      </c>
      <c r="W17758" s="28">
        <v>23414311</v>
      </c>
    </row>
    <row r="17759" spans="20:23" ht="24.75" thickBot="1" x14ac:dyDescent="0.25">
      <c r="T17759" s="28">
        <v>23414312</v>
      </c>
      <c r="U17759" s="29" t="s">
        <v>4339</v>
      </c>
      <c r="V17759" s="30">
        <v>4000</v>
      </c>
      <c r="W17759" s="28">
        <v>23414312</v>
      </c>
    </row>
    <row r="17760" spans="20:23" ht="24.75" thickBot="1" x14ac:dyDescent="0.25">
      <c r="T17760" s="28">
        <v>23414313</v>
      </c>
      <c r="U17760" s="29" t="s">
        <v>4340</v>
      </c>
      <c r="V17760" s="30">
        <v>4000</v>
      </c>
      <c r="W17760" s="28">
        <v>23414313</v>
      </c>
    </row>
    <row r="17761" spans="20:23" ht="36.75" thickBot="1" x14ac:dyDescent="0.25">
      <c r="T17761" s="28">
        <v>23414314</v>
      </c>
      <c r="U17761" s="29" t="s">
        <v>4341</v>
      </c>
      <c r="V17761" s="30">
        <v>4000</v>
      </c>
      <c r="W17761" s="28">
        <v>23414314</v>
      </c>
    </row>
    <row r="17762" spans="20:23" ht="24.75" thickBot="1" x14ac:dyDescent="0.25">
      <c r="T17762" s="28">
        <v>23414315</v>
      </c>
      <c r="U17762" s="29" t="s">
        <v>4342</v>
      </c>
      <c r="V17762" s="30">
        <v>4000</v>
      </c>
      <c r="W17762" s="28">
        <v>23414315</v>
      </c>
    </row>
    <row r="17763" spans="20:23" ht="24.75" thickBot="1" x14ac:dyDescent="0.25">
      <c r="T17763" s="28">
        <v>23414316</v>
      </c>
      <c r="U17763" s="29" t="s">
        <v>4343</v>
      </c>
      <c r="V17763" s="30">
        <v>4000</v>
      </c>
      <c r="W17763" s="28">
        <v>23414316</v>
      </c>
    </row>
    <row r="17764" spans="20:23" ht="36.75" thickBot="1" x14ac:dyDescent="0.25">
      <c r="T17764" s="28">
        <v>23414317</v>
      </c>
      <c r="U17764" s="29" t="s">
        <v>4344</v>
      </c>
      <c r="V17764" s="30">
        <v>4000</v>
      </c>
      <c r="W17764" s="28">
        <v>23414317</v>
      </c>
    </row>
    <row r="17765" spans="20:23" ht="13.5" thickBot="1" x14ac:dyDescent="0.25">
      <c r="T17765" s="28">
        <v>23414318</v>
      </c>
      <c r="U17765" s="29" t="s">
        <v>4345</v>
      </c>
      <c r="V17765" s="30">
        <v>4000</v>
      </c>
      <c r="W17765" s="28">
        <v>23414318</v>
      </c>
    </row>
    <row r="17766" spans="20:23" ht="13.5" thickBot="1" x14ac:dyDescent="0.25">
      <c r="T17766" s="28">
        <v>23414319</v>
      </c>
      <c r="U17766" s="29" t="s">
        <v>4346</v>
      </c>
      <c r="V17766" s="30">
        <v>4000</v>
      </c>
      <c r="W17766" s="28">
        <v>23414319</v>
      </c>
    </row>
    <row r="17767" spans="20:23" ht="24.75" thickBot="1" x14ac:dyDescent="0.25">
      <c r="T17767" s="28">
        <v>23414320</v>
      </c>
      <c r="U17767" s="29" t="s">
        <v>4347</v>
      </c>
      <c r="V17767" s="30">
        <v>4000</v>
      </c>
      <c r="W17767" s="28">
        <v>23414320</v>
      </c>
    </row>
    <row r="17768" spans="20:23" ht="24.75" thickBot="1" x14ac:dyDescent="0.25">
      <c r="T17768" s="28">
        <v>23414321</v>
      </c>
      <c r="U17768" s="29" t="s">
        <v>4348</v>
      </c>
      <c r="V17768" s="30">
        <v>4000</v>
      </c>
      <c r="W17768" s="28">
        <v>23414321</v>
      </c>
    </row>
    <row r="17769" spans="20:23" ht="24.75" thickBot="1" x14ac:dyDescent="0.25">
      <c r="T17769" s="28">
        <v>23414322</v>
      </c>
      <c r="U17769" s="29" t="s">
        <v>4349</v>
      </c>
      <c r="V17769" s="30">
        <v>4000</v>
      </c>
      <c r="W17769" s="28">
        <v>23414322</v>
      </c>
    </row>
    <row r="17770" spans="20:23" ht="24.75" thickBot="1" x14ac:dyDescent="0.25">
      <c r="T17770" s="28">
        <v>23414323</v>
      </c>
      <c r="U17770" s="29" t="s">
        <v>4350</v>
      </c>
      <c r="V17770" s="30">
        <v>4000</v>
      </c>
      <c r="W17770" s="28">
        <v>23414323</v>
      </c>
    </row>
    <row r="17771" spans="20:23" ht="24.75" thickBot="1" x14ac:dyDescent="0.25">
      <c r="T17771" s="28">
        <v>23414324</v>
      </c>
      <c r="U17771" s="29" t="s">
        <v>4351</v>
      </c>
      <c r="V17771" s="30">
        <v>4000</v>
      </c>
      <c r="W17771" s="28">
        <v>23414324</v>
      </c>
    </row>
    <row r="17772" spans="20:23" ht="24.75" thickBot="1" x14ac:dyDescent="0.25">
      <c r="T17772" s="28">
        <v>23414325</v>
      </c>
      <c r="U17772" s="29" t="s">
        <v>4352</v>
      </c>
      <c r="V17772" s="30">
        <v>4000</v>
      </c>
      <c r="W17772" s="28">
        <v>23414325</v>
      </c>
    </row>
    <row r="17773" spans="20:23" ht="24.75" thickBot="1" x14ac:dyDescent="0.25">
      <c r="T17773" s="28">
        <v>23414326</v>
      </c>
      <c r="U17773" s="29" t="s">
        <v>4353</v>
      </c>
      <c r="V17773" s="30">
        <v>4000</v>
      </c>
      <c r="W17773" s="28">
        <v>23414326</v>
      </c>
    </row>
    <row r="17774" spans="20:23" ht="24.75" thickBot="1" x14ac:dyDescent="0.25">
      <c r="T17774" s="28">
        <v>23414327</v>
      </c>
      <c r="U17774" s="29" t="s">
        <v>4354</v>
      </c>
      <c r="V17774" s="30">
        <v>4000</v>
      </c>
      <c r="W17774" s="28">
        <v>23414327</v>
      </c>
    </row>
    <row r="17775" spans="20:23" ht="24.75" thickBot="1" x14ac:dyDescent="0.25">
      <c r="T17775" s="28">
        <v>23414328</v>
      </c>
      <c r="U17775" s="29" t="s">
        <v>4355</v>
      </c>
      <c r="V17775" s="30">
        <v>4000</v>
      </c>
      <c r="W17775" s="28">
        <v>23414328</v>
      </c>
    </row>
    <row r="17776" spans="20:23" ht="24.75" thickBot="1" x14ac:dyDescent="0.25">
      <c r="T17776" s="28">
        <v>23414330</v>
      </c>
      <c r="U17776" s="29" t="s">
        <v>4356</v>
      </c>
      <c r="V17776" s="30">
        <v>4000</v>
      </c>
      <c r="W17776" s="28">
        <v>23414330</v>
      </c>
    </row>
    <row r="17777" spans="20:23" ht="24.75" thickBot="1" x14ac:dyDescent="0.25">
      <c r="T17777" s="28">
        <v>23414331</v>
      </c>
      <c r="U17777" s="29" t="s">
        <v>4357</v>
      </c>
      <c r="V17777" s="30">
        <v>4000</v>
      </c>
      <c r="W17777" s="28">
        <v>23414331</v>
      </c>
    </row>
    <row r="17778" spans="20:23" ht="24.75" thickBot="1" x14ac:dyDescent="0.25">
      <c r="T17778" s="28">
        <v>23414332</v>
      </c>
      <c r="U17778" s="29" t="s">
        <v>4358</v>
      </c>
      <c r="V17778" s="30">
        <v>4000</v>
      </c>
      <c r="W17778" s="28">
        <v>23414332</v>
      </c>
    </row>
    <row r="17779" spans="20:23" ht="24.75" thickBot="1" x14ac:dyDescent="0.25">
      <c r="T17779" s="28">
        <v>23414333</v>
      </c>
      <c r="U17779" s="29" t="s">
        <v>4359</v>
      </c>
      <c r="V17779" s="30">
        <v>4000</v>
      </c>
      <c r="W17779" s="28">
        <v>23414333</v>
      </c>
    </row>
    <row r="17780" spans="20:23" ht="24.75" thickBot="1" x14ac:dyDescent="0.25">
      <c r="T17780" s="28">
        <v>23414334</v>
      </c>
      <c r="U17780" s="29" t="s">
        <v>4360</v>
      </c>
      <c r="V17780" s="30">
        <v>4000</v>
      </c>
      <c r="W17780" s="28">
        <v>23414334</v>
      </c>
    </row>
    <row r="17781" spans="20:23" ht="24.75" thickBot="1" x14ac:dyDescent="0.25">
      <c r="T17781" s="28">
        <v>23414335</v>
      </c>
      <c r="U17781" s="29" t="s">
        <v>4361</v>
      </c>
      <c r="V17781" s="30">
        <v>4000</v>
      </c>
      <c r="W17781" s="28">
        <v>23414335</v>
      </c>
    </row>
    <row r="17782" spans="20:23" ht="24.75" thickBot="1" x14ac:dyDescent="0.25">
      <c r="T17782" s="28">
        <v>23414337</v>
      </c>
      <c r="U17782" s="29" t="s">
        <v>4362</v>
      </c>
      <c r="V17782" s="30">
        <v>4000</v>
      </c>
      <c r="W17782" s="28">
        <v>23414337</v>
      </c>
    </row>
    <row r="17783" spans="20:23" ht="24.75" thickBot="1" x14ac:dyDescent="0.25">
      <c r="T17783" s="28">
        <v>23414338</v>
      </c>
      <c r="U17783" s="29" t="s">
        <v>4363</v>
      </c>
      <c r="V17783" s="30">
        <v>4000</v>
      </c>
      <c r="W17783" s="28">
        <v>23414338</v>
      </c>
    </row>
    <row r="17784" spans="20:23" ht="24.75" thickBot="1" x14ac:dyDescent="0.25">
      <c r="T17784" s="28">
        <v>23414340</v>
      </c>
      <c r="U17784" s="29" t="s">
        <v>4364</v>
      </c>
      <c r="V17784" s="30">
        <v>4000</v>
      </c>
      <c r="W17784" s="28">
        <v>23414340</v>
      </c>
    </row>
    <row r="17785" spans="20:23" ht="24.75" thickBot="1" x14ac:dyDescent="0.25">
      <c r="T17785" s="28">
        <v>23414341</v>
      </c>
      <c r="U17785" s="29" t="s">
        <v>4365</v>
      </c>
      <c r="V17785" s="30">
        <v>4000</v>
      </c>
      <c r="W17785" s="28">
        <v>23414341</v>
      </c>
    </row>
    <row r="17786" spans="20:23" ht="24.75" thickBot="1" x14ac:dyDescent="0.25">
      <c r="T17786" s="28">
        <v>23414342</v>
      </c>
      <c r="U17786" s="29" t="s">
        <v>4366</v>
      </c>
      <c r="V17786" s="30">
        <v>4000</v>
      </c>
      <c r="W17786" s="28">
        <v>23414342</v>
      </c>
    </row>
    <row r="17787" spans="20:23" ht="24.75" thickBot="1" x14ac:dyDescent="0.25">
      <c r="T17787" s="28">
        <v>23414343</v>
      </c>
      <c r="U17787" s="29" t="s">
        <v>4367</v>
      </c>
      <c r="V17787" s="30">
        <v>4000</v>
      </c>
      <c r="W17787" s="28">
        <v>23414343</v>
      </c>
    </row>
    <row r="17788" spans="20:23" ht="24.75" thickBot="1" x14ac:dyDescent="0.25">
      <c r="T17788" s="28">
        <v>23414344</v>
      </c>
      <c r="U17788" s="29" t="s">
        <v>4368</v>
      </c>
      <c r="V17788" s="30">
        <v>4000</v>
      </c>
      <c r="W17788" s="28">
        <v>23414344</v>
      </c>
    </row>
    <row r="17789" spans="20:23" ht="24.75" thickBot="1" x14ac:dyDescent="0.25">
      <c r="T17789" s="28">
        <v>23414345</v>
      </c>
      <c r="U17789" s="29" t="s">
        <v>4369</v>
      </c>
      <c r="V17789" s="30">
        <v>4000</v>
      </c>
      <c r="W17789" s="28">
        <v>23414345</v>
      </c>
    </row>
    <row r="17790" spans="20:23" ht="24.75" thickBot="1" x14ac:dyDescent="0.25">
      <c r="T17790" s="28">
        <v>23414346</v>
      </c>
      <c r="U17790" s="29" t="s">
        <v>4370</v>
      </c>
      <c r="V17790" s="30">
        <v>4000</v>
      </c>
      <c r="W17790" s="28">
        <v>23414346</v>
      </c>
    </row>
    <row r="17791" spans="20:23" ht="24.75" thickBot="1" x14ac:dyDescent="0.25">
      <c r="T17791" s="28">
        <v>23414347</v>
      </c>
      <c r="U17791" s="29" t="s">
        <v>4371</v>
      </c>
      <c r="V17791" s="30">
        <v>4000</v>
      </c>
      <c r="W17791" s="28">
        <v>23414347</v>
      </c>
    </row>
    <row r="17792" spans="20:23" ht="24.75" thickBot="1" x14ac:dyDescent="0.25">
      <c r="T17792" s="28">
        <v>23414348</v>
      </c>
      <c r="U17792" s="29" t="s">
        <v>4372</v>
      </c>
      <c r="V17792" s="30">
        <v>4000</v>
      </c>
      <c r="W17792" s="28">
        <v>23414348</v>
      </c>
    </row>
    <row r="17793" spans="20:23" ht="24.75" thickBot="1" x14ac:dyDescent="0.25">
      <c r="T17793" s="28">
        <v>23414349</v>
      </c>
      <c r="U17793" s="29" t="s">
        <v>4373</v>
      </c>
      <c r="V17793" s="30">
        <v>4000</v>
      </c>
      <c r="W17793" s="28">
        <v>23414349</v>
      </c>
    </row>
    <row r="17794" spans="20:23" ht="24.75" thickBot="1" x14ac:dyDescent="0.25">
      <c r="T17794" s="28">
        <v>23414350</v>
      </c>
      <c r="U17794" s="29" t="s">
        <v>4374</v>
      </c>
      <c r="V17794" s="30">
        <v>4000</v>
      </c>
      <c r="W17794" s="28">
        <v>23414350</v>
      </c>
    </row>
    <row r="17795" spans="20:23" ht="24.75" thickBot="1" x14ac:dyDescent="0.25">
      <c r="T17795" s="28">
        <v>23414351</v>
      </c>
      <c r="U17795" s="29" t="s">
        <v>4375</v>
      </c>
      <c r="V17795" s="30">
        <v>4000</v>
      </c>
      <c r="W17795" s="28">
        <v>23414351</v>
      </c>
    </row>
    <row r="17796" spans="20:23" ht="24.75" thickBot="1" x14ac:dyDescent="0.25">
      <c r="T17796" s="28">
        <v>23414352</v>
      </c>
      <c r="U17796" s="29" t="s">
        <v>4376</v>
      </c>
      <c r="V17796" s="30">
        <v>4000</v>
      </c>
      <c r="W17796" s="28">
        <v>23414352</v>
      </c>
    </row>
    <row r="17797" spans="20:23" ht="24.75" thickBot="1" x14ac:dyDescent="0.25">
      <c r="T17797" s="28">
        <v>23414354</v>
      </c>
      <c r="U17797" s="29" t="s">
        <v>4377</v>
      </c>
      <c r="V17797" s="30">
        <v>4000</v>
      </c>
      <c r="W17797" s="28">
        <v>23414354</v>
      </c>
    </row>
    <row r="17798" spans="20:23" ht="24.75" thickBot="1" x14ac:dyDescent="0.25">
      <c r="T17798" s="28">
        <v>23414355</v>
      </c>
      <c r="U17798" s="29" t="s">
        <v>4378</v>
      </c>
      <c r="V17798" s="30">
        <v>4000</v>
      </c>
      <c r="W17798" s="28">
        <v>23414355</v>
      </c>
    </row>
    <row r="17799" spans="20:23" ht="24.75" thickBot="1" x14ac:dyDescent="0.25">
      <c r="T17799" s="28">
        <v>23414357</v>
      </c>
      <c r="U17799" s="29" t="s">
        <v>4379</v>
      </c>
      <c r="V17799" s="30">
        <v>4000</v>
      </c>
      <c r="W17799" s="28">
        <v>23414357</v>
      </c>
    </row>
    <row r="17800" spans="20:23" ht="24.75" thickBot="1" x14ac:dyDescent="0.25">
      <c r="T17800" s="28">
        <v>23414358</v>
      </c>
      <c r="U17800" s="29" t="s">
        <v>4380</v>
      </c>
      <c r="V17800" s="30">
        <v>4000</v>
      </c>
      <c r="W17800" s="28">
        <v>23414358</v>
      </c>
    </row>
    <row r="17801" spans="20:23" ht="24.75" thickBot="1" x14ac:dyDescent="0.25">
      <c r="T17801" s="28">
        <v>23414359</v>
      </c>
      <c r="U17801" s="29" t="s">
        <v>4381</v>
      </c>
      <c r="V17801" s="30">
        <v>4000</v>
      </c>
      <c r="W17801" s="28">
        <v>23414359</v>
      </c>
    </row>
    <row r="17802" spans="20:23" ht="24.75" thickBot="1" x14ac:dyDescent="0.25">
      <c r="T17802" s="28">
        <v>23414360</v>
      </c>
      <c r="U17802" s="29" t="s">
        <v>4382</v>
      </c>
      <c r="V17802" s="30">
        <v>4000</v>
      </c>
      <c r="W17802" s="28">
        <v>23414360</v>
      </c>
    </row>
    <row r="17803" spans="20:23" ht="24.75" thickBot="1" x14ac:dyDescent="0.25">
      <c r="T17803" s="28">
        <v>23414361</v>
      </c>
      <c r="U17803" s="29" t="s">
        <v>4383</v>
      </c>
      <c r="V17803" s="30">
        <v>4000</v>
      </c>
      <c r="W17803" s="28">
        <v>23414361</v>
      </c>
    </row>
    <row r="17804" spans="20:23" ht="24.75" thickBot="1" x14ac:dyDescent="0.25">
      <c r="T17804" s="28">
        <v>23414362</v>
      </c>
      <c r="U17804" s="29" t="s">
        <v>4384</v>
      </c>
      <c r="V17804" s="30">
        <v>4000</v>
      </c>
      <c r="W17804" s="28">
        <v>23414362</v>
      </c>
    </row>
    <row r="17805" spans="20:23" ht="24.75" thickBot="1" x14ac:dyDescent="0.25">
      <c r="T17805" s="28">
        <v>23414363</v>
      </c>
      <c r="U17805" s="29" t="s">
        <v>4385</v>
      </c>
      <c r="V17805" s="30">
        <v>4000</v>
      </c>
      <c r="W17805" s="28">
        <v>23414363</v>
      </c>
    </row>
    <row r="17806" spans="20:23" ht="24.75" thickBot="1" x14ac:dyDescent="0.25">
      <c r="T17806" s="28">
        <v>23414364</v>
      </c>
      <c r="U17806" s="29" t="s">
        <v>4386</v>
      </c>
      <c r="V17806" s="30">
        <v>4000</v>
      </c>
      <c r="W17806" s="28">
        <v>23414364</v>
      </c>
    </row>
    <row r="17807" spans="20:23" ht="24.75" thickBot="1" x14ac:dyDescent="0.25">
      <c r="T17807" s="28">
        <v>23414365</v>
      </c>
      <c r="U17807" s="29" t="s">
        <v>4387</v>
      </c>
      <c r="V17807" s="30">
        <v>4000</v>
      </c>
      <c r="W17807" s="28">
        <v>23414365</v>
      </c>
    </row>
    <row r="17808" spans="20:23" ht="24.75" thickBot="1" x14ac:dyDescent="0.25">
      <c r="T17808" s="28">
        <v>23414366</v>
      </c>
      <c r="U17808" s="29" t="s">
        <v>4388</v>
      </c>
      <c r="V17808" s="30">
        <v>4000</v>
      </c>
      <c r="W17808" s="28">
        <v>23414366</v>
      </c>
    </row>
    <row r="17809" spans="20:23" ht="24.75" thickBot="1" x14ac:dyDescent="0.25">
      <c r="T17809" s="28">
        <v>23414368</v>
      </c>
      <c r="U17809" s="29" t="s">
        <v>4389</v>
      </c>
      <c r="V17809" s="30">
        <v>4000</v>
      </c>
      <c r="W17809" s="28">
        <v>23414368</v>
      </c>
    </row>
    <row r="17810" spans="20:23" ht="24.75" thickBot="1" x14ac:dyDescent="0.25">
      <c r="T17810" s="28">
        <v>23414369</v>
      </c>
      <c r="U17810" s="29" t="s">
        <v>4390</v>
      </c>
      <c r="V17810" s="30">
        <v>4000</v>
      </c>
      <c r="W17810" s="28">
        <v>23414369</v>
      </c>
    </row>
    <row r="17811" spans="20:23" ht="24.75" thickBot="1" x14ac:dyDescent="0.25">
      <c r="T17811" s="28">
        <v>23414370</v>
      </c>
      <c r="U17811" s="29" t="s">
        <v>4391</v>
      </c>
      <c r="V17811" s="30">
        <v>4000</v>
      </c>
      <c r="W17811" s="28">
        <v>23414370</v>
      </c>
    </row>
    <row r="17812" spans="20:23" ht="24.75" thickBot="1" x14ac:dyDescent="0.25">
      <c r="T17812" s="28">
        <v>23414371</v>
      </c>
      <c r="U17812" s="29" t="s">
        <v>4392</v>
      </c>
      <c r="V17812" s="30">
        <v>4000</v>
      </c>
      <c r="W17812" s="28">
        <v>23414371</v>
      </c>
    </row>
    <row r="17813" spans="20:23" ht="24.75" thickBot="1" x14ac:dyDescent="0.25">
      <c r="T17813" s="28">
        <v>23414372</v>
      </c>
      <c r="U17813" s="29" t="s">
        <v>4393</v>
      </c>
      <c r="V17813" s="30">
        <v>4000</v>
      </c>
      <c r="W17813" s="28">
        <v>23414372</v>
      </c>
    </row>
    <row r="17814" spans="20:23" ht="24.75" thickBot="1" x14ac:dyDescent="0.25">
      <c r="T17814" s="28">
        <v>23414373</v>
      </c>
      <c r="U17814" s="29" t="s">
        <v>4394</v>
      </c>
      <c r="V17814" s="30">
        <v>4000</v>
      </c>
      <c r="W17814" s="28">
        <v>23414373</v>
      </c>
    </row>
    <row r="17815" spans="20:23" ht="24.75" thickBot="1" x14ac:dyDescent="0.25">
      <c r="T17815" s="28">
        <v>23414374</v>
      </c>
      <c r="U17815" s="29" t="s">
        <v>4395</v>
      </c>
      <c r="V17815" s="30">
        <v>4000</v>
      </c>
      <c r="W17815" s="28">
        <v>23414374</v>
      </c>
    </row>
    <row r="17816" spans="20:23" ht="24.75" thickBot="1" x14ac:dyDescent="0.25">
      <c r="T17816" s="28">
        <v>23414375</v>
      </c>
      <c r="U17816" s="29" t="s">
        <v>4396</v>
      </c>
      <c r="V17816" s="30">
        <v>4000</v>
      </c>
      <c r="W17816" s="28">
        <v>23414375</v>
      </c>
    </row>
    <row r="17817" spans="20:23" ht="13.5" thickBot="1" x14ac:dyDescent="0.25">
      <c r="T17817" s="28">
        <v>23414380</v>
      </c>
      <c r="U17817" s="29" t="s">
        <v>4397</v>
      </c>
      <c r="V17817" s="30">
        <v>4000</v>
      </c>
      <c r="W17817" s="28">
        <v>23414380</v>
      </c>
    </row>
    <row r="17818" spans="20:23" ht="13.5" thickBot="1" x14ac:dyDescent="0.25">
      <c r="T17818" s="28">
        <v>23414381</v>
      </c>
      <c r="U17818" s="29" t="s">
        <v>4398</v>
      </c>
      <c r="V17818" s="30">
        <v>4000</v>
      </c>
      <c r="W17818" s="28">
        <v>23414381</v>
      </c>
    </row>
    <row r="17819" spans="20:23" ht="24.75" thickBot="1" x14ac:dyDescent="0.25">
      <c r="T17819" s="28">
        <v>23414382</v>
      </c>
      <c r="U17819" s="29" t="s">
        <v>4399</v>
      </c>
      <c r="V17819" s="30">
        <v>4000</v>
      </c>
      <c r="W17819" s="28">
        <v>23414382</v>
      </c>
    </row>
    <row r="17820" spans="20:23" ht="36.75" thickBot="1" x14ac:dyDescent="0.25">
      <c r="T17820" s="28">
        <v>23414383</v>
      </c>
      <c r="U17820" s="29" t="s">
        <v>4400</v>
      </c>
      <c r="V17820" s="30">
        <v>4000</v>
      </c>
      <c r="W17820" s="28">
        <v>23414383</v>
      </c>
    </row>
    <row r="17821" spans="20:23" ht="24.75" thickBot="1" x14ac:dyDescent="0.25">
      <c r="T17821" s="28">
        <v>23414384</v>
      </c>
      <c r="U17821" s="29" t="s">
        <v>4401</v>
      </c>
      <c r="V17821" s="30">
        <v>4000</v>
      </c>
      <c r="W17821" s="28">
        <v>23414384</v>
      </c>
    </row>
    <row r="17822" spans="20:23" ht="24.75" thickBot="1" x14ac:dyDescent="0.25">
      <c r="T17822" s="28">
        <v>23414385</v>
      </c>
      <c r="U17822" s="29" t="s">
        <v>4402</v>
      </c>
      <c r="V17822" s="30">
        <v>4000</v>
      </c>
      <c r="W17822" s="28">
        <v>23414385</v>
      </c>
    </row>
    <row r="17823" spans="20:23" ht="36.75" thickBot="1" x14ac:dyDescent="0.25">
      <c r="T17823" s="28">
        <v>23414386</v>
      </c>
      <c r="U17823" s="29" t="s">
        <v>4403</v>
      </c>
      <c r="V17823" s="30">
        <v>4000</v>
      </c>
      <c r="W17823" s="28">
        <v>23414386</v>
      </c>
    </row>
    <row r="17824" spans="20:23" ht="24.75" thickBot="1" x14ac:dyDescent="0.25">
      <c r="T17824" s="28">
        <v>23414387</v>
      </c>
      <c r="U17824" s="29" t="s">
        <v>4404</v>
      </c>
      <c r="V17824" s="30">
        <v>4000</v>
      </c>
      <c r="W17824" s="28">
        <v>23414387</v>
      </c>
    </row>
    <row r="17825" spans="20:23" ht="24.75" thickBot="1" x14ac:dyDescent="0.25">
      <c r="T17825" s="28">
        <v>23414388</v>
      </c>
      <c r="U17825" s="29" t="s">
        <v>4405</v>
      </c>
      <c r="V17825" s="30">
        <v>4000</v>
      </c>
      <c r="W17825" s="28">
        <v>23414388</v>
      </c>
    </row>
    <row r="17826" spans="20:23" ht="24.75" thickBot="1" x14ac:dyDescent="0.25">
      <c r="T17826" s="28">
        <v>23414389</v>
      </c>
      <c r="U17826" s="29" t="s">
        <v>4406</v>
      </c>
      <c r="V17826" s="30">
        <v>4000</v>
      </c>
      <c r="W17826" s="28">
        <v>23414389</v>
      </c>
    </row>
    <row r="17827" spans="20:23" ht="36.75" thickBot="1" x14ac:dyDescent="0.25">
      <c r="T17827" s="28">
        <v>23414390</v>
      </c>
      <c r="U17827" s="29" t="s">
        <v>4407</v>
      </c>
      <c r="V17827" s="30">
        <v>4000</v>
      </c>
      <c r="W17827" s="28">
        <v>23414390</v>
      </c>
    </row>
    <row r="17828" spans="20:23" ht="24.75" thickBot="1" x14ac:dyDescent="0.25">
      <c r="T17828" s="28">
        <v>23414391</v>
      </c>
      <c r="U17828" s="29" t="s">
        <v>4408</v>
      </c>
      <c r="V17828" s="30">
        <v>4000</v>
      </c>
      <c r="W17828" s="28">
        <v>23414391</v>
      </c>
    </row>
    <row r="17829" spans="20:23" ht="24.75" thickBot="1" x14ac:dyDescent="0.25">
      <c r="T17829" s="28">
        <v>23414392</v>
      </c>
      <c r="U17829" s="29" t="s">
        <v>4409</v>
      </c>
      <c r="V17829" s="30">
        <v>4000</v>
      </c>
      <c r="W17829" s="28">
        <v>23414392</v>
      </c>
    </row>
    <row r="17830" spans="20:23" ht="24.75" thickBot="1" x14ac:dyDescent="0.25">
      <c r="T17830" s="28">
        <v>23414393</v>
      </c>
      <c r="U17830" s="29" t="s">
        <v>4410</v>
      </c>
      <c r="V17830" s="30">
        <v>4000</v>
      </c>
      <c r="W17830" s="28">
        <v>23414393</v>
      </c>
    </row>
    <row r="17831" spans="20:23" ht="24.75" thickBot="1" x14ac:dyDescent="0.25">
      <c r="T17831" s="28">
        <v>23414395</v>
      </c>
      <c r="U17831" s="29" t="s">
        <v>4411</v>
      </c>
      <c r="V17831" s="30">
        <v>4000</v>
      </c>
      <c r="W17831" s="28">
        <v>23414395</v>
      </c>
    </row>
    <row r="17832" spans="20:23" ht="13.5" thickBot="1" x14ac:dyDescent="0.25">
      <c r="T17832" s="28">
        <v>23414396</v>
      </c>
      <c r="U17832" s="29" t="s">
        <v>4412</v>
      </c>
      <c r="V17832" s="30">
        <v>4000</v>
      </c>
      <c r="W17832" s="28">
        <v>23414396</v>
      </c>
    </row>
    <row r="17833" spans="20:23" ht="24.75" thickBot="1" x14ac:dyDescent="0.25">
      <c r="T17833" s="28">
        <v>23414397</v>
      </c>
      <c r="U17833" s="29" t="s">
        <v>4413</v>
      </c>
      <c r="V17833" s="30">
        <v>4000</v>
      </c>
      <c r="W17833" s="28">
        <v>23414397</v>
      </c>
    </row>
    <row r="17834" spans="20:23" ht="24.75" thickBot="1" x14ac:dyDescent="0.25">
      <c r="T17834" s="28">
        <v>23414398</v>
      </c>
      <c r="U17834" s="29" t="s">
        <v>4414</v>
      </c>
      <c r="V17834" s="30">
        <v>4000</v>
      </c>
      <c r="W17834" s="28">
        <v>23414398</v>
      </c>
    </row>
    <row r="17835" spans="20:23" ht="24.75" thickBot="1" x14ac:dyDescent="0.25">
      <c r="T17835" s="28">
        <v>23414399</v>
      </c>
      <c r="U17835" s="29" t="s">
        <v>4415</v>
      </c>
      <c r="V17835" s="30">
        <v>4000</v>
      </c>
      <c r="W17835" s="28">
        <v>23414399</v>
      </c>
    </row>
    <row r="17836" spans="20:23" ht="24.75" thickBot="1" x14ac:dyDescent="0.25">
      <c r="T17836" s="28">
        <v>23414400</v>
      </c>
      <c r="U17836" s="29" t="s">
        <v>4416</v>
      </c>
      <c r="V17836" s="30">
        <v>4000</v>
      </c>
      <c r="W17836" s="28">
        <v>23414400</v>
      </c>
    </row>
    <row r="17837" spans="20:23" ht="36.75" thickBot="1" x14ac:dyDescent="0.25">
      <c r="T17837" s="28">
        <v>23414401</v>
      </c>
      <c r="U17837" s="29" t="s">
        <v>4417</v>
      </c>
      <c r="V17837" s="30">
        <v>4000</v>
      </c>
      <c r="W17837" s="28">
        <v>23414401</v>
      </c>
    </row>
    <row r="17838" spans="20:23" ht="24.75" thickBot="1" x14ac:dyDescent="0.25">
      <c r="T17838" s="28">
        <v>23414402</v>
      </c>
      <c r="U17838" s="29" t="s">
        <v>4418</v>
      </c>
      <c r="V17838" s="30">
        <v>4000</v>
      </c>
      <c r="W17838" s="28">
        <v>23414402</v>
      </c>
    </row>
    <row r="17839" spans="20:23" ht="36.75" thickBot="1" x14ac:dyDescent="0.25">
      <c r="T17839" s="28">
        <v>23414403</v>
      </c>
      <c r="U17839" s="29" t="s">
        <v>4419</v>
      </c>
      <c r="V17839" s="30">
        <v>4000</v>
      </c>
      <c r="W17839" s="28">
        <v>23414403</v>
      </c>
    </row>
    <row r="17840" spans="20:23" ht="24.75" thickBot="1" x14ac:dyDescent="0.25">
      <c r="T17840" s="28">
        <v>23414404</v>
      </c>
      <c r="U17840" s="29" t="s">
        <v>4420</v>
      </c>
      <c r="V17840" s="30">
        <v>4000</v>
      </c>
      <c r="W17840" s="28">
        <v>23414404</v>
      </c>
    </row>
    <row r="17841" spans="20:23" ht="24.75" thickBot="1" x14ac:dyDescent="0.25">
      <c r="T17841" s="28">
        <v>23414405</v>
      </c>
      <c r="U17841" s="29" t="s">
        <v>4421</v>
      </c>
      <c r="V17841" s="30">
        <v>4000</v>
      </c>
      <c r="W17841" s="28">
        <v>23414405</v>
      </c>
    </row>
    <row r="17842" spans="20:23" ht="24.75" thickBot="1" x14ac:dyDescent="0.25">
      <c r="T17842" s="28">
        <v>23414407</v>
      </c>
      <c r="U17842" s="29" t="s">
        <v>4422</v>
      </c>
      <c r="V17842" s="30">
        <v>4000</v>
      </c>
      <c r="W17842" s="28">
        <v>23414407</v>
      </c>
    </row>
    <row r="17843" spans="20:23" ht="24.75" thickBot="1" x14ac:dyDescent="0.25">
      <c r="T17843" s="28">
        <v>23414408</v>
      </c>
      <c r="U17843" s="29" t="s">
        <v>4423</v>
      </c>
      <c r="V17843" s="30">
        <v>4000</v>
      </c>
      <c r="W17843" s="28">
        <v>23414408</v>
      </c>
    </row>
    <row r="17844" spans="20:23" ht="24.75" thickBot="1" x14ac:dyDescent="0.25">
      <c r="T17844" s="28">
        <v>23414409</v>
      </c>
      <c r="U17844" s="29" t="s">
        <v>4424</v>
      </c>
      <c r="V17844" s="30">
        <v>4000</v>
      </c>
      <c r="W17844" s="28">
        <v>23414409</v>
      </c>
    </row>
    <row r="17845" spans="20:23" ht="24.75" thickBot="1" x14ac:dyDescent="0.25">
      <c r="T17845" s="28">
        <v>23414410</v>
      </c>
      <c r="U17845" s="29" t="s">
        <v>4425</v>
      </c>
      <c r="V17845" s="30">
        <v>4000</v>
      </c>
      <c r="W17845" s="28">
        <v>23414410</v>
      </c>
    </row>
    <row r="17846" spans="20:23" ht="24.75" thickBot="1" x14ac:dyDescent="0.25">
      <c r="T17846" s="28">
        <v>23414412</v>
      </c>
      <c r="U17846" s="29" t="s">
        <v>4426</v>
      </c>
      <c r="V17846" s="30">
        <v>4000</v>
      </c>
      <c r="W17846" s="28">
        <v>23414412</v>
      </c>
    </row>
    <row r="17847" spans="20:23" ht="24.75" thickBot="1" x14ac:dyDescent="0.25">
      <c r="T17847" s="28">
        <v>23414413</v>
      </c>
      <c r="U17847" s="29" t="s">
        <v>4427</v>
      </c>
      <c r="V17847" s="30">
        <v>4000</v>
      </c>
      <c r="W17847" s="28">
        <v>23414413</v>
      </c>
    </row>
    <row r="17848" spans="20:23" ht="24.75" thickBot="1" x14ac:dyDescent="0.25">
      <c r="T17848" s="28">
        <v>23414414</v>
      </c>
      <c r="U17848" s="29" t="s">
        <v>4428</v>
      </c>
      <c r="V17848" s="30">
        <v>4000</v>
      </c>
      <c r="W17848" s="28">
        <v>23414414</v>
      </c>
    </row>
    <row r="17849" spans="20:23" ht="24.75" thickBot="1" x14ac:dyDescent="0.25">
      <c r="T17849" s="28">
        <v>23414416</v>
      </c>
      <c r="U17849" s="29" t="s">
        <v>4429</v>
      </c>
      <c r="V17849" s="30">
        <v>4000</v>
      </c>
      <c r="W17849" s="28">
        <v>23414416</v>
      </c>
    </row>
    <row r="17850" spans="20:23" ht="24.75" thickBot="1" x14ac:dyDescent="0.25">
      <c r="T17850" s="28">
        <v>23414417</v>
      </c>
      <c r="U17850" s="29" t="s">
        <v>4430</v>
      </c>
      <c r="V17850" s="30">
        <v>4000</v>
      </c>
      <c r="W17850" s="28">
        <v>23414417</v>
      </c>
    </row>
    <row r="17851" spans="20:23" ht="24.75" thickBot="1" x14ac:dyDescent="0.25">
      <c r="T17851" s="28">
        <v>23414418</v>
      </c>
      <c r="U17851" s="29" t="s">
        <v>4431</v>
      </c>
      <c r="V17851" s="30">
        <v>4000</v>
      </c>
      <c r="W17851" s="28">
        <v>23414418</v>
      </c>
    </row>
    <row r="17852" spans="20:23" ht="24.75" thickBot="1" x14ac:dyDescent="0.25">
      <c r="T17852" s="28">
        <v>23414419</v>
      </c>
      <c r="U17852" s="29" t="s">
        <v>4432</v>
      </c>
      <c r="V17852" s="30">
        <v>4000</v>
      </c>
      <c r="W17852" s="28">
        <v>23414419</v>
      </c>
    </row>
    <row r="17853" spans="20:23" ht="24.75" thickBot="1" x14ac:dyDescent="0.25">
      <c r="T17853" s="28">
        <v>23414420</v>
      </c>
      <c r="U17853" s="29" t="s">
        <v>4433</v>
      </c>
      <c r="V17853" s="30">
        <v>4000</v>
      </c>
      <c r="W17853" s="28">
        <v>23414420</v>
      </c>
    </row>
    <row r="17854" spans="20:23" ht="24.75" thickBot="1" x14ac:dyDescent="0.25">
      <c r="T17854" s="28">
        <v>23414421</v>
      </c>
      <c r="U17854" s="29" t="s">
        <v>4434</v>
      </c>
      <c r="V17854" s="30">
        <v>4000</v>
      </c>
      <c r="W17854" s="28">
        <v>23414421</v>
      </c>
    </row>
    <row r="17855" spans="20:23" ht="24.75" thickBot="1" x14ac:dyDescent="0.25">
      <c r="T17855" s="28">
        <v>23414423</v>
      </c>
      <c r="U17855" s="29" t="s">
        <v>4435</v>
      </c>
      <c r="V17855" s="30">
        <v>4000</v>
      </c>
      <c r="W17855" s="28">
        <v>23414423</v>
      </c>
    </row>
    <row r="17856" spans="20:23" ht="24.75" thickBot="1" x14ac:dyDescent="0.25">
      <c r="T17856" s="28">
        <v>23414426</v>
      </c>
      <c r="U17856" s="29" t="s">
        <v>4436</v>
      </c>
      <c r="V17856" s="30">
        <v>4000</v>
      </c>
      <c r="W17856" s="28">
        <v>23414426</v>
      </c>
    </row>
    <row r="17857" spans="20:23" ht="36.75" thickBot="1" x14ac:dyDescent="0.25">
      <c r="T17857" s="28">
        <v>23414427</v>
      </c>
      <c r="U17857" s="29" t="s">
        <v>4437</v>
      </c>
      <c r="V17857" s="30">
        <v>4000</v>
      </c>
      <c r="W17857" s="28">
        <v>23414427</v>
      </c>
    </row>
    <row r="17858" spans="20:23" ht="24.75" thickBot="1" x14ac:dyDescent="0.25">
      <c r="T17858" s="28">
        <v>23414428</v>
      </c>
      <c r="U17858" s="29" t="s">
        <v>4438</v>
      </c>
      <c r="V17858" s="30">
        <v>4000</v>
      </c>
      <c r="W17858" s="28">
        <v>23414428</v>
      </c>
    </row>
    <row r="17859" spans="20:23" ht="24.75" thickBot="1" x14ac:dyDescent="0.25">
      <c r="T17859" s="28">
        <v>23414429</v>
      </c>
      <c r="U17859" s="29" t="s">
        <v>4439</v>
      </c>
      <c r="V17859" s="30">
        <v>4000</v>
      </c>
      <c r="W17859" s="28">
        <v>23414429</v>
      </c>
    </row>
    <row r="17860" spans="20:23" ht="36.75" thickBot="1" x14ac:dyDescent="0.25">
      <c r="T17860" s="28">
        <v>23414430</v>
      </c>
      <c r="U17860" s="29" t="s">
        <v>4440</v>
      </c>
      <c r="V17860" s="30">
        <v>4000</v>
      </c>
      <c r="W17860" s="28">
        <v>23414430</v>
      </c>
    </row>
    <row r="17861" spans="20:23" ht="24.75" thickBot="1" x14ac:dyDescent="0.25">
      <c r="T17861" s="28">
        <v>23414431</v>
      </c>
      <c r="U17861" s="29" t="s">
        <v>4441</v>
      </c>
      <c r="V17861" s="30">
        <v>4000</v>
      </c>
      <c r="W17861" s="28">
        <v>23414431</v>
      </c>
    </row>
    <row r="17862" spans="20:23" ht="24.75" thickBot="1" x14ac:dyDescent="0.25">
      <c r="T17862" s="28">
        <v>23414433</v>
      </c>
      <c r="U17862" s="29" t="s">
        <v>4442</v>
      </c>
      <c r="V17862" s="30">
        <v>4000</v>
      </c>
      <c r="W17862" s="28">
        <v>23414433</v>
      </c>
    </row>
    <row r="17863" spans="20:23" ht="24.75" thickBot="1" x14ac:dyDescent="0.25">
      <c r="T17863" s="28">
        <v>23414434</v>
      </c>
      <c r="U17863" s="29" t="s">
        <v>4443</v>
      </c>
      <c r="V17863" s="30">
        <v>4000</v>
      </c>
      <c r="W17863" s="28">
        <v>23414434</v>
      </c>
    </row>
    <row r="17864" spans="20:23" ht="24.75" thickBot="1" x14ac:dyDescent="0.25">
      <c r="T17864" s="28">
        <v>23414435</v>
      </c>
      <c r="U17864" s="29" t="s">
        <v>4444</v>
      </c>
      <c r="V17864" s="30">
        <v>4000</v>
      </c>
      <c r="W17864" s="28">
        <v>23414435</v>
      </c>
    </row>
    <row r="17865" spans="20:23" ht="24.75" thickBot="1" x14ac:dyDescent="0.25">
      <c r="T17865" s="28">
        <v>23414436</v>
      </c>
      <c r="U17865" s="29" t="s">
        <v>4445</v>
      </c>
      <c r="V17865" s="30">
        <v>4000</v>
      </c>
      <c r="W17865" s="28">
        <v>23414436</v>
      </c>
    </row>
    <row r="17866" spans="20:23" ht="24.75" thickBot="1" x14ac:dyDescent="0.25">
      <c r="T17866" s="28">
        <v>23414437</v>
      </c>
      <c r="U17866" s="29" t="s">
        <v>4446</v>
      </c>
      <c r="V17866" s="30">
        <v>4000</v>
      </c>
      <c r="W17866" s="28">
        <v>23414437</v>
      </c>
    </row>
    <row r="17867" spans="20:23" ht="24.75" thickBot="1" x14ac:dyDescent="0.25">
      <c r="T17867" s="28">
        <v>23414438</v>
      </c>
      <c r="U17867" s="29" t="s">
        <v>4447</v>
      </c>
      <c r="V17867" s="30">
        <v>4000</v>
      </c>
      <c r="W17867" s="28">
        <v>23414438</v>
      </c>
    </row>
    <row r="17868" spans="20:23" ht="24.75" thickBot="1" x14ac:dyDescent="0.25">
      <c r="T17868" s="28">
        <v>23414439</v>
      </c>
      <c r="U17868" s="29" t="s">
        <v>4448</v>
      </c>
      <c r="V17868" s="30">
        <v>4000</v>
      </c>
      <c r="W17868" s="28">
        <v>23414439</v>
      </c>
    </row>
    <row r="17869" spans="20:23" ht="24.75" thickBot="1" x14ac:dyDescent="0.25">
      <c r="T17869" s="28">
        <v>23414440</v>
      </c>
      <c r="U17869" s="29" t="s">
        <v>4449</v>
      </c>
      <c r="V17869" s="30">
        <v>4000</v>
      </c>
      <c r="W17869" s="28">
        <v>23414440</v>
      </c>
    </row>
    <row r="17870" spans="20:23" ht="36.75" thickBot="1" x14ac:dyDescent="0.25">
      <c r="T17870" s="28">
        <v>23414441</v>
      </c>
      <c r="U17870" s="29" t="s">
        <v>4450</v>
      </c>
      <c r="V17870" s="30">
        <v>4000</v>
      </c>
      <c r="W17870" s="28">
        <v>23414441</v>
      </c>
    </row>
    <row r="17871" spans="20:23" ht="24.75" thickBot="1" x14ac:dyDescent="0.25">
      <c r="T17871" s="28">
        <v>23414442</v>
      </c>
      <c r="U17871" s="29" t="s">
        <v>4451</v>
      </c>
      <c r="V17871" s="30">
        <v>4000</v>
      </c>
      <c r="W17871" s="28">
        <v>23414442</v>
      </c>
    </row>
    <row r="17872" spans="20:23" ht="24.75" thickBot="1" x14ac:dyDescent="0.25">
      <c r="T17872" s="28">
        <v>23414443</v>
      </c>
      <c r="U17872" s="29" t="s">
        <v>4452</v>
      </c>
      <c r="V17872" s="30">
        <v>4000</v>
      </c>
      <c r="W17872" s="28">
        <v>23414443</v>
      </c>
    </row>
    <row r="17873" spans="20:23" ht="24.75" thickBot="1" x14ac:dyDescent="0.25">
      <c r="T17873" s="28">
        <v>23414444</v>
      </c>
      <c r="U17873" s="29" t="s">
        <v>4453</v>
      </c>
      <c r="V17873" s="30">
        <v>4000</v>
      </c>
      <c r="W17873" s="28">
        <v>23414444</v>
      </c>
    </row>
    <row r="17874" spans="20:23" ht="24.75" thickBot="1" x14ac:dyDescent="0.25">
      <c r="T17874" s="28">
        <v>23414445</v>
      </c>
      <c r="U17874" s="29" t="s">
        <v>4454</v>
      </c>
      <c r="V17874" s="30">
        <v>4000</v>
      </c>
      <c r="W17874" s="28">
        <v>23414445</v>
      </c>
    </row>
    <row r="17875" spans="20:23" ht="13.5" thickBot="1" x14ac:dyDescent="0.25">
      <c r="T17875" s="28">
        <v>23414446</v>
      </c>
      <c r="U17875" s="29" t="s">
        <v>4455</v>
      </c>
      <c r="V17875" s="30">
        <v>4000</v>
      </c>
      <c r="W17875" s="28">
        <v>23414446</v>
      </c>
    </row>
    <row r="17876" spans="20:23" ht="24.75" thickBot="1" x14ac:dyDescent="0.25">
      <c r="T17876" s="28">
        <v>23414447</v>
      </c>
      <c r="U17876" s="29" t="s">
        <v>4456</v>
      </c>
      <c r="V17876" s="30">
        <v>4000</v>
      </c>
      <c r="W17876" s="28">
        <v>23414447</v>
      </c>
    </row>
    <row r="17877" spans="20:23" ht="13.5" thickBot="1" x14ac:dyDescent="0.25">
      <c r="T17877" s="28">
        <v>23414448</v>
      </c>
      <c r="U17877" s="29" t="s">
        <v>4457</v>
      </c>
      <c r="V17877" s="30">
        <v>4000</v>
      </c>
      <c r="W17877" s="28">
        <v>23414448</v>
      </c>
    </row>
    <row r="17878" spans="20:23" ht="24.75" thickBot="1" x14ac:dyDescent="0.25">
      <c r="T17878" s="28">
        <v>23414449</v>
      </c>
      <c r="U17878" s="29" t="s">
        <v>4458</v>
      </c>
      <c r="V17878" s="30">
        <v>4000</v>
      </c>
      <c r="W17878" s="28">
        <v>23414449</v>
      </c>
    </row>
    <row r="17879" spans="20:23" ht="13.5" thickBot="1" x14ac:dyDescent="0.25">
      <c r="T17879" s="28">
        <v>23414450</v>
      </c>
      <c r="U17879" s="29" t="s">
        <v>4459</v>
      </c>
      <c r="V17879" s="30">
        <v>4000</v>
      </c>
      <c r="W17879" s="28">
        <v>23414450</v>
      </c>
    </row>
    <row r="17880" spans="20:23" ht="24.75" thickBot="1" x14ac:dyDescent="0.25">
      <c r="T17880" s="28">
        <v>23414451</v>
      </c>
      <c r="U17880" s="29" t="s">
        <v>4460</v>
      </c>
      <c r="V17880" s="30">
        <v>4000</v>
      </c>
      <c r="W17880" s="28">
        <v>23414451</v>
      </c>
    </row>
    <row r="17881" spans="20:23" ht="24.75" thickBot="1" x14ac:dyDescent="0.25">
      <c r="T17881" s="28">
        <v>23414452</v>
      </c>
      <c r="U17881" s="29" t="s">
        <v>4461</v>
      </c>
      <c r="V17881" s="30">
        <v>4000</v>
      </c>
      <c r="W17881" s="28">
        <v>23414452</v>
      </c>
    </row>
    <row r="17882" spans="20:23" ht="24.75" thickBot="1" x14ac:dyDescent="0.25">
      <c r="T17882" s="28">
        <v>23414455</v>
      </c>
      <c r="U17882" s="29" t="s">
        <v>4462</v>
      </c>
      <c r="V17882" s="30">
        <v>4000</v>
      </c>
      <c r="W17882" s="28">
        <v>23414455</v>
      </c>
    </row>
    <row r="17883" spans="20:23" ht="24.75" thickBot="1" x14ac:dyDescent="0.25">
      <c r="T17883" s="28">
        <v>23414456</v>
      </c>
      <c r="U17883" s="29" t="s">
        <v>4463</v>
      </c>
      <c r="V17883" s="30">
        <v>4000</v>
      </c>
      <c r="W17883" s="28">
        <v>23414456</v>
      </c>
    </row>
    <row r="17884" spans="20:23" ht="24.75" thickBot="1" x14ac:dyDescent="0.25">
      <c r="T17884" s="28">
        <v>23414457</v>
      </c>
      <c r="U17884" s="29" t="s">
        <v>4464</v>
      </c>
      <c r="V17884" s="30">
        <v>4000</v>
      </c>
      <c r="W17884" s="28">
        <v>23414457</v>
      </c>
    </row>
    <row r="17885" spans="20:23" ht="36.75" thickBot="1" x14ac:dyDescent="0.25">
      <c r="T17885" s="28">
        <v>23414458</v>
      </c>
      <c r="U17885" s="29" t="s">
        <v>4465</v>
      </c>
      <c r="V17885" s="30">
        <v>4000</v>
      </c>
      <c r="W17885" s="28">
        <v>23414458</v>
      </c>
    </row>
    <row r="17886" spans="20:23" ht="24.75" thickBot="1" x14ac:dyDescent="0.25">
      <c r="T17886" s="28">
        <v>23414459</v>
      </c>
      <c r="U17886" s="29" t="s">
        <v>4466</v>
      </c>
      <c r="V17886" s="30">
        <v>4000</v>
      </c>
      <c r="W17886" s="28">
        <v>23414459</v>
      </c>
    </row>
    <row r="17887" spans="20:23" ht="24.75" thickBot="1" x14ac:dyDescent="0.25">
      <c r="T17887" s="28">
        <v>23414460</v>
      </c>
      <c r="U17887" s="29" t="s">
        <v>4467</v>
      </c>
      <c r="V17887" s="30">
        <v>4000</v>
      </c>
      <c r="W17887" s="28">
        <v>23414460</v>
      </c>
    </row>
    <row r="17888" spans="20:23" ht="24.75" thickBot="1" x14ac:dyDescent="0.25">
      <c r="T17888" s="28">
        <v>23414462</v>
      </c>
      <c r="U17888" s="29" t="s">
        <v>4468</v>
      </c>
      <c r="V17888" s="30">
        <v>4000</v>
      </c>
      <c r="W17888" s="28">
        <v>23414462</v>
      </c>
    </row>
    <row r="17889" spans="20:23" ht="24.75" thickBot="1" x14ac:dyDescent="0.25">
      <c r="T17889" s="28">
        <v>23414463</v>
      </c>
      <c r="U17889" s="29" t="s">
        <v>4469</v>
      </c>
      <c r="V17889" s="30">
        <v>4000</v>
      </c>
      <c r="W17889" s="28">
        <v>23414463</v>
      </c>
    </row>
    <row r="17890" spans="20:23" ht="24.75" thickBot="1" x14ac:dyDescent="0.25">
      <c r="T17890" s="28">
        <v>23414464</v>
      </c>
      <c r="U17890" s="29" t="s">
        <v>4470</v>
      </c>
      <c r="V17890" s="30">
        <v>4000</v>
      </c>
      <c r="W17890" s="28">
        <v>23414464</v>
      </c>
    </row>
    <row r="17891" spans="20:23" ht="24.75" thickBot="1" x14ac:dyDescent="0.25">
      <c r="T17891" s="28">
        <v>23414465</v>
      </c>
      <c r="U17891" s="29" t="s">
        <v>4471</v>
      </c>
      <c r="V17891" s="30">
        <v>4000</v>
      </c>
      <c r="W17891" s="28">
        <v>23414465</v>
      </c>
    </row>
    <row r="17892" spans="20:23" ht="24.75" thickBot="1" x14ac:dyDescent="0.25">
      <c r="T17892" s="28">
        <v>23414466</v>
      </c>
      <c r="U17892" s="29" t="s">
        <v>4472</v>
      </c>
      <c r="V17892" s="30">
        <v>4000</v>
      </c>
      <c r="W17892" s="28">
        <v>23414466</v>
      </c>
    </row>
    <row r="17893" spans="20:23" ht="24.75" thickBot="1" x14ac:dyDescent="0.25">
      <c r="T17893" s="28">
        <v>23414468</v>
      </c>
      <c r="U17893" s="29" t="s">
        <v>4473</v>
      </c>
      <c r="V17893" s="30">
        <v>4000</v>
      </c>
      <c r="W17893" s="28">
        <v>23414468</v>
      </c>
    </row>
    <row r="17894" spans="20:23" ht="13.5" thickBot="1" x14ac:dyDescent="0.25">
      <c r="T17894" s="28">
        <v>23414469</v>
      </c>
      <c r="U17894" s="29" t="s">
        <v>4474</v>
      </c>
      <c r="V17894" s="30">
        <v>4000</v>
      </c>
      <c r="W17894" s="28">
        <v>23414469</v>
      </c>
    </row>
    <row r="17895" spans="20:23" ht="13.5" thickBot="1" x14ac:dyDescent="0.25">
      <c r="T17895" s="28">
        <v>23414470</v>
      </c>
      <c r="U17895" s="29" t="s">
        <v>4475</v>
      </c>
      <c r="V17895" s="30">
        <v>4000</v>
      </c>
      <c r="W17895" s="28">
        <v>23414470</v>
      </c>
    </row>
    <row r="17896" spans="20:23" ht="13.5" thickBot="1" x14ac:dyDescent="0.25">
      <c r="T17896" s="28">
        <v>23414471</v>
      </c>
      <c r="U17896" s="29" t="s">
        <v>4476</v>
      </c>
      <c r="V17896" s="30">
        <v>4000</v>
      </c>
      <c r="W17896" s="28">
        <v>23414471</v>
      </c>
    </row>
    <row r="17897" spans="20:23" ht="13.5" thickBot="1" x14ac:dyDescent="0.25">
      <c r="T17897" s="28">
        <v>23414473</v>
      </c>
      <c r="U17897" s="29" t="s">
        <v>4477</v>
      </c>
      <c r="V17897" s="30">
        <v>4000</v>
      </c>
      <c r="W17897" s="28">
        <v>23414473</v>
      </c>
    </row>
    <row r="17898" spans="20:23" ht="13.5" thickBot="1" x14ac:dyDescent="0.25">
      <c r="T17898" s="28">
        <v>23414474</v>
      </c>
      <c r="U17898" s="29" t="s">
        <v>4478</v>
      </c>
      <c r="V17898" s="30">
        <v>4000</v>
      </c>
      <c r="W17898" s="28">
        <v>23414474</v>
      </c>
    </row>
    <row r="17899" spans="20:23" ht="13.5" thickBot="1" x14ac:dyDescent="0.25">
      <c r="T17899" s="28">
        <v>23414475</v>
      </c>
      <c r="U17899" s="29" t="s">
        <v>4479</v>
      </c>
      <c r="V17899" s="30">
        <v>4000</v>
      </c>
      <c r="W17899" s="28">
        <v>23414475</v>
      </c>
    </row>
    <row r="17900" spans="20:23" ht="13.5" thickBot="1" x14ac:dyDescent="0.25">
      <c r="T17900" s="28">
        <v>23414476</v>
      </c>
      <c r="U17900" s="29" t="s">
        <v>4480</v>
      </c>
      <c r="V17900" s="30">
        <v>4000</v>
      </c>
      <c r="W17900" s="28">
        <v>23414476</v>
      </c>
    </row>
    <row r="17901" spans="20:23" ht="13.5" thickBot="1" x14ac:dyDescent="0.25">
      <c r="T17901" s="28">
        <v>23414477</v>
      </c>
      <c r="U17901" s="29" t="s">
        <v>4481</v>
      </c>
      <c r="V17901" s="30">
        <v>4000</v>
      </c>
      <c r="W17901" s="28">
        <v>23414477</v>
      </c>
    </row>
    <row r="17902" spans="20:23" ht="24.75" thickBot="1" x14ac:dyDescent="0.25">
      <c r="T17902" s="28">
        <v>23414478</v>
      </c>
      <c r="U17902" s="29" t="s">
        <v>4482</v>
      </c>
      <c r="V17902" s="30">
        <v>4000</v>
      </c>
      <c r="W17902" s="28">
        <v>23414478</v>
      </c>
    </row>
    <row r="17903" spans="20:23" ht="24.75" thickBot="1" x14ac:dyDescent="0.25">
      <c r="T17903" s="28">
        <v>23414480</v>
      </c>
      <c r="U17903" s="29" t="s">
        <v>4483</v>
      </c>
      <c r="V17903" s="30">
        <v>4000</v>
      </c>
      <c r="W17903" s="28">
        <v>23414480</v>
      </c>
    </row>
    <row r="17904" spans="20:23" ht="24.75" thickBot="1" x14ac:dyDescent="0.25">
      <c r="T17904" s="28">
        <v>23414481</v>
      </c>
      <c r="U17904" s="29" t="s">
        <v>4484</v>
      </c>
      <c r="V17904" s="30">
        <v>4000</v>
      </c>
      <c r="W17904" s="28">
        <v>23414481</v>
      </c>
    </row>
    <row r="17905" spans="20:23" ht="24.75" thickBot="1" x14ac:dyDescent="0.25">
      <c r="T17905" s="28">
        <v>23414482</v>
      </c>
      <c r="U17905" s="29" t="s">
        <v>4485</v>
      </c>
      <c r="V17905" s="30">
        <v>4000</v>
      </c>
      <c r="W17905" s="28">
        <v>23414482</v>
      </c>
    </row>
    <row r="17906" spans="20:23" ht="13.5" thickBot="1" x14ac:dyDescent="0.25">
      <c r="T17906" s="28">
        <v>23414483</v>
      </c>
      <c r="U17906" s="29" t="s">
        <v>4486</v>
      </c>
      <c r="V17906" s="30">
        <v>4000</v>
      </c>
      <c r="W17906" s="28">
        <v>23414483</v>
      </c>
    </row>
    <row r="17907" spans="20:23" ht="13.5" thickBot="1" x14ac:dyDescent="0.25">
      <c r="T17907" s="28">
        <v>23414484</v>
      </c>
      <c r="U17907" s="29" t="s">
        <v>4487</v>
      </c>
      <c r="V17907" s="30">
        <v>4000</v>
      </c>
      <c r="W17907" s="28">
        <v>23414484</v>
      </c>
    </row>
    <row r="17908" spans="20:23" ht="24.75" thickBot="1" x14ac:dyDescent="0.25">
      <c r="T17908" s="28">
        <v>23414488</v>
      </c>
      <c r="U17908" s="29" t="s">
        <v>4488</v>
      </c>
      <c r="V17908" s="30">
        <v>4000</v>
      </c>
      <c r="W17908" s="28">
        <v>23414488</v>
      </c>
    </row>
    <row r="17909" spans="20:23" ht="24.75" thickBot="1" x14ac:dyDescent="0.25">
      <c r="T17909" s="28">
        <v>23414489</v>
      </c>
      <c r="U17909" s="29" t="s">
        <v>4489</v>
      </c>
      <c r="V17909" s="30">
        <v>4000</v>
      </c>
      <c r="W17909" s="28">
        <v>23414489</v>
      </c>
    </row>
    <row r="17910" spans="20:23" ht="13.5" thickBot="1" x14ac:dyDescent="0.25">
      <c r="T17910" s="28">
        <v>23414490</v>
      </c>
      <c r="U17910" s="29" t="s">
        <v>4490</v>
      </c>
      <c r="V17910" s="30">
        <v>4000</v>
      </c>
      <c r="W17910" s="28">
        <v>23414490</v>
      </c>
    </row>
    <row r="17911" spans="20:23" ht="24.75" thickBot="1" x14ac:dyDescent="0.25">
      <c r="T17911" s="28">
        <v>23414491</v>
      </c>
      <c r="U17911" s="29" t="s">
        <v>4491</v>
      </c>
      <c r="V17911" s="30">
        <v>4000</v>
      </c>
      <c r="W17911" s="28">
        <v>23414491</v>
      </c>
    </row>
    <row r="17912" spans="20:23" ht="24.75" thickBot="1" x14ac:dyDescent="0.25">
      <c r="T17912" s="28">
        <v>23414492</v>
      </c>
      <c r="U17912" s="29" t="s">
        <v>4492</v>
      </c>
      <c r="V17912" s="30">
        <v>4000</v>
      </c>
      <c r="W17912" s="28">
        <v>23414492</v>
      </c>
    </row>
    <row r="17913" spans="20:23" ht="24.75" thickBot="1" x14ac:dyDescent="0.25">
      <c r="T17913" s="28">
        <v>23414493</v>
      </c>
      <c r="U17913" s="29" t="s">
        <v>4493</v>
      </c>
      <c r="V17913" s="30">
        <v>4000</v>
      </c>
      <c r="W17913" s="28">
        <v>23414493</v>
      </c>
    </row>
    <row r="17914" spans="20:23" ht="24.75" thickBot="1" x14ac:dyDescent="0.25">
      <c r="T17914" s="28">
        <v>23414494</v>
      </c>
      <c r="U17914" s="29" t="s">
        <v>4494</v>
      </c>
      <c r="V17914" s="30">
        <v>4000</v>
      </c>
      <c r="W17914" s="28">
        <v>23414494</v>
      </c>
    </row>
    <row r="17915" spans="20:23" ht="24.75" thickBot="1" x14ac:dyDescent="0.25">
      <c r="T17915" s="28">
        <v>23414498</v>
      </c>
      <c r="U17915" s="29" t="s">
        <v>4495</v>
      </c>
      <c r="V17915" s="30">
        <v>4000</v>
      </c>
      <c r="W17915" s="28">
        <v>23414498</v>
      </c>
    </row>
    <row r="17916" spans="20:23" ht="24.75" thickBot="1" x14ac:dyDescent="0.25">
      <c r="T17916" s="28">
        <v>23414500</v>
      </c>
      <c r="U17916" s="29" t="s">
        <v>4496</v>
      </c>
      <c r="V17916" s="30">
        <v>4000</v>
      </c>
      <c r="W17916" s="28">
        <v>23414500</v>
      </c>
    </row>
    <row r="17917" spans="20:23" ht="24.75" thickBot="1" x14ac:dyDescent="0.25">
      <c r="T17917" s="28">
        <v>23414501</v>
      </c>
      <c r="U17917" s="29" t="s">
        <v>4497</v>
      </c>
      <c r="V17917" s="30">
        <v>4000</v>
      </c>
      <c r="W17917" s="28">
        <v>23414501</v>
      </c>
    </row>
    <row r="17918" spans="20:23" ht="24.75" thickBot="1" x14ac:dyDescent="0.25">
      <c r="T17918" s="28">
        <v>23414502</v>
      </c>
      <c r="U17918" s="29" t="s">
        <v>4498</v>
      </c>
      <c r="V17918" s="30">
        <v>4000</v>
      </c>
      <c r="W17918" s="28">
        <v>23414502</v>
      </c>
    </row>
    <row r="17919" spans="20:23" ht="36.75" thickBot="1" x14ac:dyDescent="0.25">
      <c r="T17919" s="28">
        <v>23414506</v>
      </c>
      <c r="U17919" s="29" t="s">
        <v>4499</v>
      </c>
      <c r="V17919" s="30">
        <v>4000</v>
      </c>
      <c r="W17919" s="28">
        <v>23414506</v>
      </c>
    </row>
    <row r="17920" spans="20:23" ht="24.75" thickBot="1" x14ac:dyDescent="0.25">
      <c r="T17920" s="28">
        <v>23414507</v>
      </c>
      <c r="U17920" s="29" t="s">
        <v>4500</v>
      </c>
      <c r="V17920" s="30">
        <v>4000</v>
      </c>
      <c r="W17920" s="28">
        <v>23414507</v>
      </c>
    </row>
    <row r="17921" spans="20:23" ht="36.75" thickBot="1" x14ac:dyDescent="0.25">
      <c r="T17921" s="28">
        <v>23414508</v>
      </c>
      <c r="U17921" s="29" t="s">
        <v>314</v>
      </c>
      <c r="V17921" s="30">
        <v>20000</v>
      </c>
      <c r="W17921" s="28">
        <v>23414508</v>
      </c>
    </row>
    <row r="17922" spans="20:23" ht="24.75" thickBot="1" x14ac:dyDescent="0.25">
      <c r="T17922" s="28">
        <v>23414509</v>
      </c>
      <c r="U17922" s="29" t="s">
        <v>315</v>
      </c>
      <c r="V17922" s="30">
        <v>20000</v>
      </c>
      <c r="W17922" s="28">
        <v>23414509</v>
      </c>
    </row>
    <row r="17923" spans="20:23" ht="13.5" thickBot="1" x14ac:dyDescent="0.25">
      <c r="T17923" s="28">
        <v>23414510</v>
      </c>
      <c r="U17923" s="29" t="s">
        <v>316</v>
      </c>
      <c r="V17923" s="30">
        <v>20000</v>
      </c>
      <c r="W17923" s="28">
        <v>23414510</v>
      </c>
    </row>
    <row r="17924" spans="20:23" ht="24.75" thickBot="1" x14ac:dyDescent="0.25">
      <c r="T17924" s="28">
        <v>23414511</v>
      </c>
      <c r="U17924" s="29" t="s">
        <v>317</v>
      </c>
      <c r="V17924" s="30">
        <v>20000</v>
      </c>
      <c r="W17924" s="28">
        <v>23414511</v>
      </c>
    </row>
    <row r="17925" spans="20:23" ht="24.75" thickBot="1" x14ac:dyDescent="0.25">
      <c r="T17925" s="28">
        <v>23414512</v>
      </c>
      <c r="U17925" s="29" t="s">
        <v>4501</v>
      </c>
      <c r="V17925" s="30">
        <v>1000000</v>
      </c>
      <c r="W17925" s="28">
        <v>23414512</v>
      </c>
    </row>
    <row r="17926" spans="20:23" ht="24.75" thickBot="1" x14ac:dyDescent="0.25">
      <c r="T17926" s="28">
        <v>23414513</v>
      </c>
      <c r="U17926" s="29" t="s">
        <v>4502</v>
      </c>
      <c r="V17926" s="30">
        <v>1000000</v>
      </c>
      <c r="W17926" s="28">
        <v>23414513</v>
      </c>
    </row>
    <row r="17927" spans="20:23" ht="24.75" thickBot="1" x14ac:dyDescent="0.25">
      <c r="T17927" s="28">
        <v>23414514</v>
      </c>
      <c r="U17927" s="29" t="s">
        <v>4503</v>
      </c>
      <c r="V17927" s="30">
        <v>1000000</v>
      </c>
      <c r="W17927" s="28">
        <v>23414514</v>
      </c>
    </row>
    <row r="17928" spans="20:23" ht="24.75" thickBot="1" x14ac:dyDescent="0.25">
      <c r="T17928" s="28">
        <v>23414515</v>
      </c>
      <c r="U17928" s="29" t="s">
        <v>4504</v>
      </c>
      <c r="V17928" s="30">
        <v>1000000</v>
      </c>
      <c r="W17928" s="28">
        <v>23414515</v>
      </c>
    </row>
    <row r="17929" spans="20:23" ht="24.75" thickBot="1" x14ac:dyDescent="0.25">
      <c r="T17929" s="28">
        <v>23414516</v>
      </c>
      <c r="U17929" s="29" t="s">
        <v>4505</v>
      </c>
      <c r="V17929" s="30">
        <v>1000000</v>
      </c>
      <c r="W17929" s="28">
        <v>23414516</v>
      </c>
    </row>
    <row r="17930" spans="20:23" ht="24.75" thickBot="1" x14ac:dyDescent="0.25">
      <c r="T17930" s="28">
        <v>23414517</v>
      </c>
      <c r="U17930" s="29" t="s">
        <v>4506</v>
      </c>
      <c r="V17930" s="30">
        <v>1000000</v>
      </c>
      <c r="W17930" s="28">
        <v>23414517</v>
      </c>
    </row>
    <row r="17931" spans="20:23" ht="24.75" thickBot="1" x14ac:dyDescent="0.25">
      <c r="T17931" s="28">
        <v>23414518</v>
      </c>
      <c r="U17931" s="29" t="s">
        <v>4507</v>
      </c>
      <c r="V17931" s="30">
        <v>1000000</v>
      </c>
      <c r="W17931" s="28">
        <v>23414518</v>
      </c>
    </row>
    <row r="17932" spans="20:23" ht="24.75" thickBot="1" x14ac:dyDescent="0.25">
      <c r="T17932" s="28">
        <v>23414519</v>
      </c>
      <c r="U17932" s="29" t="s">
        <v>4508</v>
      </c>
      <c r="V17932" s="30">
        <v>200000</v>
      </c>
      <c r="W17932" s="28">
        <v>23414519</v>
      </c>
    </row>
    <row r="17933" spans="20:23" ht="24.75" thickBot="1" x14ac:dyDescent="0.25">
      <c r="T17933" s="28">
        <v>23414520</v>
      </c>
      <c r="U17933" s="29" t="s">
        <v>4509</v>
      </c>
      <c r="V17933" s="30">
        <v>200000</v>
      </c>
      <c r="W17933" s="28">
        <v>23414520</v>
      </c>
    </row>
    <row r="17934" spans="20:23" ht="24.75" thickBot="1" x14ac:dyDescent="0.25">
      <c r="T17934" s="28">
        <v>23414521</v>
      </c>
      <c r="U17934" s="29" t="s">
        <v>4510</v>
      </c>
      <c r="V17934" s="30">
        <v>1000000</v>
      </c>
      <c r="W17934" s="28">
        <v>23414521</v>
      </c>
    </row>
    <row r="17935" spans="20:23" ht="13.5" thickBot="1" x14ac:dyDescent="0.25">
      <c r="T17935" s="28">
        <v>23414522</v>
      </c>
      <c r="U17935" s="29" t="s">
        <v>4511</v>
      </c>
      <c r="V17935" s="30">
        <v>20000</v>
      </c>
      <c r="W17935" s="28">
        <v>23414522</v>
      </c>
    </row>
    <row r="17936" spans="20:23" ht="13.5" thickBot="1" x14ac:dyDescent="0.25">
      <c r="T17936" s="28">
        <v>23420000</v>
      </c>
      <c r="U17936" s="29" t="s">
        <v>1107</v>
      </c>
      <c r="V17936" s="30">
        <v>200000</v>
      </c>
      <c r="W17936" s="28">
        <v>23420000</v>
      </c>
    </row>
    <row r="17937" spans="20:23" ht="13.5" thickBot="1" x14ac:dyDescent="0.25">
      <c r="T17937" s="28">
        <v>23420001</v>
      </c>
      <c r="U17937" s="29" t="s">
        <v>1108</v>
      </c>
      <c r="V17937" s="30">
        <v>400000</v>
      </c>
      <c r="W17937" s="28">
        <v>23420001</v>
      </c>
    </row>
    <row r="17938" spans="20:23" ht="13.5" thickBot="1" x14ac:dyDescent="0.25">
      <c r="T17938" s="28">
        <v>23420002</v>
      </c>
      <c r="U17938" s="29" t="s">
        <v>1109</v>
      </c>
      <c r="V17938" s="30">
        <v>800000</v>
      </c>
      <c r="W17938" s="28">
        <v>23420002</v>
      </c>
    </row>
    <row r="17939" spans="20:23" ht="13.5" thickBot="1" x14ac:dyDescent="0.25">
      <c r="T17939" s="28">
        <v>23420003</v>
      </c>
      <c r="U17939" s="29" t="s">
        <v>1110</v>
      </c>
      <c r="V17939" s="30">
        <v>1200000</v>
      </c>
      <c r="W17939" s="28">
        <v>23420003</v>
      </c>
    </row>
    <row r="17940" spans="20:23" ht="13.5" thickBot="1" x14ac:dyDescent="0.25">
      <c r="T17940" s="28">
        <v>23420004</v>
      </c>
      <c r="U17940" s="29" t="s">
        <v>1111</v>
      </c>
      <c r="V17940" s="30">
        <v>40000</v>
      </c>
      <c r="W17940" s="28">
        <v>23420004</v>
      </c>
    </row>
    <row r="17941" spans="20:23" ht="13.5" thickBot="1" x14ac:dyDescent="0.25">
      <c r="T17941" s="28">
        <v>23420005</v>
      </c>
      <c r="U17941" s="29" t="s">
        <v>1112</v>
      </c>
      <c r="V17941" s="30">
        <v>80000</v>
      </c>
      <c r="W17941" s="28">
        <v>23420005</v>
      </c>
    </row>
    <row r="17942" spans="20:23" ht="13.5" thickBot="1" x14ac:dyDescent="0.25">
      <c r="T17942" s="28">
        <v>23420006</v>
      </c>
      <c r="U17942" s="29" t="s">
        <v>1113</v>
      </c>
      <c r="V17942" s="30">
        <v>160000</v>
      </c>
      <c r="W17942" s="28">
        <v>23420006</v>
      </c>
    </row>
    <row r="17943" spans="20:23" ht="13.5" thickBot="1" x14ac:dyDescent="0.25">
      <c r="T17943" s="28">
        <v>23420007</v>
      </c>
      <c r="U17943" s="29" t="s">
        <v>1114</v>
      </c>
      <c r="V17943" s="30">
        <v>240000</v>
      </c>
      <c r="W17943" s="28">
        <v>23420007</v>
      </c>
    </row>
    <row r="17944" spans="20:23" ht="13.5" thickBot="1" x14ac:dyDescent="0.25">
      <c r="T17944" s="28">
        <v>23420008</v>
      </c>
      <c r="U17944" s="29" t="s">
        <v>1115</v>
      </c>
      <c r="V17944" s="30">
        <v>4000</v>
      </c>
      <c r="W17944" s="28">
        <v>23420008</v>
      </c>
    </row>
    <row r="17945" spans="20:23" ht="13.5" thickBot="1" x14ac:dyDescent="0.25">
      <c r="T17945" s="28">
        <v>23420009</v>
      </c>
      <c r="U17945" s="29" t="s">
        <v>1116</v>
      </c>
      <c r="V17945" s="30">
        <v>8000</v>
      </c>
      <c r="W17945" s="28">
        <v>23420009</v>
      </c>
    </row>
    <row r="17946" spans="20:23" ht="13.5" thickBot="1" x14ac:dyDescent="0.25">
      <c r="T17946" s="28">
        <v>23420010</v>
      </c>
      <c r="U17946" s="29" t="s">
        <v>1117</v>
      </c>
      <c r="V17946" s="30">
        <v>16000</v>
      </c>
      <c r="W17946" s="28">
        <v>23420010</v>
      </c>
    </row>
    <row r="17947" spans="20:23" ht="13.5" thickBot="1" x14ac:dyDescent="0.25">
      <c r="T17947" s="28">
        <v>23420011</v>
      </c>
      <c r="U17947" s="29" t="s">
        <v>1118</v>
      </c>
      <c r="V17947" s="30">
        <v>24000</v>
      </c>
      <c r="W17947" s="28">
        <v>23420011</v>
      </c>
    </row>
    <row r="17948" spans="20:23" ht="13.5" thickBot="1" x14ac:dyDescent="0.25">
      <c r="T17948" s="28">
        <v>23420012</v>
      </c>
      <c r="U17948" s="29" t="s">
        <v>1119</v>
      </c>
      <c r="V17948" s="30">
        <v>200000</v>
      </c>
      <c r="W17948" s="28">
        <v>23420012</v>
      </c>
    </row>
    <row r="17949" spans="20:23" ht="13.5" thickBot="1" x14ac:dyDescent="0.25">
      <c r="T17949" s="28">
        <v>23420013</v>
      </c>
      <c r="U17949" s="29" t="s">
        <v>1120</v>
      </c>
      <c r="V17949" s="30">
        <v>400000</v>
      </c>
      <c r="W17949" s="28">
        <v>23420013</v>
      </c>
    </row>
    <row r="17950" spans="20:23" ht="13.5" thickBot="1" x14ac:dyDescent="0.25">
      <c r="T17950" s="28">
        <v>23420014</v>
      </c>
      <c r="U17950" s="29" t="s">
        <v>1121</v>
      </c>
      <c r="V17950" s="30">
        <v>800000</v>
      </c>
      <c r="W17950" s="28">
        <v>23420014</v>
      </c>
    </row>
    <row r="17951" spans="20:23" ht="13.5" thickBot="1" x14ac:dyDescent="0.25">
      <c r="T17951" s="28">
        <v>23420015</v>
      </c>
      <c r="U17951" s="29" t="s">
        <v>1122</v>
      </c>
      <c r="V17951" s="30">
        <v>1200000</v>
      </c>
      <c r="W17951" s="28">
        <v>23420015</v>
      </c>
    </row>
    <row r="17952" spans="20:23" ht="13.5" thickBot="1" x14ac:dyDescent="0.25">
      <c r="T17952" s="28">
        <v>23420016</v>
      </c>
      <c r="U17952" s="29" t="s">
        <v>1123</v>
      </c>
      <c r="V17952" s="30">
        <v>40000</v>
      </c>
      <c r="W17952" s="28">
        <v>23420016</v>
      </c>
    </row>
    <row r="17953" spans="20:23" ht="13.5" thickBot="1" x14ac:dyDescent="0.25">
      <c r="T17953" s="28">
        <v>23420017</v>
      </c>
      <c r="U17953" s="29" t="s">
        <v>1124</v>
      </c>
      <c r="V17953" s="30">
        <v>80000</v>
      </c>
      <c r="W17953" s="28">
        <v>23420017</v>
      </c>
    </row>
    <row r="17954" spans="20:23" ht="13.5" thickBot="1" x14ac:dyDescent="0.25">
      <c r="T17954" s="28">
        <v>23420018</v>
      </c>
      <c r="U17954" s="29" t="s">
        <v>1125</v>
      </c>
      <c r="V17954" s="30">
        <v>160000</v>
      </c>
      <c r="W17954" s="28">
        <v>23420018</v>
      </c>
    </row>
    <row r="17955" spans="20:23" ht="13.5" thickBot="1" x14ac:dyDescent="0.25">
      <c r="T17955" s="28">
        <v>23420019</v>
      </c>
      <c r="U17955" s="29" t="s">
        <v>1126</v>
      </c>
      <c r="V17955" s="30">
        <v>240000</v>
      </c>
      <c r="W17955" s="28">
        <v>23420019</v>
      </c>
    </row>
    <row r="17956" spans="20:23" ht="13.5" thickBot="1" x14ac:dyDescent="0.25">
      <c r="T17956" s="28">
        <v>23420020</v>
      </c>
      <c r="U17956" s="29" t="s">
        <v>1127</v>
      </c>
      <c r="V17956" s="30">
        <v>4000</v>
      </c>
      <c r="W17956" s="28">
        <v>23420020</v>
      </c>
    </row>
    <row r="17957" spans="20:23" ht="24.75" thickBot="1" x14ac:dyDescent="0.25">
      <c r="T17957" s="28">
        <v>23420021</v>
      </c>
      <c r="U17957" s="29" t="s">
        <v>1128</v>
      </c>
      <c r="V17957" s="30">
        <v>8000</v>
      </c>
      <c r="W17957" s="28">
        <v>23420021</v>
      </c>
    </row>
    <row r="17958" spans="20:23" ht="24.75" thickBot="1" x14ac:dyDescent="0.25">
      <c r="T17958" s="28">
        <v>23420022</v>
      </c>
      <c r="U17958" s="29" t="s">
        <v>1129</v>
      </c>
      <c r="V17958" s="30">
        <v>16000</v>
      </c>
      <c r="W17958" s="28">
        <v>23420022</v>
      </c>
    </row>
    <row r="17959" spans="20:23" ht="24.75" thickBot="1" x14ac:dyDescent="0.25">
      <c r="T17959" s="28">
        <v>23420023</v>
      </c>
      <c r="U17959" s="29" t="s">
        <v>1130</v>
      </c>
      <c r="V17959" s="30">
        <v>24000</v>
      </c>
      <c r="W17959" s="28">
        <v>23420023</v>
      </c>
    </row>
    <row r="17960" spans="20:23" ht="24.75" thickBot="1" x14ac:dyDescent="0.25">
      <c r="T17960" s="28">
        <v>23420024</v>
      </c>
      <c r="U17960" s="29" t="s">
        <v>1131</v>
      </c>
      <c r="V17960" s="30">
        <v>200000</v>
      </c>
      <c r="W17960" s="28">
        <v>23420024</v>
      </c>
    </row>
    <row r="17961" spans="20:23" ht="13.5" thickBot="1" x14ac:dyDescent="0.25">
      <c r="T17961" s="28">
        <v>23420025</v>
      </c>
      <c r="U17961" s="29" t="s">
        <v>1132</v>
      </c>
      <c r="V17961" s="30">
        <v>400000</v>
      </c>
      <c r="W17961" s="28">
        <v>23420025</v>
      </c>
    </row>
    <row r="17962" spans="20:23" ht="24.75" thickBot="1" x14ac:dyDescent="0.25">
      <c r="T17962" s="28">
        <v>23420026</v>
      </c>
      <c r="U17962" s="29" t="s">
        <v>1133</v>
      </c>
      <c r="V17962" s="30">
        <v>800000</v>
      </c>
      <c r="W17962" s="28">
        <v>23420026</v>
      </c>
    </row>
    <row r="17963" spans="20:23" ht="24.75" thickBot="1" x14ac:dyDescent="0.25">
      <c r="T17963" s="28">
        <v>23420027</v>
      </c>
      <c r="U17963" s="29" t="s">
        <v>1134</v>
      </c>
      <c r="V17963" s="30">
        <v>1200000</v>
      </c>
      <c r="W17963" s="28">
        <v>23420027</v>
      </c>
    </row>
    <row r="17964" spans="20:23" ht="24.75" thickBot="1" x14ac:dyDescent="0.25">
      <c r="T17964" s="28">
        <v>23420028</v>
      </c>
      <c r="U17964" s="29" t="s">
        <v>1135</v>
      </c>
      <c r="V17964" s="30">
        <v>40000</v>
      </c>
      <c r="W17964" s="28">
        <v>23420028</v>
      </c>
    </row>
    <row r="17965" spans="20:23" ht="13.5" thickBot="1" x14ac:dyDescent="0.25">
      <c r="T17965" s="28">
        <v>23420029</v>
      </c>
      <c r="U17965" s="29" t="s">
        <v>1136</v>
      </c>
      <c r="V17965" s="30">
        <v>80000</v>
      </c>
      <c r="W17965" s="28">
        <v>23420029</v>
      </c>
    </row>
    <row r="17966" spans="20:23" ht="13.5" thickBot="1" x14ac:dyDescent="0.25">
      <c r="T17966" s="28">
        <v>23420030</v>
      </c>
      <c r="U17966" s="29" t="s">
        <v>1137</v>
      </c>
      <c r="V17966" s="30">
        <v>160000</v>
      </c>
      <c r="W17966" s="28">
        <v>23420030</v>
      </c>
    </row>
    <row r="17967" spans="20:23" ht="13.5" thickBot="1" x14ac:dyDescent="0.25">
      <c r="T17967" s="28">
        <v>23420031</v>
      </c>
      <c r="U17967" s="29" t="s">
        <v>1138</v>
      </c>
      <c r="V17967" s="30">
        <v>240000</v>
      </c>
      <c r="W17967" s="28">
        <v>23420031</v>
      </c>
    </row>
    <row r="17968" spans="20:23" ht="13.5" thickBot="1" x14ac:dyDescent="0.25">
      <c r="T17968" s="28">
        <v>23420032</v>
      </c>
      <c r="U17968" s="29" t="s">
        <v>1139</v>
      </c>
      <c r="V17968" s="30">
        <v>4000</v>
      </c>
      <c r="W17968" s="28">
        <v>23420032</v>
      </c>
    </row>
    <row r="17969" spans="20:23" ht="13.5" thickBot="1" x14ac:dyDescent="0.25">
      <c r="T17969" s="28">
        <v>23420033</v>
      </c>
      <c r="U17969" s="29" t="s">
        <v>1140</v>
      </c>
      <c r="V17969" s="30">
        <v>8000</v>
      </c>
      <c r="W17969" s="28">
        <v>23420033</v>
      </c>
    </row>
    <row r="17970" spans="20:23" ht="13.5" thickBot="1" x14ac:dyDescent="0.25">
      <c r="T17970" s="28">
        <v>23420034</v>
      </c>
      <c r="U17970" s="29" t="s">
        <v>1141</v>
      </c>
      <c r="V17970" s="30">
        <v>16000</v>
      </c>
      <c r="W17970" s="28">
        <v>23420034</v>
      </c>
    </row>
    <row r="17971" spans="20:23" ht="13.5" thickBot="1" x14ac:dyDescent="0.25">
      <c r="T17971" s="28">
        <v>23420035</v>
      </c>
      <c r="U17971" s="29" t="s">
        <v>1142</v>
      </c>
      <c r="V17971" s="30">
        <v>24000</v>
      </c>
      <c r="W17971" s="28">
        <v>23420035</v>
      </c>
    </row>
    <row r="17972" spans="20:23" ht="13.5" thickBot="1" x14ac:dyDescent="0.25">
      <c r="T17972" s="28">
        <v>23420036</v>
      </c>
      <c r="U17972" s="29" t="s">
        <v>1143</v>
      </c>
      <c r="V17972" s="31">
        <v>800</v>
      </c>
      <c r="W17972" s="28">
        <v>23420036</v>
      </c>
    </row>
    <row r="17973" spans="20:23" ht="13.5" thickBot="1" x14ac:dyDescent="0.25">
      <c r="T17973" s="28">
        <v>23420037</v>
      </c>
      <c r="U17973" s="29" t="s">
        <v>1144</v>
      </c>
      <c r="V17973" s="30">
        <v>1600</v>
      </c>
      <c r="W17973" s="28">
        <v>23420037</v>
      </c>
    </row>
    <row r="17974" spans="20:23" ht="13.5" thickBot="1" x14ac:dyDescent="0.25">
      <c r="T17974" s="28">
        <v>23420038</v>
      </c>
      <c r="U17974" s="29" t="s">
        <v>1145</v>
      </c>
      <c r="V17974" s="30">
        <v>3200</v>
      </c>
      <c r="W17974" s="28">
        <v>23420038</v>
      </c>
    </row>
    <row r="17975" spans="20:23" ht="13.5" thickBot="1" x14ac:dyDescent="0.25">
      <c r="T17975" s="28">
        <v>23420039</v>
      </c>
      <c r="U17975" s="29" t="s">
        <v>1146</v>
      </c>
      <c r="V17975" s="30">
        <v>4800</v>
      </c>
      <c r="W17975" s="28">
        <v>23420039</v>
      </c>
    </row>
    <row r="17976" spans="20:23" ht="13.5" thickBot="1" x14ac:dyDescent="0.25">
      <c r="T17976" s="28">
        <v>23421000</v>
      </c>
      <c r="U17976" s="29" t="s">
        <v>1359</v>
      </c>
      <c r="V17976" s="30">
        <v>4000</v>
      </c>
      <c r="W17976" s="28">
        <v>23421000</v>
      </c>
    </row>
    <row r="17977" spans="20:23" ht="13.5" thickBot="1" x14ac:dyDescent="0.25">
      <c r="T17977" s="28">
        <v>23421001</v>
      </c>
      <c r="U17977" s="29" t="s">
        <v>1360</v>
      </c>
      <c r="V17977" s="30">
        <v>8000</v>
      </c>
      <c r="W17977" s="28">
        <v>23421001</v>
      </c>
    </row>
    <row r="17978" spans="20:23" ht="13.5" thickBot="1" x14ac:dyDescent="0.25">
      <c r="T17978" s="28">
        <v>23421002</v>
      </c>
      <c r="U17978" s="29" t="s">
        <v>1361</v>
      </c>
      <c r="V17978" s="30">
        <v>16000</v>
      </c>
      <c r="W17978" s="28">
        <v>23421002</v>
      </c>
    </row>
    <row r="17979" spans="20:23" ht="13.5" thickBot="1" x14ac:dyDescent="0.25">
      <c r="T17979" s="28">
        <v>23421003</v>
      </c>
      <c r="U17979" s="29" t="s">
        <v>1362</v>
      </c>
      <c r="V17979" s="30">
        <v>24000</v>
      </c>
      <c r="W17979" s="28">
        <v>23421003</v>
      </c>
    </row>
    <row r="17980" spans="20:23" ht="13.5" thickBot="1" x14ac:dyDescent="0.25">
      <c r="T17980" s="28">
        <v>23421004</v>
      </c>
      <c r="U17980" s="29" t="s">
        <v>1369</v>
      </c>
      <c r="V17980" s="30">
        <v>1200000</v>
      </c>
      <c r="W17980" s="28">
        <v>23421004</v>
      </c>
    </row>
    <row r="17981" spans="20:23" ht="13.5" thickBot="1" x14ac:dyDescent="0.25">
      <c r="T17981" s="28">
        <v>23421005</v>
      </c>
      <c r="U17981" s="29" t="s">
        <v>1364</v>
      </c>
      <c r="V17981" s="30">
        <v>40000</v>
      </c>
      <c r="W17981" s="28">
        <v>23421005</v>
      </c>
    </row>
    <row r="17982" spans="20:23" ht="13.5" thickBot="1" x14ac:dyDescent="0.25">
      <c r="T17982" s="28">
        <v>23421006</v>
      </c>
      <c r="U17982" s="29" t="s">
        <v>1365</v>
      </c>
      <c r="V17982" s="30">
        <v>80000</v>
      </c>
      <c r="W17982" s="28">
        <v>23421006</v>
      </c>
    </row>
    <row r="17983" spans="20:23" ht="13.5" thickBot="1" x14ac:dyDescent="0.25">
      <c r="T17983" s="28">
        <v>23421007</v>
      </c>
      <c r="U17983" s="29" t="s">
        <v>1366</v>
      </c>
      <c r="V17983" s="30">
        <v>160000</v>
      </c>
      <c r="W17983" s="28">
        <v>23421007</v>
      </c>
    </row>
    <row r="17984" spans="20:23" ht="13.5" thickBot="1" x14ac:dyDescent="0.25">
      <c r="T17984" s="28">
        <v>23421008</v>
      </c>
      <c r="U17984" s="29" t="s">
        <v>1367</v>
      </c>
      <c r="V17984" s="30">
        <v>240000</v>
      </c>
      <c r="W17984" s="28">
        <v>23421008</v>
      </c>
    </row>
    <row r="17985" spans="20:23" ht="13.5" thickBot="1" x14ac:dyDescent="0.25">
      <c r="T17985" s="28">
        <v>23421009</v>
      </c>
      <c r="U17985" s="29" t="s">
        <v>1370</v>
      </c>
      <c r="V17985" s="30">
        <v>200000</v>
      </c>
      <c r="W17985" s="28">
        <v>23421009</v>
      </c>
    </row>
    <row r="17986" spans="20:23" ht="13.5" thickBot="1" x14ac:dyDescent="0.25">
      <c r="T17986" s="28">
        <v>23421010</v>
      </c>
      <c r="U17986" s="29" t="s">
        <v>1371</v>
      </c>
      <c r="V17986" s="30">
        <v>400000</v>
      </c>
      <c r="W17986" s="28">
        <v>23421010</v>
      </c>
    </row>
    <row r="17987" spans="20:23" ht="13.5" thickBot="1" x14ac:dyDescent="0.25">
      <c r="T17987" s="28">
        <v>23421011</v>
      </c>
      <c r="U17987" s="29" t="s">
        <v>1372</v>
      </c>
      <c r="V17987" s="30">
        <v>800000</v>
      </c>
      <c r="W17987" s="28">
        <v>23421011</v>
      </c>
    </row>
    <row r="17988" spans="20:23" ht="13.5" thickBot="1" x14ac:dyDescent="0.25">
      <c r="T17988" s="28">
        <v>23421012</v>
      </c>
      <c r="U17988" s="29" t="s">
        <v>1373</v>
      </c>
      <c r="V17988" s="30">
        <v>1200000</v>
      </c>
      <c r="W17988" s="28">
        <v>23421012</v>
      </c>
    </row>
    <row r="17989" spans="20:23" ht="13.5" thickBot="1" x14ac:dyDescent="0.25">
      <c r="T17989" s="28">
        <v>23421013</v>
      </c>
      <c r="U17989" s="29" t="s">
        <v>4512</v>
      </c>
      <c r="V17989" s="30">
        <v>200000</v>
      </c>
      <c r="W17989" s="28">
        <v>23421013</v>
      </c>
    </row>
    <row r="17990" spans="20:23" ht="13.5" thickBot="1" x14ac:dyDescent="0.25">
      <c r="T17990" s="28">
        <v>23421014</v>
      </c>
      <c r="U17990" s="29" t="s">
        <v>1368</v>
      </c>
      <c r="V17990" s="30">
        <v>40000</v>
      </c>
      <c r="W17990" s="28">
        <v>23421014</v>
      </c>
    </row>
    <row r="17991" spans="20:23" ht="13.5" thickBot="1" x14ac:dyDescent="0.25">
      <c r="T17991" s="28">
        <v>23421015</v>
      </c>
      <c r="U17991" s="29" t="s">
        <v>1363</v>
      </c>
      <c r="V17991" s="30">
        <v>4000</v>
      </c>
      <c r="W17991" s="28">
        <v>23421015</v>
      </c>
    </row>
    <row r="17992" spans="20:23" ht="13.5" thickBot="1" x14ac:dyDescent="0.25">
      <c r="T17992" s="28">
        <v>23421016</v>
      </c>
      <c r="U17992" s="29" t="s">
        <v>1348</v>
      </c>
      <c r="V17992" s="31">
        <v>800</v>
      </c>
      <c r="W17992" s="28">
        <v>23421016</v>
      </c>
    </row>
    <row r="17993" spans="20:23" ht="13.5" thickBot="1" x14ac:dyDescent="0.25">
      <c r="T17993" s="28">
        <v>23421017</v>
      </c>
      <c r="U17993" s="29" t="s">
        <v>1349</v>
      </c>
      <c r="V17993" s="31">
        <v>800</v>
      </c>
      <c r="W17993" s="28">
        <v>23421017</v>
      </c>
    </row>
    <row r="17994" spans="20:23" ht="13.5" thickBot="1" x14ac:dyDescent="0.25">
      <c r="T17994" s="28">
        <v>23421018</v>
      </c>
      <c r="U17994" s="29" t="s">
        <v>1350</v>
      </c>
      <c r="V17994" s="31">
        <v>800</v>
      </c>
      <c r="W17994" s="28">
        <v>23421018</v>
      </c>
    </row>
    <row r="17995" spans="20:23" ht="13.5" thickBot="1" x14ac:dyDescent="0.25">
      <c r="T17995" s="28">
        <v>23421019</v>
      </c>
      <c r="U17995" s="29" t="s">
        <v>1351</v>
      </c>
      <c r="V17995" s="31">
        <v>800</v>
      </c>
      <c r="W17995" s="28">
        <v>23421019</v>
      </c>
    </row>
    <row r="17996" spans="20:23" ht="13.5" thickBot="1" x14ac:dyDescent="0.25">
      <c r="T17996" s="28">
        <v>23421020</v>
      </c>
      <c r="U17996" s="29" t="s">
        <v>1352</v>
      </c>
      <c r="V17996" s="31">
        <v>800</v>
      </c>
      <c r="W17996" s="28">
        <v>23421020</v>
      </c>
    </row>
    <row r="17997" spans="20:23" ht="13.5" thickBot="1" x14ac:dyDescent="0.25">
      <c r="T17997" s="28">
        <v>23421021</v>
      </c>
      <c r="U17997" s="29" t="s">
        <v>1353</v>
      </c>
      <c r="V17997" s="31">
        <v>800</v>
      </c>
      <c r="W17997" s="28">
        <v>23421021</v>
      </c>
    </row>
    <row r="17998" spans="20:23" ht="13.5" thickBot="1" x14ac:dyDescent="0.25">
      <c r="T17998" s="28">
        <v>23421022</v>
      </c>
      <c r="U17998" s="29" t="s">
        <v>1354</v>
      </c>
      <c r="V17998" s="31">
        <v>800</v>
      </c>
      <c r="W17998" s="28">
        <v>23421022</v>
      </c>
    </row>
    <row r="17999" spans="20:23" ht="13.5" thickBot="1" x14ac:dyDescent="0.25">
      <c r="T17999" s="28">
        <v>23421023</v>
      </c>
      <c r="U17999" s="29" t="s">
        <v>1355</v>
      </c>
      <c r="V17999" s="31">
        <v>800</v>
      </c>
      <c r="W17999" s="28">
        <v>23421023</v>
      </c>
    </row>
    <row r="18000" spans="20:23" ht="13.5" thickBot="1" x14ac:dyDescent="0.25">
      <c r="T18000" s="28">
        <v>23421024</v>
      </c>
      <c r="U18000" s="29" t="s">
        <v>1356</v>
      </c>
      <c r="V18000" s="31">
        <v>800</v>
      </c>
      <c r="W18000" s="28">
        <v>23421024</v>
      </c>
    </row>
    <row r="18001" spans="20:23" ht="13.5" thickBot="1" x14ac:dyDescent="0.25">
      <c r="T18001" s="28">
        <v>23421025</v>
      </c>
      <c r="U18001" s="29" t="s">
        <v>1357</v>
      </c>
      <c r="V18001" s="31">
        <v>800</v>
      </c>
      <c r="W18001" s="28">
        <v>23421025</v>
      </c>
    </row>
    <row r="18002" spans="20:23" ht="13.5" thickBot="1" x14ac:dyDescent="0.25">
      <c r="T18002" s="28">
        <v>23421026</v>
      </c>
      <c r="U18002" s="29" t="s">
        <v>1358</v>
      </c>
      <c r="V18002" s="31">
        <v>800</v>
      </c>
      <c r="W18002" s="28">
        <v>23421026</v>
      </c>
    </row>
    <row r="18003" spans="20:23" ht="24.75" thickBot="1" x14ac:dyDescent="0.25">
      <c r="T18003" s="28">
        <v>23421027</v>
      </c>
      <c r="U18003" s="29" t="s">
        <v>1380</v>
      </c>
      <c r="V18003" s="31">
        <v>670</v>
      </c>
      <c r="W18003" s="28">
        <v>23421027</v>
      </c>
    </row>
    <row r="18004" spans="20:23" ht="24.75" thickBot="1" x14ac:dyDescent="0.25">
      <c r="T18004" s="28">
        <v>23421028</v>
      </c>
      <c r="U18004" s="29" t="s">
        <v>1383</v>
      </c>
      <c r="V18004" s="30">
        <v>4960</v>
      </c>
      <c r="W18004" s="28">
        <v>23421028</v>
      </c>
    </row>
    <row r="18005" spans="20:23" ht="24.75" thickBot="1" x14ac:dyDescent="0.25">
      <c r="T18005" s="28">
        <v>23421029</v>
      </c>
      <c r="U18005" s="29" t="s">
        <v>1386</v>
      </c>
      <c r="V18005" s="30">
        <v>30200</v>
      </c>
      <c r="W18005" s="28">
        <v>23421029</v>
      </c>
    </row>
    <row r="18006" spans="20:23" ht="24.75" thickBot="1" x14ac:dyDescent="0.25">
      <c r="T18006" s="28">
        <v>23421030</v>
      </c>
      <c r="U18006" s="29" t="s">
        <v>1389</v>
      </c>
      <c r="V18006" s="30">
        <v>131000</v>
      </c>
      <c r="W18006" s="28">
        <v>23421030</v>
      </c>
    </row>
    <row r="18007" spans="20:23" ht="24.75" thickBot="1" x14ac:dyDescent="0.25">
      <c r="T18007" s="28">
        <v>23421031</v>
      </c>
      <c r="U18007" s="29" t="s">
        <v>1392</v>
      </c>
      <c r="V18007" s="30">
        <v>594000</v>
      </c>
      <c r="W18007" s="28">
        <v>23421031</v>
      </c>
    </row>
    <row r="18008" spans="20:23" ht="24.75" thickBot="1" x14ac:dyDescent="0.25">
      <c r="T18008" s="28">
        <v>23421032</v>
      </c>
      <c r="U18008" s="29" t="s">
        <v>1381</v>
      </c>
      <c r="V18008" s="31">
        <v>670</v>
      </c>
      <c r="W18008" s="28">
        <v>23421032</v>
      </c>
    </row>
    <row r="18009" spans="20:23" ht="24.75" thickBot="1" x14ac:dyDescent="0.25">
      <c r="T18009" s="28">
        <v>23421033</v>
      </c>
      <c r="U18009" s="29" t="s">
        <v>1384</v>
      </c>
      <c r="V18009" s="30">
        <v>4960</v>
      </c>
      <c r="W18009" s="28">
        <v>23421033</v>
      </c>
    </row>
    <row r="18010" spans="20:23" ht="24.75" thickBot="1" x14ac:dyDescent="0.25">
      <c r="T18010" s="28">
        <v>23421034</v>
      </c>
      <c r="U18010" s="29" t="s">
        <v>1387</v>
      </c>
      <c r="V18010" s="30">
        <v>30200</v>
      </c>
      <c r="W18010" s="28">
        <v>23421034</v>
      </c>
    </row>
    <row r="18011" spans="20:23" ht="24.75" thickBot="1" x14ac:dyDescent="0.25">
      <c r="T18011" s="28">
        <v>23421035</v>
      </c>
      <c r="U18011" s="29" t="s">
        <v>1390</v>
      </c>
      <c r="V18011" s="30">
        <v>131000</v>
      </c>
      <c r="W18011" s="28">
        <v>23421035</v>
      </c>
    </row>
    <row r="18012" spans="20:23" ht="24.75" thickBot="1" x14ac:dyDescent="0.25">
      <c r="T18012" s="28">
        <v>23421036</v>
      </c>
      <c r="U18012" s="29" t="s">
        <v>1393</v>
      </c>
      <c r="V18012" s="30">
        <v>594000</v>
      </c>
      <c r="W18012" s="28">
        <v>23421036</v>
      </c>
    </row>
    <row r="18013" spans="20:23" ht="24.75" thickBot="1" x14ac:dyDescent="0.25">
      <c r="T18013" s="28">
        <v>23421037</v>
      </c>
      <c r="U18013" s="29" t="s">
        <v>1382</v>
      </c>
      <c r="V18013" s="31">
        <v>670</v>
      </c>
      <c r="W18013" s="28">
        <v>23421037</v>
      </c>
    </row>
    <row r="18014" spans="20:23" ht="24.75" thickBot="1" x14ac:dyDescent="0.25">
      <c r="T18014" s="28">
        <v>23421038</v>
      </c>
      <c r="U18014" s="29" t="s">
        <v>1385</v>
      </c>
      <c r="V18014" s="30">
        <v>4960</v>
      </c>
      <c r="W18014" s="28">
        <v>23421038</v>
      </c>
    </row>
    <row r="18015" spans="20:23" ht="24.75" thickBot="1" x14ac:dyDescent="0.25">
      <c r="T18015" s="28">
        <v>23421039</v>
      </c>
      <c r="U18015" s="29" t="s">
        <v>1388</v>
      </c>
      <c r="V18015" s="30">
        <v>30200</v>
      </c>
      <c r="W18015" s="28">
        <v>23421039</v>
      </c>
    </row>
    <row r="18016" spans="20:23" ht="24.75" thickBot="1" x14ac:dyDescent="0.25">
      <c r="T18016" s="28">
        <v>23421040</v>
      </c>
      <c r="U18016" s="29" t="s">
        <v>1391</v>
      </c>
      <c r="V18016" s="30">
        <v>131000</v>
      </c>
      <c r="W18016" s="28">
        <v>23421040</v>
      </c>
    </row>
    <row r="18017" spans="20:23" ht="24.75" thickBot="1" x14ac:dyDescent="0.25">
      <c r="T18017" s="28">
        <v>23421041</v>
      </c>
      <c r="U18017" s="29" t="s">
        <v>1394</v>
      </c>
      <c r="V18017" s="30">
        <v>594000</v>
      </c>
      <c r="W18017" s="28">
        <v>23421041</v>
      </c>
    </row>
    <row r="18018" spans="20:23" ht="24.75" thickBot="1" x14ac:dyDescent="0.25">
      <c r="T18018" s="28">
        <v>23421042</v>
      </c>
      <c r="U18018" s="29" t="s">
        <v>1300</v>
      </c>
      <c r="V18018" s="30">
        <v>7000</v>
      </c>
      <c r="W18018" s="28">
        <v>23421042</v>
      </c>
    </row>
    <row r="18019" spans="20:23" ht="24.75" thickBot="1" x14ac:dyDescent="0.25">
      <c r="T18019" s="28">
        <v>23421043</v>
      </c>
      <c r="U18019" s="29" t="s">
        <v>1312</v>
      </c>
      <c r="V18019" s="30">
        <v>42000</v>
      </c>
      <c r="W18019" s="28">
        <v>23421043</v>
      </c>
    </row>
    <row r="18020" spans="20:23" ht="24.75" thickBot="1" x14ac:dyDescent="0.25">
      <c r="T18020" s="28">
        <v>23421044</v>
      </c>
      <c r="U18020" s="29" t="s">
        <v>1324</v>
      </c>
      <c r="V18020" s="30">
        <v>515000</v>
      </c>
      <c r="W18020" s="28">
        <v>23421044</v>
      </c>
    </row>
    <row r="18021" spans="20:23" ht="24.75" thickBot="1" x14ac:dyDescent="0.25">
      <c r="T18021" s="28">
        <v>23421045</v>
      </c>
      <c r="U18021" s="29" t="s">
        <v>1336</v>
      </c>
      <c r="V18021" s="30">
        <v>2420000</v>
      </c>
      <c r="W18021" s="28">
        <v>23421045</v>
      </c>
    </row>
    <row r="18022" spans="20:23" ht="24.75" thickBot="1" x14ac:dyDescent="0.25">
      <c r="T18022" s="28">
        <v>23421046</v>
      </c>
      <c r="U18022" s="29" t="s">
        <v>1301</v>
      </c>
      <c r="V18022" s="30">
        <v>7000</v>
      </c>
      <c r="W18022" s="28">
        <v>23421046</v>
      </c>
    </row>
    <row r="18023" spans="20:23" ht="24.75" thickBot="1" x14ac:dyDescent="0.25">
      <c r="T18023" s="28">
        <v>23421047</v>
      </c>
      <c r="U18023" s="29" t="s">
        <v>1313</v>
      </c>
      <c r="V18023" s="30">
        <v>42000</v>
      </c>
      <c r="W18023" s="28">
        <v>23421047</v>
      </c>
    </row>
    <row r="18024" spans="20:23" ht="24.75" thickBot="1" x14ac:dyDescent="0.25">
      <c r="T18024" s="28">
        <v>23421048</v>
      </c>
      <c r="U18024" s="29" t="s">
        <v>1325</v>
      </c>
      <c r="V18024" s="30">
        <v>515000</v>
      </c>
      <c r="W18024" s="28">
        <v>23421048</v>
      </c>
    </row>
    <row r="18025" spans="20:23" ht="24.75" thickBot="1" x14ac:dyDescent="0.25">
      <c r="T18025" s="28">
        <v>23421049</v>
      </c>
      <c r="U18025" s="29" t="s">
        <v>1337</v>
      </c>
      <c r="V18025" s="30">
        <v>2420000</v>
      </c>
      <c r="W18025" s="28">
        <v>23421049</v>
      </c>
    </row>
    <row r="18026" spans="20:23" ht="24.75" thickBot="1" x14ac:dyDescent="0.25">
      <c r="T18026" s="28">
        <v>23421050</v>
      </c>
      <c r="U18026" s="29" t="s">
        <v>1302</v>
      </c>
      <c r="V18026" s="30">
        <v>7000</v>
      </c>
      <c r="W18026" s="28">
        <v>23421050</v>
      </c>
    </row>
    <row r="18027" spans="20:23" ht="24.75" thickBot="1" x14ac:dyDescent="0.25">
      <c r="T18027" s="28">
        <v>23421051</v>
      </c>
      <c r="U18027" s="29" t="s">
        <v>1314</v>
      </c>
      <c r="V18027" s="30">
        <v>42000</v>
      </c>
      <c r="W18027" s="28">
        <v>23421051</v>
      </c>
    </row>
    <row r="18028" spans="20:23" ht="24.75" thickBot="1" x14ac:dyDescent="0.25">
      <c r="T18028" s="28">
        <v>23421052</v>
      </c>
      <c r="U18028" s="29" t="s">
        <v>1326</v>
      </c>
      <c r="V18028" s="30">
        <v>515000</v>
      </c>
      <c r="W18028" s="28">
        <v>23421052</v>
      </c>
    </row>
    <row r="18029" spans="20:23" ht="24.75" thickBot="1" x14ac:dyDescent="0.25">
      <c r="T18029" s="28">
        <v>23421053</v>
      </c>
      <c r="U18029" s="29" t="s">
        <v>1338</v>
      </c>
      <c r="V18029" s="30">
        <v>2420000</v>
      </c>
      <c r="W18029" s="28">
        <v>23421053</v>
      </c>
    </row>
    <row r="18030" spans="20:23" ht="24.75" thickBot="1" x14ac:dyDescent="0.25">
      <c r="T18030" s="28">
        <v>23421054</v>
      </c>
      <c r="U18030" s="29" t="s">
        <v>1303</v>
      </c>
      <c r="V18030" s="30">
        <v>7000</v>
      </c>
      <c r="W18030" s="28">
        <v>23421054</v>
      </c>
    </row>
    <row r="18031" spans="20:23" ht="24.75" thickBot="1" x14ac:dyDescent="0.25">
      <c r="T18031" s="28">
        <v>23421055</v>
      </c>
      <c r="U18031" s="29" t="s">
        <v>1315</v>
      </c>
      <c r="V18031" s="30">
        <v>42000</v>
      </c>
      <c r="W18031" s="28">
        <v>23421055</v>
      </c>
    </row>
    <row r="18032" spans="20:23" ht="24.75" thickBot="1" x14ac:dyDescent="0.25">
      <c r="T18032" s="28">
        <v>23421056</v>
      </c>
      <c r="U18032" s="29" t="s">
        <v>1327</v>
      </c>
      <c r="V18032" s="30">
        <v>515000</v>
      </c>
      <c r="W18032" s="28">
        <v>23421056</v>
      </c>
    </row>
    <row r="18033" spans="20:23" ht="24.75" thickBot="1" x14ac:dyDescent="0.25">
      <c r="T18033" s="28">
        <v>23421057</v>
      </c>
      <c r="U18033" s="29" t="s">
        <v>1339</v>
      </c>
      <c r="V18033" s="30">
        <v>2420000</v>
      </c>
      <c r="W18033" s="28">
        <v>23421057</v>
      </c>
    </row>
    <row r="18034" spans="20:23" ht="24.75" thickBot="1" x14ac:dyDescent="0.25">
      <c r="T18034" s="28">
        <v>23421058</v>
      </c>
      <c r="U18034" s="29" t="s">
        <v>1304</v>
      </c>
      <c r="V18034" s="30">
        <v>7000</v>
      </c>
      <c r="W18034" s="28">
        <v>23421058</v>
      </c>
    </row>
    <row r="18035" spans="20:23" ht="24.75" thickBot="1" x14ac:dyDescent="0.25">
      <c r="T18035" s="28">
        <v>23421059</v>
      </c>
      <c r="U18035" s="29" t="s">
        <v>1316</v>
      </c>
      <c r="V18035" s="30">
        <v>42000</v>
      </c>
      <c r="W18035" s="28">
        <v>23421059</v>
      </c>
    </row>
    <row r="18036" spans="20:23" ht="24.75" thickBot="1" x14ac:dyDescent="0.25">
      <c r="T18036" s="28">
        <v>23421060</v>
      </c>
      <c r="U18036" s="29" t="s">
        <v>1328</v>
      </c>
      <c r="V18036" s="30">
        <v>515000</v>
      </c>
      <c r="W18036" s="28">
        <v>23421060</v>
      </c>
    </row>
    <row r="18037" spans="20:23" ht="24.75" thickBot="1" x14ac:dyDescent="0.25">
      <c r="T18037" s="28">
        <v>23421061</v>
      </c>
      <c r="U18037" s="29" t="s">
        <v>1340</v>
      </c>
      <c r="V18037" s="30">
        <v>2420000</v>
      </c>
      <c r="W18037" s="28">
        <v>23421061</v>
      </c>
    </row>
    <row r="18038" spans="20:23" ht="24.75" thickBot="1" x14ac:dyDescent="0.25">
      <c r="T18038" s="28">
        <v>23421062</v>
      </c>
      <c r="U18038" s="29" t="s">
        <v>1305</v>
      </c>
      <c r="V18038" s="30">
        <v>7000</v>
      </c>
      <c r="W18038" s="28">
        <v>23421062</v>
      </c>
    </row>
    <row r="18039" spans="20:23" ht="24.75" thickBot="1" x14ac:dyDescent="0.25">
      <c r="T18039" s="28">
        <v>23421063</v>
      </c>
      <c r="U18039" s="29" t="s">
        <v>1317</v>
      </c>
      <c r="V18039" s="30">
        <v>42000</v>
      </c>
      <c r="W18039" s="28">
        <v>23421063</v>
      </c>
    </row>
    <row r="18040" spans="20:23" ht="24.75" thickBot="1" x14ac:dyDescent="0.25">
      <c r="T18040" s="28">
        <v>23421064</v>
      </c>
      <c r="U18040" s="29" t="s">
        <v>1329</v>
      </c>
      <c r="V18040" s="30">
        <v>515000</v>
      </c>
      <c r="W18040" s="28">
        <v>23421064</v>
      </c>
    </row>
    <row r="18041" spans="20:23" ht="24.75" thickBot="1" x14ac:dyDescent="0.25">
      <c r="T18041" s="28">
        <v>23421065</v>
      </c>
      <c r="U18041" s="29" t="s">
        <v>1341</v>
      </c>
      <c r="V18041" s="30">
        <v>2420000</v>
      </c>
      <c r="W18041" s="28">
        <v>23421065</v>
      </c>
    </row>
    <row r="18042" spans="20:23" ht="24.75" thickBot="1" x14ac:dyDescent="0.25">
      <c r="T18042" s="28">
        <v>23421066</v>
      </c>
      <c r="U18042" s="29" t="s">
        <v>1306</v>
      </c>
      <c r="V18042" s="30">
        <v>7000</v>
      </c>
      <c r="W18042" s="28">
        <v>23421066</v>
      </c>
    </row>
    <row r="18043" spans="20:23" ht="24.75" thickBot="1" x14ac:dyDescent="0.25">
      <c r="T18043" s="28">
        <v>23421067</v>
      </c>
      <c r="U18043" s="29" t="s">
        <v>1318</v>
      </c>
      <c r="V18043" s="30">
        <v>42000</v>
      </c>
      <c r="W18043" s="28">
        <v>23421067</v>
      </c>
    </row>
    <row r="18044" spans="20:23" ht="24.75" thickBot="1" x14ac:dyDescent="0.25">
      <c r="T18044" s="28">
        <v>23421068</v>
      </c>
      <c r="U18044" s="29" t="s">
        <v>1330</v>
      </c>
      <c r="V18044" s="30">
        <v>515000</v>
      </c>
      <c r="W18044" s="28">
        <v>23421068</v>
      </c>
    </row>
    <row r="18045" spans="20:23" ht="24.75" thickBot="1" x14ac:dyDescent="0.25">
      <c r="T18045" s="28">
        <v>23421069</v>
      </c>
      <c r="U18045" s="29" t="s">
        <v>1342</v>
      </c>
      <c r="V18045" s="30">
        <v>2420000</v>
      </c>
      <c r="W18045" s="28">
        <v>23421069</v>
      </c>
    </row>
    <row r="18046" spans="20:23" ht="24.75" thickBot="1" x14ac:dyDescent="0.25">
      <c r="T18046" s="28">
        <v>23421070</v>
      </c>
      <c r="U18046" s="29" t="s">
        <v>1307</v>
      </c>
      <c r="V18046" s="30">
        <v>7000</v>
      </c>
      <c r="W18046" s="28">
        <v>23421070</v>
      </c>
    </row>
    <row r="18047" spans="20:23" ht="24.75" thickBot="1" x14ac:dyDescent="0.25">
      <c r="T18047" s="28">
        <v>23421071</v>
      </c>
      <c r="U18047" s="29" t="s">
        <v>1319</v>
      </c>
      <c r="V18047" s="30">
        <v>42000</v>
      </c>
      <c r="W18047" s="28">
        <v>23421071</v>
      </c>
    </row>
    <row r="18048" spans="20:23" ht="24.75" thickBot="1" x14ac:dyDescent="0.25">
      <c r="T18048" s="28">
        <v>23421072</v>
      </c>
      <c r="U18048" s="29" t="s">
        <v>1331</v>
      </c>
      <c r="V18048" s="30">
        <v>515000</v>
      </c>
      <c r="W18048" s="28">
        <v>23421072</v>
      </c>
    </row>
    <row r="18049" spans="20:23" ht="24.75" thickBot="1" x14ac:dyDescent="0.25">
      <c r="T18049" s="28">
        <v>23421073</v>
      </c>
      <c r="U18049" s="29" t="s">
        <v>1343</v>
      </c>
      <c r="V18049" s="30">
        <v>2420000</v>
      </c>
      <c r="W18049" s="28">
        <v>23421073</v>
      </c>
    </row>
    <row r="18050" spans="20:23" ht="24.75" thickBot="1" x14ac:dyDescent="0.25">
      <c r="T18050" s="28">
        <v>23421074</v>
      </c>
      <c r="U18050" s="29" t="s">
        <v>1308</v>
      </c>
      <c r="V18050" s="30">
        <v>7000</v>
      </c>
      <c r="W18050" s="28">
        <v>23421074</v>
      </c>
    </row>
    <row r="18051" spans="20:23" ht="24.75" thickBot="1" x14ac:dyDescent="0.25">
      <c r="T18051" s="28">
        <v>23421075</v>
      </c>
      <c r="U18051" s="29" t="s">
        <v>1320</v>
      </c>
      <c r="V18051" s="30">
        <v>42000</v>
      </c>
      <c r="W18051" s="28">
        <v>23421075</v>
      </c>
    </row>
    <row r="18052" spans="20:23" ht="24.75" thickBot="1" x14ac:dyDescent="0.25">
      <c r="T18052" s="28">
        <v>23421076</v>
      </c>
      <c r="U18052" s="29" t="s">
        <v>1332</v>
      </c>
      <c r="V18052" s="30">
        <v>515000</v>
      </c>
      <c r="W18052" s="28">
        <v>23421076</v>
      </c>
    </row>
    <row r="18053" spans="20:23" ht="24.75" thickBot="1" x14ac:dyDescent="0.25">
      <c r="T18053" s="28">
        <v>23421077</v>
      </c>
      <c r="U18053" s="29" t="s">
        <v>1344</v>
      </c>
      <c r="V18053" s="30">
        <v>2420000</v>
      </c>
      <c r="W18053" s="28">
        <v>23421077</v>
      </c>
    </row>
    <row r="18054" spans="20:23" ht="24.75" thickBot="1" x14ac:dyDescent="0.25">
      <c r="T18054" s="28">
        <v>23421078</v>
      </c>
      <c r="U18054" s="29" t="s">
        <v>1309</v>
      </c>
      <c r="V18054" s="30">
        <v>7000</v>
      </c>
      <c r="W18054" s="28">
        <v>23421078</v>
      </c>
    </row>
    <row r="18055" spans="20:23" ht="24.75" thickBot="1" x14ac:dyDescent="0.25">
      <c r="T18055" s="28">
        <v>23421079</v>
      </c>
      <c r="U18055" s="29" t="s">
        <v>1321</v>
      </c>
      <c r="V18055" s="30">
        <v>42000</v>
      </c>
      <c r="W18055" s="28">
        <v>23421079</v>
      </c>
    </row>
    <row r="18056" spans="20:23" ht="24.75" thickBot="1" x14ac:dyDescent="0.25">
      <c r="T18056" s="28">
        <v>23421080</v>
      </c>
      <c r="U18056" s="29" t="s">
        <v>1333</v>
      </c>
      <c r="V18056" s="30">
        <v>515000</v>
      </c>
      <c r="W18056" s="28">
        <v>23421080</v>
      </c>
    </row>
    <row r="18057" spans="20:23" ht="24.75" thickBot="1" x14ac:dyDescent="0.25">
      <c r="T18057" s="28">
        <v>23421081</v>
      </c>
      <c r="U18057" s="29" t="s">
        <v>1345</v>
      </c>
      <c r="V18057" s="30">
        <v>2420000</v>
      </c>
      <c r="W18057" s="28">
        <v>23421081</v>
      </c>
    </row>
    <row r="18058" spans="20:23" ht="24.75" thickBot="1" x14ac:dyDescent="0.25">
      <c r="T18058" s="28">
        <v>23421082</v>
      </c>
      <c r="U18058" s="29" t="s">
        <v>1310</v>
      </c>
      <c r="V18058" s="30">
        <v>7000</v>
      </c>
      <c r="W18058" s="28">
        <v>23421082</v>
      </c>
    </row>
    <row r="18059" spans="20:23" ht="24.75" thickBot="1" x14ac:dyDescent="0.25">
      <c r="T18059" s="28">
        <v>23421083</v>
      </c>
      <c r="U18059" s="29" t="s">
        <v>1322</v>
      </c>
      <c r="V18059" s="30">
        <v>42000</v>
      </c>
      <c r="W18059" s="28">
        <v>23421083</v>
      </c>
    </row>
    <row r="18060" spans="20:23" ht="24.75" thickBot="1" x14ac:dyDescent="0.25">
      <c r="T18060" s="28">
        <v>23421084</v>
      </c>
      <c r="U18060" s="29" t="s">
        <v>1334</v>
      </c>
      <c r="V18060" s="30">
        <v>515000</v>
      </c>
      <c r="W18060" s="28">
        <v>23421084</v>
      </c>
    </row>
    <row r="18061" spans="20:23" ht="24.75" thickBot="1" x14ac:dyDescent="0.25">
      <c r="T18061" s="28">
        <v>23421085</v>
      </c>
      <c r="U18061" s="29" t="s">
        <v>1346</v>
      </c>
      <c r="V18061" s="30">
        <v>2420000</v>
      </c>
      <c r="W18061" s="28">
        <v>23421085</v>
      </c>
    </row>
    <row r="18062" spans="20:23" ht="24.75" thickBot="1" x14ac:dyDescent="0.25">
      <c r="T18062" s="28">
        <v>23421086</v>
      </c>
      <c r="U18062" s="29" t="s">
        <v>1311</v>
      </c>
      <c r="V18062" s="30">
        <v>7000</v>
      </c>
      <c r="W18062" s="28">
        <v>23421086</v>
      </c>
    </row>
    <row r="18063" spans="20:23" ht="24.75" thickBot="1" x14ac:dyDescent="0.25">
      <c r="T18063" s="28">
        <v>23421087</v>
      </c>
      <c r="U18063" s="29" t="s">
        <v>1323</v>
      </c>
      <c r="V18063" s="30">
        <v>42000</v>
      </c>
      <c r="W18063" s="28">
        <v>23421087</v>
      </c>
    </row>
    <row r="18064" spans="20:23" ht="24.75" thickBot="1" x14ac:dyDescent="0.25">
      <c r="T18064" s="28">
        <v>23421088</v>
      </c>
      <c r="U18064" s="29" t="s">
        <v>1335</v>
      </c>
      <c r="V18064" s="30">
        <v>515000</v>
      </c>
      <c r="W18064" s="28">
        <v>23421088</v>
      </c>
    </row>
    <row r="18065" spans="20:23" ht="24.75" thickBot="1" x14ac:dyDescent="0.25">
      <c r="T18065" s="28">
        <v>23421089</v>
      </c>
      <c r="U18065" s="29" t="s">
        <v>1347</v>
      </c>
      <c r="V18065" s="30">
        <v>2420000</v>
      </c>
      <c r="W18065" s="28">
        <v>23421089</v>
      </c>
    </row>
    <row r="18066" spans="20:23" ht="13.5" thickBot="1" x14ac:dyDescent="0.25">
      <c r="T18066" s="28">
        <v>23421090</v>
      </c>
      <c r="U18066" s="29" t="s">
        <v>1374</v>
      </c>
      <c r="V18066" s="31">
        <v>800</v>
      </c>
      <c r="W18066" s="28">
        <v>23421090</v>
      </c>
    </row>
    <row r="18067" spans="20:23" ht="13.5" thickBot="1" x14ac:dyDescent="0.25">
      <c r="T18067" s="28">
        <v>23430000</v>
      </c>
      <c r="U18067" s="29" t="s">
        <v>4513</v>
      </c>
      <c r="V18067" s="30">
        <v>10000</v>
      </c>
      <c r="W18067" s="28">
        <v>23430000</v>
      </c>
    </row>
    <row r="18068" spans="20:23" ht="13.5" thickBot="1" x14ac:dyDescent="0.25">
      <c r="T18068" s="28">
        <v>23430001</v>
      </c>
      <c r="U18068" s="29" t="s">
        <v>4514</v>
      </c>
      <c r="V18068" s="30">
        <v>10000</v>
      </c>
      <c r="W18068" s="28">
        <v>23430001</v>
      </c>
    </row>
    <row r="18069" spans="20:23" ht="13.5" thickBot="1" x14ac:dyDescent="0.25">
      <c r="T18069" s="28">
        <v>23430002</v>
      </c>
      <c r="U18069" s="29" t="s">
        <v>4515</v>
      </c>
      <c r="V18069" s="30">
        <v>10000</v>
      </c>
      <c r="W18069" s="28">
        <v>23430002</v>
      </c>
    </row>
    <row r="18070" spans="20:23" ht="13.5" thickBot="1" x14ac:dyDescent="0.25">
      <c r="T18070" s="28">
        <v>23430003</v>
      </c>
      <c r="U18070" s="29" t="s">
        <v>4516</v>
      </c>
      <c r="V18070" s="30">
        <v>10000</v>
      </c>
      <c r="W18070" s="28">
        <v>23430003</v>
      </c>
    </row>
    <row r="18071" spans="20:23" ht="13.5" thickBot="1" x14ac:dyDescent="0.25">
      <c r="T18071" s="28">
        <v>23430004</v>
      </c>
      <c r="U18071" s="29" t="s">
        <v>4517</v>
      </c>
      <c r="V18071" s="30">
        <v>10000</v>
      </c>
      <c r="W18071" s="28">
        <v>23430004</v>
      </c>
    </row>
    <row r="18072" spans="20:23" ht="24.75" thickBot="1" x14ac:dyDescent="0.25">
      <c r="T18072" s="28">
        <v>23430005</v>
      </c>
      <c r="U18072" s="29" t="s">
        <v>4518</v>
      </c>
      <c r="V18072" s="30">
        <v>10000</v>
      </c>
      <c r="W18072" s="28">
        <v>23430005</v>
      </c>
    </row>
    <row r="18073" spans="20:23" ht="13.5" thickBot="1" x14ac:dyDescent="0.25">
      <c r="T18073" s="28">
        <v>23430006</v>
      </c>
      <c r="U18073" s="29" t="s">
        <v>4519</v>
      </c>
      <c r="V18073" s="30">
        <v>10000</v>
      </c>
      <c r="W18073" s="28">
        <v>23430006</v>
      </c>
    </row>
    <row r="18074" spans="20:23" ht="13.5" thickBot="1" x14ac:dyDescent="0.25">
      <c r="T18074" s="28">
        <v>23430007</v>
      </c>
      <c r="U18074" s="29" t="s">
        <v>4520</v>
      </c>
      <c r="V18074" s="30">
        <v>10000</v>
      </c>
      <c r="W18074" s="28">
        <v>23430007</v>
      </c>
    </row>
    <row r="18075" spans="20:23" ht="13.5" thickBot="1" x14ac:dyDescent="0.25">
      <c r="T18075" s="28">
        <v>23500001</v>
      </c>
      <c r="U18075" s="29" t="s">
        <v>4521</v>
      </c>
      <c r="V18075" s="30">
        <v>5000</v>
      </c>
      <c r="W18075" s="28">
        <v>23500001</v>
      </c>
    </row>
    <row r="18076" spans="20:23" ht="13.5" thickBot="1" x14ac:dyDescent="0.25">
      <c r="T18076" s="28">
        <v>23500002</v>
      </c>
      <c r="U18076" s="29" t="s">
        <v>4522</v>
      </c>
      <c r="V18076" s="30">
        <v>5000</v>
      </c>
      <c r="W18076" s="28">
        <v>23500002</v>
      </c>
    </row>
    <row r="18077" spans="20:23" ht="24.75" thickBot="1" x14ac:dyDescent="0.25">
      <c r="T18077" s="28">
        <v>23500003</v>
      </c>
      <c r="U18077" s="29" t="s">
        <v>4523</v>
      </c>
      <c r="V18077" s="30">
        <v>5000</v>
      </c>
      <c r="W18077" s="28">
        <v>23500003</v>
      </c>
    </row>
    <row r="18078" spans="20:23" ht="24.75" thickBot="1" x14ac:dyDescent="0.25">
      <c r="T18078" s="28">
        <v>23500004</v>
      </c>
      <c r="U18078" s="29" t="s">
        <v>4524</v>
      </c>
      <c r="V18078" s="30">
        <v>250000</v>
      </c>
      <c r="W18078" s="28">
        <v>23500004</v>
      </c>
    </row>
    <row r="18079" spans="20:23" ht="24.75" thickBot="1" x14ac:dyDescent="0.25">
      <c r="T18079" s="28">
        <v>23500005</v>
      </c>
      <c r="U18079" s="29" t="s">
        <v>4525</v>
      </c>
      <c r="V18079" s="30">
        <v>500000</v>
      </c>
      <c r="W18079" s="28">
        <v>23500005</v>
      </c>
    </row>
    <row r="18080" spans="20:23" ht="24.75" thickBot="1" x14ac:dyDescent="0.25">
      <c r="T18080" s="28">
        <v>23500006</v>
      </c>
      <c r="U18080" s="29" t="s">
        <v>4526</v>
      </c>
      <c r="V18080" s="30">
        <v>1500000</v>
      </c>
      <c r="W18080" s="28">
        <v>23500006</v>
      </c>
    </row>
    <row r="18081" spans="20:23" ht="24.75" thickBot="1" x14ac:dyDescent="0.25">
      <c r="T18081" s="28">
        <v>23500007</v>
      </c>
      <c r="U18081" s="29" t="s">
        <v>4527</v>
      </c>
      <c r="V18081" s="30">
        <v>3000000</v>
      </c>
      <c r="W18081" s="28">
        <v>23500007</v>
      </c>
    </row>
    <row r="18082" spans="20:23" ht="24.75" thickBot="1" x14ac:dyDescent="0.25">
      <c r="T18082" s="28">
        <v>23500008</v>
      </c>
      <c r="U18082" s="29" t="s">
        <v>4528</v>
      </c>
      <c r="V18082" s="30">
        <v>18000000</v>
      </c>
      <c r="W18082" s="28">
        <v>23500008</v>
      </c>
    </row>
    <row r="18083" spans="20:23" ht="24.75" thickBot="1" x14ac:dyDescent="0.25">
      <c r="T18083" s="28">
        <v>23500009</v>
      </c>
      <c r="U18083" s="29" t="s">
        <v>4529</v>
      </c>
      <c r="V18083" s="30">
        <v>72000000</v>
      </c>
      <c r="W18083" s="28">
        <v>23500009</v>
      </c>
    </row>
    <row r="18084" spans="20:23" ht="24.75" thickBot="1" x14ac:dyDescent="0.25">
      <c r="T18084" s="28">
        <v>23500010</v>
      </c>
      <c r="U18084" s="29" t="s">
        <v>4530</v>
      </c>
      <c r="V18084" s="30">
        <v>250000</v>
      </c>
      <c r="W18084" s="28">
        <v>23500010</v>
      </c>
    </row>
    <row r="18085" spans="20:23" ht="24.75" thickBot="1" x14ac:dyDescent="0.25">
      <c r="T18085" s="28">
        <v>23500011</v>
      </c>
      <c r="U18085" s="29" t="s">
        <v>4531</v>
      </c>
      <c r="V18085" s="30">
        <v>500000</v>
      </c>
      <c r="W18085" s="28">
        <v>23500011</v>
      </c>
    </row>
    <row r="18086" spans="20:23" ht="24.75" thickBot="1" x14ac:dyDescent="0.25">
      <c r="T18086" s="28">
        <v>23500012</v>
      </c>
      <c r="U18086" s="29" t="s">
        <v>4532</v>
      </c>
      <c r="V18086" s="30">
        <v>1500000</v>
      </c>
      <c r="W18086" s="28">
        <v>23500012</v>
      </c>
    </row>
    <row r="18087" spans="20:23" ht="24.75" thickBot="1" x14ac:dyDescent="0.25">
      <c r="T18087" s="28">
        <v>23500013</v>
      </c>
      <c r="U18087" s="29" t="s">
        <v>4533</v>
      </c>
      <c r="V18087" s="30">
        <v>3000000</v>
      </c>
      <c r="W18087" s="28">
        <v>23500013</v>
      </c>
    </row>
    <row r="18088" spans="20:23" ht="24.75" thickBot="1" x14ac:dyDescent="0.25">
      <c r="T18088" s="28">
        <v>23500014</v>
      </c>
      <c r="U18088" s="29" t="s">
        <v>4534</v>
      </c>
      <c r="V18088" s="30">
        <v>18000000</v>
      </c>
      <c r="W18088" s="28">
        <v>23500014</v>
      </c>
    </row>
    <row r="18089" spans="20:23" ht="24.75" thickBot="1" x14ac:dyDescent="0.25">
      <c r="T18089" s="28">
        <v>23500015</v>
      </c>
      <c r="U18089" s="29" t="s">
        <v>4535</v>
      </c>
      <c r="V18089" s="30">
        <v>72000000</v>
      </c>
      <c r="W18089" s="28">
        <v>23500015</v>
      </c>
    </row>
    <row r="18090" spans="20:23" ht="24.75" thickBot="1" x14ac:dyDescent="0.25">
      <c r="T18090" s="28">
        <v>23500016</v>
      </c>
      <c r="U18090" s="29" t="s">
        <v>4536</v>
      </c>
      <c r="V18090" s="30">
        <v>250000</v>
      </c>
      <c r="W18090" s="28">
        <v>23500016</v>
      </c>
    </row>
    <row r="18091" spans="20:23" ht="24.75" thickBot="1" x14ac:dyDescent="0.25">
      <c r="T18091" s="28">
        <v>23500017</v>
      </c>
      <c r="U18091" s="29" t="s">
        <v>4537</v>
      </c>
      <c r="V18091" s="30">
        <v>500000</v>
      </c>
      <c r="W18091" s="28">
        <v>23500017</v>
      </c>
    </row>
    <row r="18092" spans="20:23" ht="24.75" thickBot="1" x14ac:dyDescent="0.25">
      <c r="T18092" s="28">
        <v>23500018</v>
      </c>
      <c r="U18092" s="29" t="s">
        <v>4538</v>
      </c>
      <c r="V18092" s="30">
        <v>1500000</v>
      </c>
      <c r="W18092" s="28">
        <v>23500018</v>
      </c>
    </row>
    <row r="18093" spans="20:23" ht="24.75" thickBot="1" x14ac:dyDescent="0.25">
      <c r="T18093" s="28">
        <v>23500019</v>
      </c>
      <c r="U18093" s="29" t="s">
        <v>4539</v>
      </c>
      <c r="V18093" s="30">
        <v>3000000</v>
      </c>
      <c r="W18093" s="28">
        <v>23500019</v>
      </c>
    </row>
    <row r="18094" spans="20:23" ht="24.75" thickBot="1" x14ac:dyDescent="0.25">
      <c r="T18094" s="28">
        <v>23500020</v>
      </c>
      <c r="U18094" s="29" t="s">
        <v>4540</v>
      </c>
      <c r="V18094" s="30">
        <v>18000000</v>
      </c>
      <c r="W18094" s="28">
        <v>23500020</v>
      </c>
    </row>
    <row r="18095" spans="20:23" ht="24.75" thickBot="1" x14ac:dyDescent="0.25">
      <c r="T18095" s="28">
        <v>23500021</v>
      </c>
      <c r="U18095" s="29" t="s">
        <v>4541</v>
      </c>
      <c r="V18095" s="30">
        <v>72000000</v>
      </c>
      <c r="W18095" s="28">
        <v>23500021</v>
      </c>
    </row>
    <row r="18096" spans="20:23" ht="24.75" thickBot="1" x14ac:dyDescent="0.25">
      <c r="T18096" s="28">
        <v>23500022</v>
      </c>
      <c r="U18096" s="29" t="s">
        <v>4542</v>
      </c>
      <c r="V18096" s="30">
        <v>250000</v>
      </c>
      <c r="W18096" s="28">
        <v>23500022</v>
      </c>
    </row>
    <row r="18097" spans="20:23" ht="24.75" thickBot="1" x14ac:dyDescent="0.25">
      <c r="T18097" s="28">
        <v>23500023</v>
      </c>
      <c r="U18097" s="29" t="s">
        <v>4543</v>
      </c>
      <c r="V18097" s="30">
        <v>500000</v>
      </c>
      <c r="W18097" s="28">
        <v>23500023</v>
      </c>
    </row>
    <row r="18098" spans="20:23" ht="24.75" thickBot="1" x14ac:dyDescent="0.25">
      <c r="T18098" s="28">
        <v>23500024</v>
      </c>
      <c r="U18098" s="29" t="s">
        <v>4544</v>
      </c>
      <c r="V18098" s="30">
        <v>1500000</v>
      </c>
      <c r="W18098" s="28">
        <v>23500024</v>
      </c>
    </row>
    <row r="18099" spans="20:23" ht="24.75" thickBot="1" x14ac:dyDescent="0.25">
      <c r="T18099" s="28">
        <v>23500025</v>
      </c>
      <c r="U18099" s="29" t="s">
        <v>4545</v>
      </c>
      <c r="V18099" s="30">
        <v>3000000</v>
      </c>
      <c r="W18099" s="28">
        <v>23500025</v>
      </c>
    </row>
    <row r="18100" spans="20:23" ht="24.75" thickBot="1" x14ac:dyDescent="0.25">
      <c r="T18100" s="28">
        <v>23500026</v>
      </c>
      <c r="U18100" s="29" t="s">
        <v>4546</v>
      </c>
      <c r="V18100" s="30">
        <v>18000000</v>
      </c>
      <c r="W18100" s="28">
        <v>23500026</v>
      </c>
    </row>
    <row r="18101" spans="20:23" ht="24.75" thickBot="1" x14ac:dyDescent="0.25">
      <c r="T18101" s="28">
        <v>23500027</v>
      </c>
      <c r="U18101" s="29" t="s">
        <v>4547</v>
      </c>
      <c r="V18101" s="30">
        <v>72000000</v>
      </c>
      <c r="W18101" s="28">
        <v>23500027</v>
      </c>
    </row>
    <row r="18102" spans="20:23" ht="24.75" thickBot="1" x14ac:dyDescent="0.25">
      <c r="T18102" s="28">
        <v>23500028</v>
      </c>
      <c r="U18102" s="29" t="s">
        <v>4548</v>
      </c>
      <c r="V18102" s="30">
        <v>250000</v>
      </c>
      <c r="W18102" s="28">
        <v>23500028</v>
      </c>
    </row>
    <row r="18103" spans="20:23" ht="24.75" thickBot="1" x14ac:dyDescent="0.25">
      <c r="T18103" s="28">
        <v>23500029</v>
      </c>
      <c r="U18103" s="29" t="s">
        <v>4549</v>
      </c>
      <c r="V18103" s="30">
        <v>500000</v>
      </c>
      <c r="W18103" s="28">
        <v>23500029</v>
      </c>
    </row>
    <row r="18104" spans="20:23" ht="24.75" thickBot="1" x14ac:dyDescent="0.25">
      <c r="T18104" s="28">
        <v>23500030</v>
      </c>
      <c r="U18104" s="29" t="s">
        <v>4550</v>
      </c>
      <c r="V18104" s="30">
        <v>1500000</v>
      </c>
      <c r="W18104" s="28">
        <v>23500030</v>
      </c>
    </row>
    <row r="18105" spans="20:23" ht="24.75" thickBot="1" x14ac:dyDescent="0.25">
      <c r="T18105" s="28">
        <v>23500031</v>
      </c>
      <c r="U18105" s="29" t="s">
        <v>4551</v>
      </c>
      <c r="V18105" s="30">
        <v>3000000</v>
      </c>
      <c r="W18105" s="28">
        <v>23500031</v>
      </c>
    </row>
    <row r="18106" spans="20:23" ht="24.75" thickBot="1" x14ac:dyDescent="0.25">
      <c r="T18106" s="28">
        <v>23500032</v>
      </c>
      <c r="U18106" s="29" t="s">
        <v>4552</v>
      </c>
      <c r="V18106" s="30">
        <v>18000000</v>
      </c>
      <c r="W18106" s="28">
        <v>23500032</v>
      </c>
    </row>
    <row r="18107" spans="20:23" ht="24.75" thickBot="1" x14ac:dyDescent="0.25">
      <c r="T18107" s="28">
        <v>23500033</v>
      </c>
      <c r="U18107" s="29" t="s">
        <v>4553</v>
      </c>
      <c r="V18107" s="30">
        <v>72000000</v>
      </c>
      <c r="W18107" s="28">
        <v>23500033</v>
      </c>
    </row>
    <row r="18108" spans="20:23" ht="13.5" thickBot="1" x14ac:dyDescent="0.25">
      <c r="T18108" s="28">
        <v>23600000</v>
      </c>
      <c r="U18108" s="29" t="s">
        <v>1092</v>
      </c>
      <c r="V18108" s="30">
        <v>12000</v>
      </c>
      <c r="W18108" s="28">
        <v>23600000</v>
      </c>
    </row>
    <row r="18109" spans="20:23" ht="13.5" thickBot="1" x14ac:dyDescent="0.25">
      <c r="T18109" s="28">
        <v>23600001</v>
      </c>
      <c r="U18109" s="29" t="s">
        <v>1093</v>
      </c>
      <c r="V18109" s="30">
        <v>16000</v>
      </c>
      <c r="W18109" s="28">
        <v>23600001</v>
      </c>
    </row>
    <row r="18110" spans="20:23" ht="13.5" thickBot="1" x14ac:dyDescent="0.25">
      <c r="T18110" s="28">
        <v>23600002</v>
      </c>
      <c r="U18110" s="29" t="s">
        <v>1094</v>
      </c>
      <c r="V18110" s="30">
        <v>22000</v>
      </c>
      <c r="W18110" s="28">
        <v>23600002</v>
      </c>
    </row>
    <row r="18111" spans="20:23" ht="13.5" thickBot="1" x14ac:dyDescent="0.25">
      <c r="T18111" s="28">
        <v>23600003</v>
      </c>
      <c r="U18111" s="29" t="s">
        <v>1095</v>
      </c>
      <c r="V18111" s="30">
        <v>35000</v>
      </c>
      <c r="W18111" s="28">
        <v>23600003</v>
      </c>
    </row>
    <row r="18112" spans="20:23" ht="13.5" thickBot="1" x14ac:dyDescent="0.25">
      <c r="T18112" s="28">
        <v>23600004</v>
      </c>
      <c r="U18112" s="29" t="s">
        <v>1096</v>
      </c>
      <c r="V18112" s="30">
        <v>45000</v>
      </c>
      <c r="W18112" s="28">
        <v>23600004</v>
      </c>
    </row>
    <row r="18113" spans="20:23" ht="13.5" thickBot="1" x14ac:dyDescent="0.25">
      <c r="T18113" s="28">
        <v>23600010</v>
      </c>
      <c r="U18113" s="29" t="s">
        <v>1097</v>
      </c>
      <c r="V18113" s="30">
        <v>10000</v>
      </c>
      <c r="W18113" s="28">
        <v>23600010</v>
      </c>
    </row>
    <row r="18114" spans="20:23" ht="13.5" thickBot="1" x14ac:dyDescent="0.25">
      <c r="T18114" s="28">
        <v>23600011</v>
      </c>
      <c r="U18114" s="29" t="s">
        <v>1098</v>
      </c>
      <c r="V18114" s="30">
        <v>19000</v>
      </c>
      <c r="W18114" s="28">
        <v>23600011</v>
      </c>
    </row>
    <row r="18115" spans="20:23" ht="13.5" thickBot="1" x14ac:dyDescent="0.25">
      <c r="T18115" s="28">
        <v>23600012</v>
      </c>
      <c r="U18115" s="29" t="s">
        <v>1099</v>
      </c>
      <c r="V18115" s="30">
        <v>35000</v>
      </c>
      <c r="W18115" s="28">
        <v>23600012</v>
      </c>
    </row>
    <row r="18116" spans="20:23" ht="13.5" thickBot="1" x14ac:dyDescent="0.25">
      <c r="T18116" s="28">
        <v>23600013</v>
      </c>
      <c r="U18116" s="29" t="s">
        <v>1100</v>
      </c>
      <c r="V18116" s="30">
        <v>49000</v>
      </c>
      <c r="W18116" s="28">
        <v>23600013</v>
      </c>
    </row>
    <row r="18117" spans="20:23" ht="13.5" thickBot="1" x14ac:dyDescent="0.25">
      <c r="T18117" s="28">
        <v>23600014</v>
      </c>
      <c r="U18117" s="29" t="s">
        <v>1101</v>
      </c>
      <c r="V18117" s="30">
        <v>74000</v>
      </c>
      <c r="W18117" s="28">
        <v>23600014</v>
      </c>
    </row>
    <row r="18118" spans="20:23" ht="13.5" thickBot="1" x14ac:dyDescent="0.25">
      <c r="T18118" s="28">
        <v>23610000</v>
      </c>
      <c r="U18118" s="29" t="s">
        <v>107</v>
      </c>
      <c r="V18118" s="30">
        <v>1200</v>
      </c>
      <c r="W18118" s="28">
        <v>23610000</v>
      </c>
    </row>
    <row r="18119" spans="20:23" ht="13.5" thickBot="1" x14ac:dyDescent="0.25">
      <c r="T18119" s="28">
        <v>23610001</v>
      </c>
      <c r="U18119" s="29" t="s">
        <v>108</v>
      </c>
      <c r="V18119" s="30">
        <v>620000</v>
      </c>
      <c r="W18119" s="28">
        <v>23610001</v>
      </c>
    </row>
    <row r="18120" spans="20:23" ht="13.5" thickBot="1" x14ac:dyDescent="0.25">
      <c r="T18120" s="28">
        <v>23610002</v>
      </c>
      <c r="U18120" s="29" t="s">
        <v>109</v>
      </c>
      <c r="V18120" s="30">
        <v>7800000</v>
      </c>
      <c r="W18120" s="28">
        <v>23610002</v>
      </c>
    </row>
    <row r="18121" spans="20:23" ht="13.5" thickBot="1" x14ac:dyDescent="0.25">
      <c r="T18121" s="28">
        <v>23610003</v>
      </c>
      <c r="U18121" s="29" t="s">
        <v>110</v>
      </c>
      <c r="V18121" s="30">
        <v>133000000</v>
      </c>
      <c r="W18121" s="28">
        <v>23610003</v>
      </c>
    </row>
    <row r="18122" spans="20:23" ht="13.5" thickBot="1" x14ac:dyDescent="0.25">
      <c r="T18122" s="28">
        <v>23610004</v>
      </c>
      <c r="U18122" s="29" t="s">
        <v>4554</v>
      </c>
      <c r="V18122" s="30">
        <v>12000</v>
      </c>
      <c r="W18122" s="28">
        <v>23610004</v>
      </c>
    </row>
    <row r="18123" spans="20:23" ht="13.5" thickBot="1" x14ac:dyDescent="0.25">
      <c r="T18123" s="28">
        <v>23610005</v>
      </c>
      <c r="U18123" s="29" t="s">
        <v>4555</v>
      </c>
      <c r="V18123" s="30">
        <v>24000</v>
      </c>
      <c r="W18123" s="28">
        <v>23610005</v>
      </c>
    </row>
    <row r="18124" spans="20:23" ht="13.5" thickBot="1" x14ac:dyDescent="0.25">
      <c r="T18124" s="28">
        <v>23610006</v>
      </c>
      <c r="U18124" s="29" t="s">
        <v>4556</v>
      </c>
      <c r="V18124" s="30">
        <v>93000</v>
      </c>
      <c r="W18124" s="28">
        <v>23610006</v>
      </c>
    </row>
    <row r="18125" spans="20:23" ht="13.5" thickBot="1" x14ac:dyDescent="0.25">
      <c r="T18125" s="28">
        <v>23610007</v>
      </c>
      <c r="U18125" s="29" t="s">
        <v>4557</v>
      </c>
      <c r="V18125" s="30">
        <v>353000</v>
      </c>
      <c r="W18125" s="28">
        <v>23610007</v>
      </c>
    </row>
    <row r="18126" spans="20:23" ht="13.5" thickBot="1" x14ac:dyDescent="0.25">
      <c r="T18126" s="28">
        <v>23610008</v>
      </c>
      <c r="U18126" s="29" t="s">
        <v>111</v>
      </c>
      <c r="V18126" s="31">
        <v>200</v>
      </c>
      <c r="W18126" s="28">
        <v>23610008</v>
      </c>
    </row>
    <row r="18127" spans="20:23" ht="13.5" thickBot="1" x14ac:dyDescent="0.25">
      <c r="T18127" s="28">
        <v>23610009</v>
      </c>
      <c r="U18127" s="29" t="s">
        <v>114</v>
      </c>
      <c r="V18127" s="30">
        <v>1200</v>
      </c>
      <c r="W18127" s="28">
        <v>23610009</v>
      </c>
    </row>
    <row r="18128" spans="20:23" ht="13.5" thickBot="1" x14ac:dyDescent="0.25">
      <c r="T18128" s="28">
        <v>23610010</v>
      </c>
      <c r="U18128" s="29" t="s">
        <v>117</v>
      </c>
      <c r="V18128" s="30">
        <v>5160</v>
      </c>
      <c r="W18128" s="28">
        <v>23610010</v>
      </c>
    </row>
    <row r="18129" spans="20:23" ht="13.5" thickBot="1" x14ac:dyDescent="0.25">
      <c r="T18129" s="28">
        <v>23610011</v>
      </c>
      <c r="U18129" s="29" t="s">
        <v>120</v>
      </c>
      <c r="V18129" s="30">
        <v>6630</v>
      </c>
      <c r="W18129" s="28">
        <v>23610011</v>
      </c>
    </row>
    <row r="18130" spans="20:23" ht="13.5" thickBot="1" x14ac:dyDescent="0.25">
      <c r="T18130" s="28">
        <v>23610012</v>
      </c>
      <c r="U18130" s="29" t="s">
        <v>123</v>
      </c>
      <c r="V18130" s="30">
        <v>8380</v>
      </c>
      <c r="W18130" s="28">
        <v>23610012</v>
      </c>
    </row>
    <row r="18131" spans="20:23" ht="13.5" thickBot="1" x14ac:dyDescent="0.25">
      <c r="T18131" s="28">
        <v>23610013</v>
      </c>
      <c r="U18131" s="29" t="s">
        <v>4558</v>
      </c>
      <c r="V18131" s="30">
        <v>84800</v>
      </c>
      <c r="W18131" s="28">
        <v>23610013</v>
      </c>
    </row>
    <row r="18132" spans="20:23" ht="13.5" thickBot="1" x14ac:dyDescent="0.25">
      <c r="T18132" s="28">
        <v>23610014</v>
      </c>
      <c r="U18132" s="29" t="s">
        <v>4559</v>
      </c>
      <c r="V18132" s="30">
        <v>117000</v>
      </c>
      <c r="W18132" s="28">
        <v>23610014</v>
      </c>
    </row>
    <row r="18133" spans="20:23" ht="13.5" thickBot="1" x14ac:dyDescent="0.25">
      <c r="T18133" s="28">
        <v>23610015</v>
      </c>
      <c r="U18133" s="29" t="s">
        <v>1395</v>
      </c>
      <c r="V18133" s="30">
        <v>10900</v>
      </c>
      <c r="W18133" s="28">
        <v>23610015</v>
      </c>
    </row>
    <row r="18134" spans="20:23" ht="13.5" thickBot="1" x14ac:dyDescent="0.25">
      <c r="T18134" s="28">
        <v>23610016</v>
      </c>
      <c r="U18134" s="29" t="s">
        <v>4560</v>
      </c>
      <c r="V18134" s="30">
        <v>166000</v>
      </c>
      <c r="W18134" s="28">
        <v>23610016</v>
      </c>
    </row>
    <row r="18135" spans="20:23" ht="13.5" thickBot="1" x14ac:dyDescent="0.25">
      <c r="T18135" s="28">
        <v>23610017</v>
      </c>
      <c r="U18135" s="29" t="s">
        <v>112</v>
      </c>
      <c r="V18135" s="31">
        <v>200</v>
      </c>
      <c r="W18135" s="28">
        <v>23610017</v>
      </c>
    </row>
    <row r="18136" spans="20:23" ht="24.75" thickBot="1" x14ac:dyDescent="0.25">
      <c r="T18136" s="28">
        <v>23610018</v>
      </c>
      <c r="U18136" s="29" t="s">
        <v>115</v>
      </c>
      <c r="V18136" s="30">
        <v>1200</v>
      </c>
      <c r="W18136" s="28">
        <v>23610018</v>
      </c>
    </row>
    <row r="18137" spans="20:23" ht="13.5" thickBot="1" x14ac:dyDescent="0.25">
      <c r="T18137" s="28">
        <v>23610019</v>
      </c>
      <c r="U18137" s="29" t="s">
        <v>118</v>
      </c>
      <c r="V18137" s="30">
        <v>10400</v>
      </c>
      <c r="W18137" s="28">
        <v>23610019</v>
      </c>
    </row>
    <row r="18138" spans="20:23" ht="13.5" thickBot="1" x14ac:dyDescent="0.25">
      <c r="T18138" s="28">
        <v>23610020</v>
      </c>
      <c r="U18138" s="29" t="s">
        <v>121</v>
      </c>
      <c r="V18138" s="30">
        <v>13300</v>
      </c>
      <c r="W18138" s="28">
        <v>23610020</v>
      </c>
    </row>
    <row r="18139" spans="20:23" ht="24.75" thickBot="1" x14ac:dyDescent="0.25">
      <c r="T18139" s="28">
        <v>23610021</v>
      </c>
      <c r="U18139" s="29" t="s">
        <v>124</v>
      </c>
      <c r="V18139" s="30">
        <v>16800</v>
      </c>
      <c r="W18139" s="28">
        <v>23610021</v>
      </c>
    </row>
    <row r="18140" spans="20:23" ht="13.5" thickBot="1" x14ac:dyDescent="0.25">
      <c r="T18140" s="28">
        <v>23610022</v>
      </c>
      <c r="U18140" s="29" t="s">
        <v>4561</v>
      </c>
      <c r="V18140" s="30">
        <v>170000</v>
      </c>
      <c r="W18140" s="28">
        <v>23610022</v>
      </c>
    </row>
    <row r="18141" spans="20:23" ht="13.5" thickBot="1" x14ac:dyDescent="0.25">
      <c r="T18141" s="28">
        <v>23610023</v>
      </c>
      <c r="U18141" s="29" t="s">
        <v>4562</v>
      </c>
      <c r="V18141" s="30">
        <v>234000</v>
      </c>
      <c r="W18141" s="28">
        <v>23610023</v>
      </c>
    </row>
    <row r="18142" spans="20:23" ht="13.5" thickBot="1" x14ac:dyDescent="0.25">
      <c r="T18142" s="28">
        <v>23610024</v>
      </c>
      <c r="U18142" s="29" t="s">
        <v>1396</v>
      </c>
      <c r="V18142" s="30">
        <v>21700</v>
      </c>
      <c r="W18142" s="28">
        <v>23610024</v>
      </c>
    </row>
    <row r="18143" spans="20:23" ht="13.5" thickBot="1" x14ac:dyDescent="0.25">
      <c r="T18143" s="28">
        <v>23610025</v>
      </c>
      <c r="U18143" s="29" t="s">
        <v>4563</v>
      </c>
      <c r="V18143" s="30">
        <v>331000</v>
      </c>
      <c r="W18143" s="28">
        <v>23610025</v>
      </c>
    </row>
    <row r="18144" spans="20:23" ht="13.5" thickBot="1" x14ac:dyDescent="0.25">
      <c r="T18144" s="28">
        <v>23610026</v>
      </c>
      <c r="U18144" s="29" t="s">
        <v>1399</v>
      </c>
      <c r="V18144" s="30">
        <v>6000</v>
      </c>
      <c r="W18144" s="28">
        <v>23610026</v>
      </c>
    </row>
    <row r="18145" spans="20:23" ht="13.5" thickBot="1" x14ac:dyDescent="0.25">
      <c r="T18145" s="28">
        <v>23610027</v>
      </c>
      <c r="U18145" s="29" t="s">
        <v>4564</v>
      </c>
      <c r="V18145" s="30">
        <v>11000</v>
      </c>
      <c r="W18145" s="28">
        <v>23610027</v>
      </c>
    </row>
    <row r="18146" spans="20:23" ht="13.5" thickBot="1" x14ac:dyDescent="0.25">
      <c r="T18146" s="28">
        <v>23610028</v>
      </c>
      <c r="U18146" s="29" t="s">
        <v>4565</v>
      </c>
      <c r="V18146" s="30">
        <v>11000</v>
      </c>
      <c r="W18146" s="28">
        <v>23610028</v>
      </c>
    </row>
    <row r="18147" spans="20:23" ht="13.5" thickBot="1" x14ac:dyDescent="0.25">
      <c r="T18147" s="28">
        <v>23610029</v>
      </c>
      <c r="U18147" s="29" t="s">
        <v>1398</v>
      </c>
      <c r="V18147" s="30">
        <v>21000</v>
      </c>
      <c r="W18147" s="28">
        <v>23610029</v>
      </c>
    </row>
    <row r="18148" spans="20:23" ht="13.5" thickBot="1" x14ac:dyDescent="0.25">
      <c r="T18148" s="28">
        <v>23610030</v>
      </c>
      <c r="U18148" s="29" t="s">
        <v>4566</v>
      </c>
      <c r="V18148" s="30">
        <v>21000</v>
      </c>
      <c r="W18148" s="28">
        <v>23610030</v>
      </c>
    </row>
    <row r="18149" spans="20:23" ht="13.5" thickBot="1" x14ac:dyDescent="0.25">
      <c r="T18149" s="28">
        <v>23610031</v>
      </c>
      <c r="U18149" s="29" t="s">
        <v>4567</v>
      </c>
      <c r="V18149" s="30">
        <v>83000</v>
      </c>
      <c r="W18149" s="28">
        <v>23610031</v>
      </c>
    </row>
    <row r="18150" spans="20:23" ht="13.5" thickBot="1" x14ac:dyDescent="0.25">
      <c r="T18150" s="28">
        <v>23610032</v>
      </c>
      <c r="U18150" s="29" t="s">
        <v>4568</v>
      </c>
      <c r="V18150" s="30">
        <v>83000</v>
      </c>
      <c r="W18150" s="28">
        <v>23610032</v>
      </c>
    </row>
    <row r="18151" spans="20:23" ht="13.5" thickBot="1" x14ac:dyDescent="0.25">
      <c r="T18151" s="28">
        <v>23610033</v>
      </c>
      <c r="U18151" s="29" t="s">
        <v>4569</v>
      </c>
      <c r="V18151" s="30">
        <v>315000</v>
      </c>
      <c r="W18151" s="28">
        <v>23610033</v>
      </c>
    </row>
    <row r="18152" spans="20:23" ht="13.5" thickBot="1" x14ac:dyDescent="0.25">
      <c r="T18152" s="28">
        <v>23610034</v>
      </c>
      <c r="U18152" s="29" t="s">
        <v>4570</v>
      </c>
      <c r="V18152" s="30">
        <v>315000</v>
      </c>
      <c r="W18152" s="28">
        <v>23610034</v>
      </c>
    </row>
    <row r="18153" spans="20:23" ht="13.5" thickBot="1" x14ac:dyDescent="0.25">
      <c r="T18153" s="28">
        <v>23610035</v>
      </c>
      <c r="U18153" s="29" t="s">
        <v>113</v>
      </c>
      <c r="V18153" s="31">
        <v>350</v>
      </c>
      <c r="W18153" s="28">
        <v>23610035</v>
      </c>
    </row>
    <row r="18154" spans="20:23" ht="13.5" thickBot="1" x14ac:dyDescent="0.25">
      <c r="T18154" s="28">
        <v>23610036</v>
      </c>
      <c r="U18154" s="29" t="s">
        <v>116</v>
      </c>
      <c r="V18154" s="30">
        <v>2340</v>
      </c>
      <c r="W18154" s="28">
        <v>23610036</v>
      </c>
    </row>
    <row r="18155" spans="20:23" ht="13.5" thickBot="1" x14ac:dyDescent="0.25">
      <c r="T18155" s="28">
        <v>23610037</v>
      </c>
      <c r="U18155" s="29" t="s">
        <v>119</v>
      </c>
      <c r="V18155" s="30">
        <v>20700</v>
      </c>
      <c r="W18155" s="28">
        <v>23610037</v>
      </c>
    </row>
    <row r="18156" spans="20:23" ht="24.75" thickBot="1" x14ac:dyDescent="0.25">
      <c r="T18156" s="28">
        <v>23610038</v>
      </c>
      <c r="U18156" s="29" t="s">
        <v>122</v>
      </c>
      <c r="V18156" s="30">
        <v>26600</v>
      </c>
      <c r="W18156" s="28">
        <v>23610038</v>
      </c>
    </row>
    <row r="18157" spans="20:23" ht="13.5" thickBot="1" x14ac:dyDescent="0.25">
      <c r="T18157" s="28">
        <v>23610039</v>
      </c>
      <c r="U18157" s="29" t="s">
        <v>125</v>
      </c>
      <c r="V18157" s="30">
        <v>33600</v>
      </c>
      <c r="W18157" s="28">
        <v>23610039</v>
      </c>
    </row>
    <row r="18158" spans="20:23" ht="24.75" thickBot="1" x14ac:dyDescent="0.25">
      <c r="T18158" s="28">
        <v>23610040</v>
      </c>
      <c r="U18158" s="29" t="s">
        <v>1397</v>
      </c>
      <c r="V18158" s="30">
        <v>43300</v>
      </c>
      <c r="W18158" s="28">
        <v>23610040</v>
      </c>
    </row>
    <row r="18159" spans="20:23" ht="13.5" thickBot="1" x14ac:dyDescent="0.25">
      <c r="T18159" s="28">
        <v>23610041</v>
      </c>
      <c r="U18159" s="29" t="s">
        <v>1553</v>
      </c>
      <c r="V18159" s="30">
        <v>218000</v>
      </c>
      <c r="W18159" s="28">
        <v>23610041</v>
      </c>
    </row>
    <row r="18160" spans="20:23" ht="24.75" thickBot="1" x14ac:dyDescent="0.25">
      <c r="T18160" s="28">
        <v>23610042</v>
      </c>
      <c r="U18160" s="29" t="s">
        <v>4571</v>
      </c>
      <c r="V18160" s="30">
        <v>264000</v>
      </c>
      <c r="W18160" s="28">
        <v>23610042</v>
      </c>
    </row>
    <row r="18161" spans="20:23" ht="13.5" thickBot="1" x14ac:dyDescent="0.25">
      <c r="T18161" s="28">
        <v>23610043</v>
      </c>
      <c r="U18161" s="29" t="s">
        <v>4572</v>
      </c>
      <c r="V18161" s="30">
        <v>339000</v>
      </c>
      <c r="W18161" s="28">
        <v>23610043</v>
      </c>
    </row>
    <row r="18162" spans="20:23" ht="24.75" thickBot="1" x14ac:dyDescent="0.25">
      <c r="T18162" s="28">
        <v>23610044</v>
      </c>
      <c r="U18162" s="29" t="s">
        <v>4573</v>
      </c>
      <c r="V18162" s="30">
        <v>662000</v>
      </c>
      <c r="W18162" s="28">
        <v>23610044</v>
      </c>
    </row>
    <row r="18163" spans="20:23" ht="13.5" thickBot="1" x14ac:dyDescent="0.25">
      <c r="T18163" s="28">
        <v>23610045</v>
      </c>
      <c r="U18163" s="29" t="s">
        <v>4574</v>
      </c>
      <c r="V18163" s="30">
        <v>4290000</v>
      </c>
      <c r="W18163" s="28">
        <v>23610045</v>
      </c>
    </row>
    <row r="18164" spans="20:23" ht="24.75" thickBot="1" x14ac:dyDescent="0.25">
      <c r="T18164" s="28">
        <v>23610046</v>
      </c>
      <c r="U18164" s="29" t="s">
        <v>4575</v>
      </c>
      <c r="V18164" s="30">
        <v>5620000</v>
      </c>
      <c r="W18164" s="28">
        <v>23610046</v>
      </c>
    </row>
    <row r="18165" spans="20:23" ht="24.75" thickBot="1" x14ac:dyDescent="0.25">
      <c r="T18165" s="28">
        <v>23610047</v>
      </c>
      <c r="U18165" s="29" t="s">
        <v>4576</v>
      </c>
      <c r="V18165" s="30">
        <v>7210000</v>
      </c>
      <c r="W18165" s="28">
        <v>23610047</v>
      </c>
    </row>
    <row r="18166" spans="20:23" ht="24.75" thickBot="1" x14ac:dyDescent="0.25">
      <c r="T18166" s="28">
        <v>23610048</v>
      </c>
      <c r="U18166" s="29" t="s">
        <v>4577</v>
      </c>
      <c r="V18166" s="30">
        <v>9500000</v>
      </c>
      <c r="W18166" s="28">
        <v>23610048</v>
      </c>
    </row>
    <row r="18167" spans="20:23" ht="13.5" thickBot="1" x14ac:dyDescent="0.25">
      <c r="T18167" s="28">
        <v>23700000</v>
      </c>
      <c r="U18167" s="29" t="s">
        <v>4578</v>
      </c>
      <c r="V18167" s="30">
        <v>4000</v>
      </c>
      <c r="W18167" s="28">
        <v>23700000</v>
      </c>
    </row>
    <row r="18168" spans="20:23" ht="13.5" thickBot="1" x14ac:dyDescent="0.25">
      <c r="T18168" s="28">
        <v>23700001</v>
      </c>
      <c r="U18168" s="29" t="s">
        <v>4579</v>
      </c>
      <c r="V18168" s="30">
        <v>5800</v>
      </c>
      <c r="W18168" s="28">
        <v>23700001</v>
      </c>
    </row>
    <row r="18169" spans="20:23" ht="13.5" thickBot="1" x14ac:dyDescent="0.25">
      <c r="T18169" s="28">
        <v>23700002</v>
      </c>
      <c r="U18169" s="29" t="s">
        <v>4580</v>
      </c>
      <c r="V18169" s="30">
        <v>2800</v>
      </c>
      <c r="W18169" s="28">
        <v>23700002</v>
      </c>
    </row>
    <row r="18170" spans="20:23" ht="13.5" thickBot="1" x14ac:dyDescent="0.25">
      <c r="T18170" s="28">
        <v>23700003</v>
      </c>
      <c r="U18170" s="29" t="s">
        <v>4581</v>
      </c>
      <c r="V18170" s="30">
        <v>5800</v>
      </c>
      <c r="W18170" s="28">
        <v>23700003</v>
      </c>
    </row>
    <row r="18171" spans="20:23" ht="13.5" thickBot="1" x14ac:dyDescent="0.25">
      <c r="T18171" s="28">
        <v>23700004</v>
      </c>
      <c r="U18171" s="29" t="s">
        <v>4582</v>
      </c>
      <c r="V18171" s="30">
        <v>15200</v>
      </c>
      <c r="W18171" s="28">
        <v>23700004</v>
      </c>
    </row>
    <row r="18172" spans="20:23" ht="13.5" thickBot="1" x14ac:dyDescent="0.25">
      <c r="T18172" s="28">
        <v>23700005</v>
      </c>
      <c r="U18172" s="29" t="s">
        <v>4583</v>
      </c>
      <c r="V18172" s="30">
        <v>15200</v>
      </c>
      <c r="W18172" s="28">
        <v>23700005</v>
      </c>
    </row>
    <row r="18173" spans="20:23" ht="13.5" thickBot="1" x14ac:dyDescent="0.25">
      <c r="T18173" s="28">
        <v>23700006</v>
      </c>
      <c r="U18173" s="29" t="s">
        <v>4584</v>
      </c>
      <c r="V18173" s="30">
        <v>5000</v>
      </c>
      <c r="W18173" s="28">
        <v>23700006</v>
      </c>
    </row>
    <row r="18174" spans="20:23" ht="13.5" thickBot="1" x14ac:dyDescent="0.25">
      <c r="T18174" s="28">
        <v>23700007</v>
      </c>
      <c r="U18174" s="29" t="s">
        <v>4585</v>
      </c>
      <c r="V18174" s="30">
        <v>5000</v>
      </c>
      <c r="W18174" s="28">
        <v>23700007</v>
      </c>
    </row>
    <row r="18175" spans="20:23" ht="13.5" thickBot="1" x14ac:dyDescent="0.25">
      <c r="T18175" s="28">
        <v>23700008</v>
      </c>
      <c r="U18175" s="29" t="s">
        <v>4586</v>
      </c>
      <c r="V18175" s="30">
        <v>5000</v>
      </c>
      <c r="W18175" s="28">
        <v>23700008</v>
      </c>
    </row>
    <row r="18176" spans="20:23" ht="13.5" thickBot="1" x14ac:dyDescent="0.25">
      <c r="T18176" s="28">
        <v>23700009</v>
      </c>
      <c r="U18176" s="29" t="s">
        <v>4587</v>
      </c>
      <c r="V18176" s="30">
        <v>5000</v>
      </c>
      <c r="W18176" s="28">
        <v>23700009</v>
      </c>
    </row>
    <row r="18177" spans="20:23" ht="13.5" thickBot="1" x14ac:dyDescent="0.25">
      <c r="T18177" s="28">
        <v>23700010</v>
      </c>
      <c r="U18177" s="29" t="s">
        <v>3976</v>
      </c>
      <c r="V18177" s="30">
        <v>5000</v>
      </c>
      <c r="W18177" s="28">
        <v>23700010</v>
      </c>
    </row>
    <row r="18178" spans="20:23" ht="13.5" thickBot="1" x14ac:dyDescent="0.25">
      <c r="T18178" s="28">
        <v>23700011</v>
      </c>
      <c r="U18178" s="29" t="s">
        <v>4588</v>
      </c>
      <c r="V18178" s="30">
        <v>2800</v>
      </c>
      <c r="W18178" s="28">
        <v>23700011</v>
      </c>
    </row>
    <row r="18179" spans="20:23" ht="13.5" thickBot="1" x14ac:dyDescent="0.25">
      <c r="T18179" s="28">
        <v>23700012</v>
      </c>
      <c r="U18179" s="29" t="s">
        <v>4589</v>
      </c>
      <c r="V18179" s="30">
        <v>5800</v>
      </c>
      <c r="W18179" s="28">
        <v>23700012</v>
      </c>
    </row>
    <row r="18180" spans="20:23" ht="13.5" thickBot="1" x14ac:dyDescent="0.25">
      <c r="T18180" s="28">
        <v>23700013</v>
      </c>
      <c r="U18180" s="29" t="s">
        <v>4590</v>
      </c>
      <c r="V18180" s="30">
        <v>5000</v>
      </c>
      <c r="W18180" s="28">
        <v>23700013</v>
      </c>
    </row>
    <row r="18181" spans="20:23" ht="13.5" thickBot="1" x14ac:dyDescent="0.25">
      <c r="T18181" s="28">
        <v>23700014</v>
      </c>
      <c r="U18181" s="29" t="s">
        <v>4591</v>
      </c>
      <c r="V18181" s="30">
        <v>5000</v>
      </c>
      <c r="W18181" s="28">
        <v>23700014</v>
      </c>
    </row>
    <row r="18182" spans="20:23" ht="13.5" thickBot="1" x14ac:dyDescent="0.25">
      <c r="T18182" s="28">
        <v>23700015</v>
      </c>
      <c r="U18182" s="29" t="s">
        <v>4592</v>
      </c>
      <c r="V18182" s="30">
        <v>5000</v>
      </c>
      <c r="W18182" s="28">
        <v>23700015</v>
      </c>
    </row>
    <row r="18183" spans="20:23" ht="13.5" thickBot="1" x14ac:dyDescent="0.25">
      <c r="T18183" s="28">
        <v>23700016</v>
      </c>
      <c r="U18183" s="29" t="s">
        <v>4593</v>
      </c>
      <c r="V18183" s="30">
        <v>2800</v>
      </c>
      <c r="W18183" s="28">
        <v>23700016</v>
      </c>
    </row>
    <row r="18184" spans="20:23" ht="13.5" thickBot="1" x14ac:dyDescent="0.25">
      <c r="T18184" s="28">
        <v>23700017</v>
      </c>
      <c r="U18184" s="29" t="s">
        <v>4594</v>
      </c>
      <c r="V18184" s="30">
        <v>14000</v>
      </c>
      <c r="W18184" s="28">
        <v>23700017</v>
      </c>
    </row>
    <row r="18185" spans="20:23" ht="13.5" thickBot="1" x14ac:dyDescent="0.25">
      <c r="T18185" s="28">
        <v>23700018</v>
      </c>
      <c r="U18185" s="29" t="s">
        <v>4595</v>
      </c>
      <c r="V18185" s="30">
        <v>5000</v>
      </c>
      <c r="W18185" s="28">
        <v>23700018</v>
      </c>
    </row>
    <row r="18186" spans="20:23" ht="13.5" thickBot="1" x14ac:dyDescent="0.25">
      <c r="T18186" s="28">
        <v>23700019</v>
      </c>
      <c r="U18186" s="29" t="s">
        <v>4596</v>
      </c>
      <c r="V18186" s="30">
        <v>5000</v>
      </c>
      <c r="W18186" s="28">
        <v>23700019</v>
      </c>
    </row>
    <row r="18187" spans="20:23" ht="13.5" thickBot="1" x14ac:dyDescent="0.25">
      <c r="T18187" s="28">
        <v>23700020</v>
      </c>
      <c r="U18187" s="29" t="s">
        <v>4597</v>
      </c>
      <c r="V18187" s="30">
        <v>5000</v>
      </c>
      <c r="W18187" s="28">
        <v>23700020</v>
      </c>
    </row>
    <row r="18188" spans="20:23" ht="13.5" thickBot="1" x14ac:dyDescent="0.25">
      <c r="T18188" s="28">
        <v>23700021</v>
      </c>
      <c r="U18188" s="29" t="s">
        <v>4598</v>
      </c>
      <c r="V18188" s="30">
        <v>5000</v>
      </c>
      <c r="W18188" s="28">
        <v>23700021</v>
      </c>
    </row>
    <row r="18189" spans="20:23" ht="13.5" thickBot="1" x14ac:dyDescent="0.25">
      <c r="T18189" s="28">
        <v>23700022</v>
      </c>
      <c r="U18189" s="29" t="s">
        <v>4599</v>
      </c>
      <c r="V18189" s="30">
        <v>5000</v>
      </c>
      <c r="W18189" s="28">
        <v>23700022</v>
      </c>
    </row>
    <row r="18190" spans="20:23" ht="13.5" thickBot="1" x14ac:dyDescent="0.25">
      <c r="T18190" s="28">
        <v>23700023</v>
      </c>
      <c r="U18190" s="29" t="s">
        <v>4600</v>
      </c>
      <c r="V18190" s="30">
        <v>29000</v>
      </c>
      <c r="W18190" s="28">
        <v>23700023</v>
      </c>
    </row>
    <row r="18191" spans="20:23" ht="13.5" thickBot="1" x14ac:dyDescent="0.25">
      <c r="T18191" s="28">
        <v>23700024</v>
      </c>
      <c r="U18191" s="29" t="s">
        <v>4601</v>
      </c>
      <c r="V18191" s="30">
        <v>76000</v>
      </c>
      <c r="W18191" s="28">
        <v>23700024</v>
      </c>
    </row>
  </sheetData>
  <phoneticPr fontId="3" type="noConversion"/>
  <conditionalFormatting sqref="A2430:A1048576 A1:A9 A430:R2429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RewardDropPool</vt:lpstr>
      <vt:lpstr>RewardDropPool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Song-Inwoong</dc:creator>
  <cp:lastModifiedBy>Park-Chulwoo</cp:lastModifiedBy>
  <dcterms:created xsi:type="dcterms:W3CDTF">2022-08-05T03:01:46Z</dcterms:created>
  <dcterms:modified xsi:type="dcterms:W3CDTF">2022-11-24T01:47:13Z</dcterms:modified>
</cp:coreProperties>
</file>